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\Documents\ml_zc\dashboard\"/>
    </mc:Choice>
  </mc:AlternateContent>
  <xr:revisionPtr revIDLastSave="0" documentId="13_ncr:1_{539C98B7-323D-4675-A313-8927748A6E1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1" r:id="rId1"/>
    <sheet name="trabajoGeneral" sheetId="10" r:id="rId2"/>
    <sheet name="trabajoSexo" sheetId="9" r:id="rId3"/>
    <sheet name="index" sheetId="3" r:id="rId4"/>
    <sheet name="testing" sheetId="2" r:id="rId5"/>
  </sheets>
  <definedNames>
    <definedName name="_xlnm._FilterDatabase" localSheetId="0" hidden="1">data!$A$1:$G$1042</definedName>
    <definedName name="_xlnm._FilterDatabase" localSheetId="3" hidden="1">index!$A$1:$J$433</definedName>
    <definedName name="_xlnm._FilterDatabase" localSheetId="4" hidden="1">testing!$A$1:$D$433</definedName>
    <definedName name="_xlnm._FilterDatabase" localSheetId="1" hidden="1">trabajoGeneral!#REF!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6" i="3" l="1"/>
  <c r="I436" i="3"/>
  <c r="H437" i="3"/>
  <c r="H436" i="3"/>
  <c r="G437" i="3"/>
  <c r="D437" i="3"/>
  <c r="D436" i="3"/>
  <c r="D438" i="3"/>
  <c r="I401" i="3"/>
  <c r="L401" i="3" s="1"/>
  <c r="I166" i="3"/>
  <c r="K418" i="3"/>
  <c r="K401" i="3"/>
  <c r="L418" i="3"/>
  <c r="L166" i="3"/>
  <c r="K166" i="3"/>
  <c r="J166" i="3"/>
  <c r="J4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2" i="3"/>
  <c r="J444" i="3" l="1"/>
</calcChain>
</file>

<file path=xl/sharedStrings.xml><?xml version="1.0" encoding="utf-8"?>
<sst xmlns="http://schemas.openxmlformats.org/spreadsheetml/2006/main" count="18273" uniqueCount="2073">
  <si>
    <t>ADM3_PCODE</t>
  </si>
  <si>
    <t>viirs</t>
  </si>
  <si>
    <t>pop</t>
  </si>
  <si>
    <t>m2_auo</t>
  </si>
  <si>
    <t>edi</t>
  </si>
  <si>
    <t>area</t>
  </si>
  <si>
    <t>icl</t>
  </si>
  <si>
    <t>Provincia</t>
  </si>
  <si>
    <t>Cantón</t>
  </si>
  <si>
    <t>Parroquia</t>
  </si>
  <si>
    <t>Personas</t>
  </si>
  <si>
    <t>No pobres</t>
  </si>
  <si>
    <t>Pobres</t>
  </si>
  <si>
    <t>Azuay</t>
  </si>
  <si>
    <t>Cuenca</t>
  </si>
  <si>
    <t>Baños</t>
  </si>
  <si>
    <t>Cumbe</t>
  </si>
  <si>
    <t>Chaucha</t>
  </si>
  <si>
    <t>Checa</t>
  </si>
  <si>
    <t>Chiquintad</t>
  </si>
  <si>
    <t>Llacao</t>
  </si>
  <si>
    <t>Molleturo</t>
  </si>
  <si>
    <t>Nulti</t>
  </si>
  <si>
    <t>Octavio Cordero Palacios</t>
  </si>
  <si>
    <t>Paccha</t>
  </si>
  <si>
    <t>Quingeo</t>
  </si>
  <si>
    <t>Ricaurte</t>
  </si>
  <si>
    <t>San Joaquín</t>
  </si>
  <si>
    <t>Santa Ana</t>
  </si>
  <si>
    <t>Sayausí</t>
  </si>
  <si>
    <t>Sidcay</t>
  </si>
  <si>
    <t>Sinincay</t>
  </si>
  <si>
    <t>Tarqui</t>
  </si>
  <si>
    <t>Turi</t>
  </si>
  <si>
    <t>Valle</t>
  </si>
  <si>
    <t>Victoria del Portete</t>
  </si>
  <si>
    <t>Girón</t>
  </si>
  <si>
    <t>La Asunción</t>
  </si>
  <si>
    <t>San Gerardo</t>
  </si>
  <si>
    <t>Gualaceo</t>
  </si>
  <si>
    <t>Daniel Córdova Toral</t>
  </si>
  <si>
    <t>Jadán</t>
  </si>
  <si>
    <t>Mariano Moreno</t>
  </si>
  <si>
    <t>Remigio Crespo Toral</t>
  </si>
  <si>
    <t>San Juan</t>
  </si>
  <si>
    <t>Zhidmad</t>
  </si>
  <si>
    <t>Luis Cordero Vega</t>
  </si>
  <si>
    <t>Simón Bolívar</t>
  </si>
  <si>
    <t>Nabón</t>
  </si>
  <si>
    <t>Cochapata</t>
  </si>
  <si>
    <t>El Progreso</t>
  </si>
  <si>
    <t>Las Nieves</t>
  </si>
  <si>
    <t>Paute</t>
  </si>
  <si>
    <t>Bulán</t>
  </si>
  <si>
    <t>Chicán</t>
  </si>
  <si>
    <t>El Cabo</t>
  </si>
  <si>
    <t>Guarainag</t>
  </si>
  <si>
    <t>San Cristóbal</t>
  </si>
  <si>
    <t>Tomebamba</t>
  </si>
  <si>
    <t>Dug Dug</t>
  </si>
  <si>
    <t>Pucará</t>
  </si>
  <si>
    <t>San Rafael de Sharug</t>
  </si>
  <si>
    <t>San Fernando</t>
  </si>
  <si>
    <t>Chumblín</t>
  </si>
  <si>
    <t>Santa Isabel</t>
  </si>
  <si>
    <t>Abdón Calderón</t>
  </si>
  <si>
    <t>El Carmen de Pijilí</t>
  </si>
  <si>
    <t>Shaglli</t>
  </si>
  <si>
    <t>San Salvador de Cañaribamba</t>
  </si>
  <si>
    <t>Sígsig</t>
  </si>
  <si>
    <t>Jima</t>
  </si>
  <si>
    <t>Güel</t>
  </si>
  <si>
    <t>Ludo</t>
  </si>
  <si>
    <t>San Bartolomé</t>
  </si>
  <si>
    <t>San José de Raranga</t>
  </si>
  <si>
    <t>Oña</t>
  </si>
  <si>
    <t>San Felipe de Oña</t>
  </si>
  <si>
    <t>Susudel</t>
  </si>
  <si>
    <t>Chordeleg</t>
  </si>
  <si>
    <t>Principal</t>
  </si>
  <si>
    <t>La Unión</t>
  </si>
  <si>
    <t>Luis Galarza Orellana</t>
  </si>
  <si>
    <t>San Martín de Puzhio</t>
  </si>
  <si>
    <t>El Pan</t>
  </si>
  <si>
    <t>San Vicente</t>
  </si>
  <si>
    <t>Sevilla de Oro</t>
  </si>
  <si>
    <t>Amaluza</t>
  </si>
  <si>
    <t>Palmas</t>
  </si>
  <si>
    <t>Guachapala</t>
  </si>
  <si>
    <t>Camilo Ponce Enríquez</t>
  </si>
  <si>
    <t>Bolívar</t>
  </si>
  <si>
    <t>Guaranda</t>
  </si>
  <si>
    <t>Facundo Vela</t>
  </si>
  <si>
    <t>Julio E. Moreno</t>
  </si>
  <si>
    <t>Salinas</t>
  </si>
  <si>
    <t>San Lorenzo</t>
  </si>
  <si>
    <t>San Simón</t>
  </si>
  <si>
    <t>Santa Fe</t>
  </si>
  <si>
    <t>Simiátug</t>
  </si>
  <si>
    <t>San Luis de Pambil</t>
  </si>
  <si>
    <t>Chillanes</t>
  </si>
  <si>
    <t>San José del Tambo</t>
  </si>
  <si>
    <t>Chimbo</t>
  </si>
  <si>
    <t>San José de Chimbo</t>
  </si>
  <si>
    <t>Asunción</t>
  </si>
  <si>
    <t>La Magdalena</t>
  </si>
  <si>
    <t>San Sebastián</t>
  </si>
  <si>
    <t>Telimbela</t>
  </si>
  <si>
    <t>Echeandía</t>
  </si>
  <si>
    <t>San Miguel</t>
  </si>
  <si>
    <t>Balsapamba</t>
  </si>
  <si>
    <t>Bilován</t>
  </si>
  <si>
    <t>Régulo de Mora</t>
  </si>
  <si>
    <t>San Pablo</t>
  </si>
  <si>
    <t>Santiago</t>
  </si>
  <si>
    <t>Caluma</t>
  </si>
  <si>
    <t>Las Naves</t>
  </si>
  <si>
    <t>Cañar</t>
  </si>
  <si>
    <t>Azogues</t>
  </si>
  <si>
    <t>Cojitambo</t>
  </si>
  <si>
    <t>Guapán</t>
  </si>
  <si>
    <t>Javier Loyola</t>
  </si>
  <si>
    <t>Luis Cordero</t>
  </si>
  <si>
    <t>Pindilig</t>
  </si>
  <si>
    <t>Rivera</t>
  </si>
  <si>
    <t>Taday</t>
  </si>
  <si>
    <t>Biblián</t>
  </si>
  <si>
    <t>Nazón</t>
  </si>
  <si>
    <t>San Francisco de Sageo</t>
  </si>
  <si>
    <t>Turupamba</t>
  </si>
  <si>
    <t>Jerusalén</t>
  </si>
  <si>
    <t>Chontamarca</t>
  </si>
  <si>
    <t>Chorocopte</t>
  </si>
  <si>
    <t>General Morales</t>
  </si>
  <si>
    <t>Gualleturo</t>
  </si>
  <si>
    <t>Honorato Vásquez</t>
  </si>
  <si>
    <t>Ingapirca</t>
  </si>
  <si>
    <t>Juncal</t>
  </si>
  <si>
    <t>San Antonio</t>
  </si>
  <si>
    <t>Zhud</t>
  </si>
  <si>
    <t>Ventura</t>
  </si>
  <si>
    <t>Ducur</t>
  </si>
  <si>
    <t>La Troncal</t>
  </si>
  <si>
    <t>Manuel J. Calle</t>
  </si>
  <si>
    <t>Pancho Negro</t>
  </si>
  <si>
    <t>El Tambo</t>
  </si>
  <si>
    <t>Déleg</t>
  </si>
  <si>
    <t>Solano</t>
  </si>
  <si>
    <t>Suscal</t>
  </si>
  <si>
    <t>Carchi</t>
  </si>
  <si>
    <t>Tulcán</t>
  </si>
  <si>
    <t>El Carmelo</t>
  </si>
  <si>
    <t>Julio Andrade</t>
  </si>
  <si>
    <t>Maldonado</t>
  </si>
  <si>
    <t>Pioter</t>
  </si>
  <si>
    <t>Tobar Donoso</t>
  </si>
  <si>
    <t>Tufiño</t>
  </si>
  <si>
    <t>Urbina</t>
  </si>
  <si>
    <t>El Chical</t>
  </si>
  <si>
    <t>Santa Martha de Cuba</t>
  </si>
  <si>
    <t>García Moreno</t>
  </si>
  <si>
    <t>Los Andes</t>
  </si>
  <si>
    <t>Monte Olivo</t>
  </si>
  <si>
    <t>San Vicente de Pusir</t>
  </si>
  <si>
    <t>San Rafael</t>
  </si>
  <si>
    <t>Espejo</t>
  </si>
  <si>
    <t>El Ángel</t>
  </si>
  <si>
    <t>El Goaltal</t>
  </si>
  <si>
    <t>La Libertad</t>
  </si>
  <si>
    <t>San Isidro</t>
  </si>
  <si>
    <t>Mira</t>
  </si>
  <si>
    <t>Concepción</t>
  </si>
  <si>
    <t>Jijón y Caamaño</t>
  </si>
  <si>
    <t>Juan Montalvo</t>
  </si>
  <si>
    <t>Montúfar</t>
  </si>
  <si>
    <t>San Gabriel</t>
  </si>
  <si>
    <t>Cristóbal Colón</t>
  </si>
  <si>
    <t>Chitán de Navarrete</t>
  </si>
  <si>
    <t>Fernández Salvador</t>
  </si>
  <si>
    <t>La Paz</t>
  </si>
  <si>
    <t>Piartal</t>
  </si>
  <si>
    <t>San Pedro de Huaca</t>
  </si>
  <si>
    <t>Huaca</t>
  </si>
  <si>
    <t>Mariscal Sucre</t>
  </si>
  <si>
    <t>Cotopaxi</t>
  </si>
  <si>
    <t>Latacunga</t>
  </si>
  <si>
    <t>Aláquez</t>
  </si>
  <si>
    <t>Belisario Quevedo</t>
  </si>
  <si>
    <t>Guaytacama</t>
  </si>
  <si>
    <t>Joseguango Bajo</t>
  </si>
  <si>
    <t>Mulaló</t>
  </si>
  <si>
    <t>Once de Noviembre</t>
  </si>
  <si>
    <t>Poaló</t>
  </si>
  <si>
    <t>San Juan de Pastocalle</t>
  </si>
  <si>
    <t>Tanicuchí</t>
  </si>
  <si>
    <t>Toacaso</t>
  </si>
  <si>
    <t>La Maná</t>
  </si>
  <si>
    <t>Guasaganda</t>
  </si>
  <si>
    <t>Pucayacu</t>
  </si>
  <si>
    <t>Pangua</t>
  </si>
  <si>
    <t>El Corazón</t>
  </si>
  <si>
    <t>Moraspungo</t>
  </si>
  <si>
    <t>Pinllopata</t>
  </si>
  <si>
    <t>Ramón Campaña</t>
  </si>
  <si>
    <t>Pujilí</t>
  </si>
  <si>
    <t>Angamarca</t>
  </si>
  <si>
    <t>Guangaje</t>
  </si>
  <si>
    <t>La Victoria</t>
  </si>
  <si>
    <t>Pilaló</t>
  </si>
  <si>
    <t>Tingo</t>
  </si>
  <si>
    <t>Zumbahua</t>
  </si>
  <si>
    <t>Salcedo</t>
  </si>
  <si>
    <t>Antonio José Holguín</t>
  </si>
  <si>
    <t>Cusubamba</t>
  </si>
  <si>
    <t>Mulalillo</t>
  </si>
  <si>
    <t>Mulliquindil</t>
  </si>
  <si>
    <t>Pansaleo</t>
  </si>
  <si>
    <t>Saquisilí</t>
  </si>
  <si>
    <t>Chantilín</t>
  </si>
  <si>
    <t>Cochapamba</t>
  </si>
  <si>
    <t>Sigchos</t>
  </si>
  <si>
    <t>Chugchillán</t>
  </si>
  <si>
    <t>Isinliví</t>
  </si>
  <si>
    <t>Las Pampas</t>
  </si>
  <si>
    <t>Palo Quemado</t>
  </si>
  <si>
    <t>Chimborazo</t>
  </si>
  <si>
    <t>Riobamba</t>
  </si>
  <si>
    <t>Cacha</t>
  </si>
  <si>
    <t>Calpi</t>
  </si>
  <si>
    <t>Cubijíes</t>
  </si>
  <si>
    <t>Flores</t>
  </si>
  <si>
    <t>Licán</t>
  </si>
  <si>
    <t>Licto</t>
  </si>
  <si>
    <t>Pungalá</t>
  </si>
  <si>
    <t>Punín</t>
  </si>
  <si>
    <t>Quimiag</t>
  </si>
  <si>
    <t>San Luis</t>
  </si>
  <si>
    <t>Alausí</t>
  </si>
  <si>
    <t>Achupallas</t>
  </si>
  <si>
    <t>Guasuntos</t>
  </si>
  <si>
    <t>Huigra</t>
  </si>
  <si>
    <t>Multitud</t>
  </si>
  <si>
    <t>Pistishi</t>
  </si>
  <si>
    <t>Pumallacta</t>
  </si>
  <si>
    <t>Sevilla</t>
  </si>
  <si>
    <t>Sibambe</t>
  </si>
  <si>
    <t>Tixán</t>
  </si>
  <si>
    <t>Colta</t>
  </si>
  <si>
    <t>Villa la Unión</t>
  </si>
  <si>
    <t>Cañi</t>
  </si>
  <si>
    <t>Columbe</t>
  </si>
  <si>
    <t>Juan de Velasco</t>
  </si>
  <si>
    <t>Santiago de Quito</t>
  </si>
  <si>
    <t>Chambo</t>
  </si>
  <si>
    <t>Chunchi</t>
  </si>
  <si>
    <t>Capzol</t>
  </si>
  <si>
    <t>Compud</t>
  </si>
  <si>
    <t>Gonzol</t>
  </si>
  <si>
    <t>Llagos</t>
  </si>
  <si>
    <t>Guamote</t>
  </si>
  <si>
    <t>Cebadas</t>
  </si>
  <si>
    <t>Palmira</t>
  </si>
  <si>
    <t>Guano</t>
  </si>
  <si>
    <t>Guanando</t>
  </si>
  <si>
    <t>Ilapo</t>
  </si>
  <si>
    <t>La Providencia</t>
  </si>
  <si>
    <t>San Andrés</t>
  </si>
  <si>
    <t>San Isidro De Patulú</t>
  </si>
  <si>
    <t>San José del Chazo</t>
  </si>
  <si>
    <t>Santa Fé de Galán</t>
  </si>
  <si>
    <t>Valparaíso</t>
  </si>
  <si>
    <t>Pallatanga</t>
  </si>
  <si>
    <t>Penipe</t>
  </si>
  <si>
    <t>El Altar</t>
  </si>
  <si>
    <t>Matus</t>
  </si>
  <si>
    <t>Puela</t>
  </si>
  <si>
    <t>San Antonio de Bayushig</t>
  </si>
  <si>
    <t>La Candelaria</t>
  </si>
  <si>
    <t>Bilbao</t>
  </si>
  <si>
    <t>Cumandá</t>
  </si>
  <si>
    <t>El Oro</t>
  </si>
  <si>
    <t>Machala</t>
  </si>
  <si>
    <t>El Retiro</t>
  </si>
  <si>
    <t>Arenillas</t>
  </si>
  <si>
    <t>Chacras</t>
  </si>
  <si>
    <t>Palmales</t>
  </si>
  <si>
    <t>Carcabón</t>
  </si>
  <si>
    <t>La Cuca</t>
  </si>
  <si>
    <t>Atahualpa</t>
  </si>
  <si>
    <t>Ayapamba</t>
  </si>
  <si>
    <t>Cordoncillo</t>
  </si>
  <si>
    <t>Milagro</t>
  </si>
  <si>
    <t>San José</t>
  </si>
  <si>
    <t>San Juan de Cerro Azul</t>
  </si>
  <si>
    <t>Balsas</t>
  </si>
  <si>
    <t>Bellamaría</t>
  </si>
  <si>
    <t>Chilla</t>
  </si>
  <si>
    <t>El Guabo</t>
  </si>
  <si>
    <t>Barbones</t>
  </si>
  <si>
    <t>La Iberia</t>
  </si>
  <si>
    <t>Tendales</t>
  </si>
  <si>
    <t>Río Bonito</t>
  </si>
  <si>
    <t>Huaquillas</t>
  </si>
  <si>
    <t>Marcabelí</t>
  </si>
  <si>
    <t>El Ingenio</t>
  </si>
  <si>
    <t>Pasaje</t>
  </si>
  <si>
    <t>Buenavista</t>
  </si>
  <si>
    <t>Casacay</t>
  </si>
  <si>
    <t>La Peaña</t>
  </si>
  <si>
    <t>Progreso</t>
  </si>
  <si>
    <t>Uzhcurrumi</t>
  </si>
  <si>
    <t>Cañaquemada</t>
  </si>
  <si>
    <t>Piñas</t>
  </si>
  <si>
    <t>Capiro</t>
  </si>
  <si>
    <t>La Bocana</t>
  </si>
  <si>
    <t>Moromoro</t>
  </si>
  <si>
    <t>Piedras</t>
  </si>
  <si>
    <t>San Roque</t>
  </si>
  <si>
    <t>Saracay</t>
  </si>
  <si>
    <t>Portovelo</t>
  </si>
  <si>
    <t>Curtincapa</t>
  </si>
  <si>
    <t>Morales</t>
  </si>
  <si>
    <t>Salatí</t>
  </si>
  <si>
    <t>Santa Rosa</t>
  </si>
  <si>
    <t>Bellavista</t>
  </si>
  <si>
    <t>Jambelí</t>
  </si>
  <si>
    <t>La Avanzada</t>
  </si>
  <si>
    <t>Torata</t>
  </si>
  <si>
    <t>Victoria</t>
  </si>
  <si>
    <t>Zaruma</t>
  </si>
  <si>
    <t>Abañín</t>
  </si>
  <si>
    <t>Arcapamba</t>
  </si>
  <si>
    <t>Guanazán</t>
  </si>
  <si>
    <t>Guizhaguiña</t>
  </si>
  <si>
    <t>Huertas</t>
  </si>
  <si>
    <t>Malvas</t>
  </si>
  <si>
    <t>Muluncay Grande</t>
  </si>
  <si>
    <t>Sinsao</t>
  </si>
  <si>
    <t>Salvias</t>
  </si>
  <si>
    <t>Las Lajas</t>
  </si>
  <si>
    <t>El Paraíso</t>
  </si>
  <si>
    <t>Esmeraldas</t>
  </si>
  <si>
    <t>Camarones</t>
  </si>
  <si>
    <t>Coronel Carlos Concha Torres</t>
  </si>
  <si>
    <t>Chinca</t>
  </si>
  <si>
    <t>Majua</t>
  </si>
  <si>
    <t>San Mateo</t>
  </si>
  <si>
    <t>Tabiazo</t>
  </si>
  <si>
    <t>Tachina</t>
  </si>
  <si>
    <t>Vuelta Larga</t>
  </si>
  <si>
    <t>Eloy Alfaro</t>
  </si>
  <si>
    <t>Valdez</t>
  </si>
  <si>
    <t>Anchayacu</t>
  </si>
  <si>
    <t>Borbón</t>
  </si>
  <si>
    <t>La Tola</t>
  </si>
  <si>
    <t>Luis Vargas Torres</t>
  </si>
  <si>
    <t>Pampanal de Bolívar</t>
  </si>
  <si>
    <t>San Francisco de Onzole</t>
  </si>
  <si>
    <t>Santo Domingo de Onzole</t>
  </si>
  <si>
    <t>Selva Alegre</t>
  </si>
  <si>
    <t>Telembí</t>
  </si>
  <si>
    <t>Colón Eloy del María</t>
  </si>
  <si>
    <t>San José de Cayapas</t>
  </si>
  <si>
    <t>Timbiré</t>
  </si>
  <si>
    <t>Santa Lucía de las Peñas</t>
  </si>
  <si>
    <t>Muisne</t>
  </si>
  <si>
    <t>Daule</t>
  </si>
  <si>
    <t>Galera</t>
  </si>
  <si>
    <t>Quingue</t>
  </si>
  <si>
    <t>Sálima</t>
  </si>
  <si>
    <t>San Francisco</t>
  </si>
  <si>
    <t>San Gregorio</t>
  </si>
  <si>
    <t>San José de Chamanga</t>
  </si>
  <si>
    <t>Quinindé</t>
  </si>
  <si>
    <t>Rosa Zárate</t>
  </si>
  <si>
    <t>Cube</t>
  </si>
  <si>
    <t>Chura</t>
  </si>
  <si>
    <t>Malimpia</t>
  </si>
  <si>
    <t>Viche</t>
  </si>
  <si>
    <t>Alto Tambo</t>
  </si>
  <si>
    <t>Ancón</t>
  </si>
  <si>
    <t>Calderón</t>
  </si>
  <si>
    <t>Carondelet</t>
  </si>
  <si>
    <t>5 de Junio</t>
  </si>
  <si>
    <t>Mataje</t>
  </si>
  <si>
    <t>San Javier de Cachaví</t>
  </si>
  <si>
    <t>Santa Rita</t>
  </si>
  <si>
    <t>Tambillo</t>
  </si>
  <si>
    <t>Tululbí</t>
  </si>
  <si>
    <t>Atacames</t>
  </si>
  <si>
    <t>Súa</t>
  </si>
  <si>
    <t>Tonchigüe</t>
  </si>
  <si>
    <t>Tonsupa</t>
  </si>
  <si>
    <t>Rioverde</t>
  </si>
  <si>
    <t>Chontaduro</t>
  </si>
  <si>
    <t>Chumundé</t>
  </si>
  <si>
    <t>Lagarto</t>
  </si>
  <si>
    <t>Montalvo</t>
  </si>
  <si>
    <t>Rocafuerte</t>
  </si>
  <si>
    <t>Guayas</t>
  </si>
  <si>
    <t>Guayaquil</t>
  </si>
  <si>
    <t>Juan Gómez Rendón</t>
  </si>
  <si>
    <t>Morro</t>
  </si>
  <si>
    <t>Posorja</t>
  </si>
  <si>
    <t>Puná</t>
  </si>
  <si>
    <t>Tenguel</t>
  </si>
  <si>
    <t>Alfredo Baquerizo Moreno (Juján)</t>
  </si>
  <si>
    <t>Balao</t>
  </si>
  <si>
    <t>Balzar</t>
  </si>
  <si>
    <t>Colimes</t>
  </si>
  <si>
    <t>San Jacinto</t>
  </si>
  <si>
    <t>Juan Bautista Aguirre</t>
  </si>
  <si>
    <t>Laurel</t>
  </si>
  <si>
    <t>Limonal</t>
  </si>
  <si>
    <t>Los Lojas</t>
  </si>
  <si>
    <t>Durán</t>
  </si>
  <si>
    <t>El Empalme</t>
  </si>
  <si>
    <t>Velasco Ibarra</t>
  </si>
  <si>
    <t>El Rosario</t>
  </si>
  <si>
    <t>El Triunfo</t>
  </si>
  <si>
    <t>Chobo</t>
  </si>
  <si>
    <t>Roberto Astudillo</t>
  </si>
  <si>
    <t>Naranjal</t>
  </si>
  <si>
    <t>Jesús María</t>
  </si>
  <si>
    <t>San Carlos</t>
  </si>
  <si>
    <t>Santa Rosa de Flandes</t>
  </si>
  <si>
    <t>Taura</t>
  </si>
  <si>
    <t>Naranjito</t>
  </si>
  <si>
    <t>Palestina</t>
  </si>
  <si>
    <t>Pedro Carbo</t>
  </si>
  <si>
    <t>Valle de la Virgen</t>
  </si>
  <si>
    <t>Sabanilla</t>
  </si>
  <si>
    <t>Samborondón</t>
  </si>
  <si>
    <t>Tarifa</t>
  </si>
  <si>
    <t>Santa Lucía</t>
  </si>
  <si>
    <t>Salitre</t>
  </si>
  <si>
    <t>El Salitre</t>
  </si>
  <si>
    <t>General Vernaza</t>
  </si>
  <si>
    <t>Junquillal</t>
  </si>
  <si>
    <t>San Jacinto de Yaguachi</t>
  </si>
  <si>
    <t>General Pedro J. Montero</t>
  </si>
  <si>
    <t>Yaguachi Viejo</t>
  </si>
  <si>
    <t>Virgen de Fátima</t>
  </si>
  <si>
    <t>Playas</t>
  </si>
  <si>
    <t>General Villamil</t>
  </si>
  <si>
    <t>Coronel Lorenzo de Garaycoa</t>
  </si>
  <si>
    <t>Coronel Marcelino Maridueña</t>
  </si>
  <si>
    <t>Lomas de Sargentillo</t>
  </si>
  <si>
    <t>Nobol</t>
  </si>
  <si>
    <t>Narcisa de Jesús</t>
  </si>
  <si>
    <t>General  Antonio Elizalde</t>
  </si>
  <si>
    <t>General Antonio Elizalde</t>
  </si>
  <si>
    <t>Isidro Ayora</t>
  </si>
  <si>
    <t>Imbabura</t>
  </si>
  <si>
    <t>Ibarra</t>
  </si>
  <si>
    <t>San Miguel de Ibarra</t>
  </si>
  <si>
    <t>Ambuquí</t>
  </si>
  <si>
    <t>Angochagua</t>
  </si>
  <si>
    <t>Carolina</t>
  </si>
  <si>
    <t>La Esperanza</t>
  </si>
  <si>
    <t>Lita</t>
  </si>
  <si>
    <t>Antonio Ante</t>
  </si>
  <si>
    <t>Atuntaqui</t>
  </si>
  <si>
    <t>Imbaya</t>
  </si>
  <si>
    <t>San Francisco de Natabuela</t>
  </si>
  <si>
    <t>San José de Chaltura</t>
  </si>
  <si>
    <t>Cotacachi</t>
  </si>
  <si>
    <t>Apuela</t>
  </si>
  <si>
    <t>Imantag</t>
  </si>
  <si>
    <t>Peñaherrera</t>
  </si>
  <si>
    <t>Plaza Gutiérrez</t>
  </si>
  <si>
    <t>Quiroga</t>
  </si>
  <si>
    <t>Seis De Julio de Cuellaje</t>
  </si>
  <si>
    <t>Vacas Galindo</t>
  </si>
  <si>
    <t>Otavalo</t>
  </si>
  <si>
    <t>Dr. Miguel Egas Cabezas</t>
  </si>
  <si>
    <t>Eugenio Espejo</t>
  </si>
  <si>
    <t>González Suárez</t>
  </si>
  <si>
    <t>Pataquí</t>
  </si>
  <si>
    <t>San José de Quichinche</t>
  </si>
  <si>
    <t>San Juan de Ilumán</t>
  </si>
  <si>
    <t>Pimampiro</t>
  </si>
  <si>
    <t>Chugá</t>
  </si>
  <si>
    <t>Mariano Acosta</t>
  </si>
  <si>
    <t>San Francisco de Sigsipamba</t>
  </si>
  <si>
    <t>San Miguel de Urcuquí</t>
  </si>
  <si>
    <t>Urcuquí</t>
  </si>
  <si>
    <t>Cahuasquí</t>
  </si>
  <si>
    <t>La Merced de Buenos Aires</t>
  </si>
  <si>
    <t>Pablo Arenas</t>
  </si>
  <si>
    <t>San Blas</t>
  </si>
  <si>
    <t>Tumbabiro</t>
  </si>
  <si>
    <t>Loja</t>
  </si>
  <si>
    <t>Chantaco</t>
  </si>
  <si>
    <t>Chuquiribamba</t>
  </si>
  <si>
    <t>El Cisne</t>
  </si>
  <si>
    <t>Gualel</t>
  </si>
  <si>
    <t>Jimbilla</t>
  </si>
  <si>
    <t>Malacatos</t>
  </si>
  <si>
    <t>San Lucas</t>
  </si>
  <si>
    <t>San Pedro de Vilcabamba</t>
  </si>
  <si>
    <t>Taquil</t>
  </si>
  <si>
    <t>Vilcabamba</t>
  </si>
  <si>
    <t>Yangana</t>
  </si>
  <si>
    <t>Quinara</t>
  </si>
  <si>
    <t>Calvas</t>
  </si>
  <si>
    <t>Cariamanga</t>
  </si>
  <si>
    <t>Colaisaca</t>
  </si>
  <si>
    <t>El Lucero</t>
  </si>
  <si>
    <t>Utuana</t>
  </si>
  <si>
    <t>Sanguillín</t>
  </si>
  <si>
    <t>Catamayo</t>
  </si>
  <si>
    <t>Guayquichuma</t>
  </si>
  <si>
    <t>San Pedro de la Bendita</t>
  </si>
  <si>
    <t>Zambi</t>
  </si>
  <si>
    <t>Celica</t>
  </si>
  <si>
    <t>Cruzpamba</t>
  </si>
  <si>
    <t>Pózul</t>
  </si>
  <si>
    <t>Teniente Maximiliano Rodríguez Loaiza</t>
  </si>
  <si>
    <t>Chaguarpamba</t>
  </si>
  <si>
    <t>Santa Rufina</t>
  </si>
  <si>
    <t>Amarillos</t>
  </si>
  <si>
    <t>Espíndola</t>
  </si>
  <si>
    <t>Jimbura</t>
  </si>
  <si>
    <t>Santa Teresita</t>
  </si>
  <si>
    <t>27 de Abril</t>
  </si>
  <si>
    <t>El Airo</t>
  </si>
  <si>
    <t>Gonzanamá</t>
  </si>
  <si>
    <t>Changaimina</t>
  </si>
  <si>
    <t>Nambacola</t>
  </si>
  <si>
    <t>Purunuma</t>
  </si>
  <si>
    <t>Sacapalca</t>
  </si>
  <si>
    <t>Macará</t>
  </si>
  <si>
    <t>Larama</t>
  </si>
  <si>
    <t>Sabiango</t>
  </si>
  <si>
    <t>Paltas</t>
  </si>
  <si>
    <t>Catacocha</t>
  </si>
  <si>
    <t>Cangonamá</t>
  </si>
  <si>
    <t>Guachanamá</t>
  </si>
  <si>
    <t>Lauro Guerrero</t>
  </si>
  <si>
    <t>Orianga</t>
  </si>
  <si>
    <t>Casanga</t>
  </si>
  <si>
    <t>Yamana</t>
  </si>
  <si>
    <t>Puyango</t>
  </si>
  <si>
    <t>Alamor</t>
  </si>
  <si>
    <t>Ciano</t>
  </si>
  <si>
    <t>El Arenal</t>
  </si>
  <si>
    <t>El Limo</t>
  </si>
  <si>
    <t>Mercadillo</t>
  </si>
  <si>
    <t>Vicentino</t>
  </si>
  <si>
    <t>Saraguro</t>
  </si>
  <si>
    <t>El Paraíso de Celen</t>
  </si>
  <si>
    <t>El Tablón</t>
  </si>
  <si>
    <t>Lluzhapa</t>
  </si>
  <si>
    <t>Manú</t>
  </si>
  <si>
    <t>San Antonio de Qumbe</t>
  </si>
  <si>
    <t>San Pablo de Tenta</t>
  </si>
  <si>
    <t>San Sebastián de Yúluc</t>
  </si>
  <si>
    <t>Urdaneta</t>
  </si>
  <si>
    <t>Sumaypamba</t>
  </si>
  <si>
    <t>Sozoranga</t>
  </si>
  <si>
    <t>Nueva Fátima</t>
  </si>
  <si>
    <t>Tacamoros</t>
  </si>
  <si>
    <t>Zapotillo</t>
  </si>
  <si>
    <t>Mangahurco</t>
  </si>
  <si>
    <t>Garzareal</t>
  </si>
  <si>
    <t>Limones</t>
  </si>
  <si>
    <t>Paletillas</t>
  </si>
  <si>
    <t>Bolaspamba</t>
  </si>
  <si>
    <t>Cazaderos</t>
  </si>
  <si>
    <t>Pindal</t>
  </si>
  <si>
    <t>Chaquinal</t>
  </si>
  <si>
    <t>12 de Diciembre</t>
  </si>
  <si>
    <t>Milagros</t>
  </si>
  <si>
    <t>Quilanga</t>
  </si>
  <si>
    <t>Fundochamba</t>
  </si>
  <si>
    <t>San Antonio de las Aradas</t>
  </si>
  <si>
    <t>Olmedo</t>
  </si>
  <si>
    <t>La Tingue</t>
  </si>
  <si>
    <t>Los Ríos</t>
  </si>
  <si>
    <t>Babahoyo</t>
  </si>
  <si>
    <t>Caracol</t>
  </si>
  <si>
    <t>Febres Cordero</t>
  </si>
  <si>
    <t>Pimocha</t>
  </si>
  <si>
    <t>Baba</t>
  </si>
  <si>
    <t>Guare</t>
  </si>
  <si>
    <t>Isla de Bejucal</t>
  </si>
  <si>
    <t>La Esmeralda</t>
  </si>
  <si>
    <t>Puebloviejo</t>
  </si>
  <si>
    <t>Puerto Pechiche</t>
  </si>
  <si>
    <t>Quevedo</t>
  </si>
  <si>
    <t>Catarama</t>
  </si>
  <si>
    <t>Ventanas</t>
  </si>
  <si>
    <t>Zapotal</t>
  </si>
  <si>
    <t>Chacarita</t>
  </si>
  <si>
    <t>Los Ángeles</t>
  </si>
  <si>
    <t>Vinces</t>
  </si>
  <si>
    <t>Antonio Sotomayor</t>
  </si>
  <si>
    <t>Palenque</t>
  </si>
  <si>
    <t>Buena Fe</t>
  </si>
  <si>
    <t>San Jacinto de Buena Fe</t>
  </si>
  <si>
    <t>Patricia Pilar</t>
  </si>
  <si>
    <t>Valencia</t>
  </si>
  <si>
    <t>Mocache</t>
  </si>
  <si>
    <t>Quinsaloma</t>
  </si>
  <si>
    <t>Manabí</t>
  </si>
  <si>
    <t>Portoviejo</t>
  </si>
  <si>
    <t>Alhajuela</t>
  </si>
  <si>
    <t>Crucita</t>
  </si>
  <si>
    <t>Pueblo Nuevo</t>
  </si>
  <si>
    <t>Riochico</t>
  </si>
  <si>
    <t>San Plácido</t>
  </si>
  <si>
    <t>Chirijos</t>
  </si>
  <si>
    <t>Calceta</t>
  </si>
  <si>
    <t>Membrillo</t>
  </si>
  <si>
    <t>Chone</t>
  </si>
  <si>
    <t>Boyacá</t>
  </si>
  <si>
    <t>Canuto</t>
  </si>
  <si>
    <t>Convento</t>
  </si>
  <si>
    <t>Chibunga</t>
  </si>
  <si>
    <t>El Carmen</t>
  </si>
  <si>
    <t>Wilfrido Loor Moreira</t>
  </si>
  <si>
    <t>San Pedro de Suma</t>
  </si>
  <si>
    <t>Santa María</t>
  </si>
  <si>
    <t>El Paraíso la 14</t>
  </si>
  <si>
    <t>Flavio Alfaro</t>
  </si>
  <si>
    <t>San Francisco de Novillo</t>
  </si>
  <si>
    <t>Zapallo</t>
  </si>
  <si>
    <t>Jipijapa</t>
  </si>
  <si>
    <t>América</t>
  </si>
  <si>
    <t>El Anegado</t>
  </si>
  <si>
    <t>Julcuy</t>
  </si>
  <si>
    <t>Membrillal</t>
  </si>
  <si>
    <t>Pedro Pablo Gómez</t>
  </si>
  <si>
    <t>Puerto Cayo</t>
  </si>
  <si>
    <t>Junín</t>
  </si>
  <si>
    <t>Manta</t>
  </si>
  <si>
    <t>Santa Marianita</t>
  </si>
  <si>
    <t>Montecristi</t>
  </si>
  <si>
    <t>La Pila</t>
  </si>
  <si>
    <t>Paján</t>
  </si>
  <si>
    <t>Campozano</t>
  </si>
  <si>
    <t>Cascol</t>
  </si>
  <si>
    <t>Guale</t>
  </si>
  <si>
    <t>Lascano</t>
  </si>
  <si>
    <t>Pichincha</t>
  </si>
  <si>
    <t>Barraganete</t>
  </si>
  <si>
    <t>Santa Ana de Vuelta Larga</t>
  </si>
  <si>
    <t>Ayacucho</t>
  </si>
  <si>
    <t>Sucre</t>
  </si>
  <si>
    <t>Bahía de Caráquez</t>
  </si>
  <si>
    <t>Charapotó</t>
  </si>
  <si>
    <t>Tosagua</t>
  </si>
  <si>
    <t>Bachillero</t>
  </si>
  <si>
    <t>Ángel Pedro Giler</t>
  </si>
  <si>
    <t>24 de Mayo</t>
  </si>
  <si>
    <t>Noboa</t>
  </si>
  <si>
    <t>Arquitecto Sixto Durán Ballén</t>
  </si>
  <si>
    <t>Pedernales</t>
  </si>
  <si>
    <t>Cojimíes</t>
  </si>
  <si>
    <t>Diez de Agosto</t>
  </si>
  <si>
    <t>Puerto López</t>
  </si>
  <si>
    <t>Machalilla</t>
  </si>
  <si>
    <t>Salango</t>
  </si>
  <si>
    <t>Jama</t>
  </si>
  <si>
    <t>Jaramijó</t>
  </si>
  <si>
    <t>Canoa</t>
  </si>
  <si>
    <t>Morona Santiago</t>
  </si>
  <si>
    <t>Morona</t>
  </si>
  <si>
    <t>Macas</t>
  </si>
  <si>
    <t>Alshi</t>
  </si>
  <si>
    <t>General Proaño</t>
  </si>
  <si>
    <t>Sevilla Don Bosco</t>
  </si>
  <si>
    <t>Sinaí</t>
  </si>
  <si>
    <t>Zuña</t>
  </si>
  <si>
    <t>Cuchaentza</t>
  </si>
  <si>
    <t>Río Blanco</t>
  </si>
  <si>
    <t>Gualaquiza</t>
  </si>
  <si>
    <t>Amazonas</t>
  </si>
  <si>
    <t>Bermejos</t>
  </si>
  <si>
    <t>Bomboíza</t>
  </si>
  <si>
    <t>Chigüinda</t>
  </si>
  <si>
    <t>Nueva Tarqui</t>
  </si>
  <si>
    <t>San Miguel de Cuyes</t>
  </si>
  <si>
    <t>El Ideal</t>
  </si>
  <si>
    <t>Limón Indanza</t>
  </si>
  <si>
    <t>General Leonidas Plaza Gutiérrez</t>
  </si>
  <si>
    <t>Indanza</t>
  </si>
  <si>
    <t>San Miguel de Conchay</t>
  </si>
  <si>
    <t>Santa Susana de Chiviaza</t>
  </si>
  <si>
    <t>Yunganza</t>
  </si>
  <si>
    <t>Palora</t>
  </si>
  <si>
    <t>Arapicos</t>
  </si>
  <si>
    <t>Sangay</t>
  </si>
  <si>
    <t>16 de Agosto</t>
  </si>
  <si>
    <t>Santiago de Méndez</t>
  </si>
  <si>
    <t>Copal</t>
  </si>
  <si>
    <t>Chupianza</t>
  </si>
  <si>
    <t>Patuca</t>
  </si>
  <si>
    <t>San Luis de el Acho</t>
  </si>
  <si>
    <t>Tayuza</t>
  </si>
  <si>
    <t>San Francisco de Chinimbimi</t>
  </si>
  <si>
    <t>Sucúa</t>
  </si>
  <si>
    <t>Huambi</t>
  </si>
  <si>
    <t>Santa Marianita de Jesús</t>
  </si>
  <si>
    <t>Huamboya</t>
  </si>
  <si>
    <t>Chiguaza</t>
  </si>
  <si>
    <t>San Juan Bosco</t>
  </si>
  <si>
    <t>Pan de Azúcar</t>
  </si>
  <si>
    <t>San Carlos de Limón</t>
  </si>
  <si>
    <t>San Jacinto de Wakambeis</t>
  </si>
  <si>
    <t>Santiago de Pananza</t>
  </si>
  <si>
    <t>Taisha</t>
  </si>
  <si>
    <t>Huasaga</t>
  </si>
  <si>
    <t>Macuma</t>
  </si>
  <si>
    <t>Tuutinentsa</t>
  </si>
  <si>
    <t>Pumpuentsa</t>
  </si>
  <si>
    <t>Logroño</t>
  </si>
  <si>
    <t>Yaupi</t>
  </si>
  <si>
    <t>Shimpis</t>
  </si>
  <si>
    <t>Pablo Sexto</t>
  </si>
  <si>
    <t>Tiwintza</t>
  </si>
  <si>
    <t>San José de Morona</t>
  </si>
  <si>
    <t>Napo</t>
  </si>
  <si>
    <t>Tena</t>
  </si>
  <si>
    <t>Ahuano</t>
  </si>
  <si>
    <t>Chontapunta</t>
  </si>
  <si>
    <t>Pano</t>
  </si>
  <si>
    <t>Puerto Misahuallí</t>
  </si>
  <si>
    <t>Puerto Napo</t>
  </si>
  <si>
    <t>Tálag</t>
  </si>
  <si>
    <t>San Juan de Muyuna</t>
  </si>
  <si>
    <t>Archidona</t>
  </si>
  <si>
    <t>Cotundo</t>
  </si>
  <si>
    <t>San Pablo de Ushpayacu</t>
  </si>
  <si>
    <t>Hatun Sumaku</t>
  </si>
  <si>
    <t>El Chaco</t>
  </si>
  <si>
    <t>Gonzalo Díaz de Pineda</t>
  </si>
  <si>
    <t>Linares</t>
  </si>
  <si>
    <t>Oyacachi</t>
  </si>
  <si>
    <t>Sardinas</t>
  </si>
  <si>
    <t>Quijos</t>
  </si>
  <si>
    <t>Baeza</t>
  </si>
  <si>
    <t>Cosanga</t>
  </si>
  <si>
    <t>Cuyuja</t>
  </si>
  <si>
    <t>Papallacta</t>
  </si>
  <si>
    <t>San Francisco de Borja</t>
  </si>
  <si>
    <t>Sumaco</t>
  </si>
  <si>
    <t>Carlos Julio Arosemena Tola</t>
  </si>
  <si>
    <t>Pastaza</t>
  </si>
  <si>
    <t>Puyo</t>
  </si>
  <si>
    <t>Canelos</t>
  </si>
  <si>
    <t>Fátima</t>
  </si>
  <si>
    <t>Pomona</t>
  </si>
  <si>
    <t>Río Corrientes</t>
  </si>
  <si>
    <t>Río Tigre</t>
  </si>
  <si>
    <t>Sarayacu</t>
  </si>
  <si>
    <t>Teniente Hugo Ortiz</t>
  </si>
  <si>
    <t>Veracruz</t>
  </si>
  <si>
    <t>Mera</t>
  </si>
  <si>
    <t>Madre Tierra</t>
  </si>
  <si>
    <t>Shell</t>
  </si>
  <si>
    <t>Santa Clara</t>
  </si>
  <si>
    <t>Arajuno</t>
  </si>
  <si>
    <t>Curaray</t>
  </si>
  <si>
    <t>Distrito Metropolitano de Quito</t>
  </si>
  <si>
    <t>Quito</t>
  </si>
  <si>
    <t>Alangasí</t>
  </si>
  <si>
    <t>Amaguaña</t>
  </si>
  <si>
    <t>Calacalí</t>
  </si>
  <si>
    <t>Conocoto</t>
  </si>
  <si>
    <t>Cumbayá</t>
  </si>
  <si>
    <t>Chavezpamba</t>
  </si>
  <si>
    <t>El Quinche</t>
  </si>
  <si>
    <t>Gualea</t>
  </si>
  <si>
    <t>Guangopolo</t>
  </si>
  <si>
    <t>Guayllabamba</t>
  </si>
  <si>
    <t>La Merced</t>
  </si>
  <si>
    <t>Llano Chico</t>
  </si>
  <si>
    <t>Lloa</t>
  </si>
  <si>
    <t>Nanegal</t>
  </si>
  <si>
    <t>Nanegalito</t>
  </si>
  <si>
    <t>Nayón</t>
  </si>
  <si>
    <t>Nono</t>
  </si>
  <si>
    <t>Pacto</t>
  </si>
  <si>
    <t>Perucho</t>
  </si>
  <si>
    <t>Pifo</t>
  </si>
  <si>
    <t>Píntag</t>
  </si>
  <si>
    <t>Pomasqui</t>
  </si>
  <si>
    <t>Puéllaro</t>
  </si>
  <si>
    <t>Puembo</t>
  </si>
  <si>
    <t>San José de Minas</t>
  </si>
  <si>
    <t>Tababela</t>
  </si>
  <si>
    <t>Tumbaco</t>
  </si>
  <si>
    <t>Yaruquí</t>
  </si>
  <si>
    <t>Zámbiza</t>
  </si>
  <si>
    <t>Cayambe</t>
  </si>
  <si>
    <t>Ascázubi</t>
  </si>
  <si>
    <t>Cangahua</t>
  </si>
  <si>
    <t>Otón</t>
  </si>
  <si>
    <t>Santa Rosa de Cuzubamba</t>
  </si>
  <si>
    <t>San José de Ayora</t>
  </si>
  <si>
    <t>Mejía</t>
  </si>
  <si>
    <t>Machachi</t>
  </si>
  <si>
    <t>Aloag</t>
  </si>
  <si>
    <t>Aloasí</t>
  </si>
  <si>
    <t>Cutuglahua</t>
  </si>
  <si>
    <t>El Chaupi</t>
  </si>
  <si>
    <t>Manuel Cornejo Astorga</t>
  </si>
  <si>
    <t>Uyumbicho</t>
  </si>
  <si>
    <t>Pedro Moncayo</t>
  </si>
  <si>
    <t>Tabacundo</t>
  </si>
  <si>
    <t>Malchinguí</t>
  </si>
  <si>
    <t>Tocachi</t>
  </si>
  <si>
    <t>Tupigachi</t>
  </si>
  <si>
    <t>Rumiñahui</t>
  </si>
  <si>
    <t>Sangolquí</t>
  </si>
  <si>
    <t>Cotogchoa</t>
  </si>
  <si>
    <t>Rumipamba</t>
  </si>
  <si>
    <t>San Miguel de los Bancos</t>
  </si>
  <si>
    <t>Mindo</t>
  </si>
  <si>
    <t>Pedro Vicente Maldonado</t>
  </si>
  <si>
    <t>Puerto Quito</t>
  </si>
  <si>
    <t>Tungurahua</t>
  </si>
  <si>
    <t>Ambato</t>
  </si>
  <si>
    <t>Ambatillo</t>
  </si>
  <si>
    <t>Augusto N. Martínez</t>
  </si>
  <si>
    <t>Constantino Fernández</t>
  </si>
  <si>
    <t>Huachi Grande</t>
  </si>
  <si>
    <t>Izamba</t>
  </si>
  <si>
    <t>Juan Benigno Vela</t>
  </si>
  <si>
    <t>Pasa</t>
  </si>
  <si>
    <t>Picaihua</t>
  </si>
  <si>
    <t>Pilagüín (PILAHUÍN)</t>
  </si>
  <si>
    <t>Quisapincha</t>
  </si>
  <si>
    <t>San Bartolomé de Pinllo</t>
  </si>
  <si>
    <t>Totoras</t>
  </si>
  <si>
    <t>Cunchibamba</t>
  </si>
  <si>
    <t>Unamuncho</t>
  </si>
  <si>
    <t>Baños de Agua Santa</t>
  </si>
  <si>
    <t>Lligua</t>
  </si>
  <si>
    <t>Río Negro</t>
  </si>
  <si>
    <t>Río Verde</t>
  </si>
  <si>
    <t>Ulba</t>
  </si>
  <si>
    <t>Cevallos</t>
  </si>
  <si>
    <t>Mocha</t>
  </si>
  <si>
    <t>Pinguilí</t>
  </si>
  <si>
    <t>Patate</t>
  </si>
  <si>
    <t>Quero</t>
  </si>
  <si>
    <t>Yanayacu-Mochapata</t>
  </si>
  <si>
    <t>San Pedro de Pelileo</t>
  </si>
  <si>
    <t>Pelileo</t>
  </si>
  <si>
    <t>Benítez</t>
  </si>
  <si>
    <t>Cotaló</t>
  </si>
  <si>
    <t>Chiquicha</t>
  </si>
  <si>
    <t>Guambaló</t>
  </si>
  <si>
    <t>Salasaca</t>
  </si>
  <si>
    <t>Santiago de Píllaro</t>
  </si>
  <si>
    <t>Píllaro</t>
  </si>
  <si>
    <t>Baquerizo Moreno</t>
  </si>
  <si>
    <t>Emilio María Terán</t>
  </si>
  <si>
    <t>Marcos Espinel</t>
  </si>
  <si>
    <t>Presidente Urbina</t>
  </si>
  <si>
    <t>San José de Poaló</t>
  </si>
  <si>
    <t>San Miguelito</t>
  </si>
  <si>
    <t>Tisaleo</t>
  </si>
  <si>
    <t>Quinchicoto</t>
  </si>
  <si>
    <t>Zamora Chinchipe</t>
  </si>
  <si>
    <t>Zamora</t>
  </si>
  <si>
    <t>Cumbaratza</t>
  </si>
  <si>
    <t>Guadalupe</t>
  </si>
  <si>
    <t>Imbana</t>
  </si>
  <si>
    <t>Timbara</t>
  </si>
  <si>
    <t>San Carlos de las Minas</t>
  </si>
  <si>
    <t>Chinchipe</t>
  </si>
  <si>
    <t>Zumba</t>
  </si>
  <si>
    <t>Chito</t>
  </si>
  <si>
    <t>El Chorro</t>
  </si>
  <si>
    <t>La Chonta</t>
  </si>
  <si>
    <t>Pucapamba</t>
  </si>
  <si>
    <t>Nangaritza</t>
  </si>
  <si>
    <t>Guayzimi</t>
  </si>
  <si>
    <t>Zurmi</t>
  </si>
  <si>
    <t>Nuevo Paraíso</t>
  </si>
  <si>
    <t>Nankais</t>
  </si>
  <si>
    <t>Yacuambi</t>
  </si>
  <si>
    <t>28 de Mayo</t>
  </si>
  <si>
    <t>Tutupali</t>
  </si>
  <si>
    <t>Yantzaza</t>
  </si>
  <si>
    <t>Chicaña</t>
  </si>
  <si>
    <t>Los Encuentros</t>
  </si>
  <si>
    <t>El Pangui</t>
  </si>
  <si>
    <t>El Guisme</t>
  </si>
  <si>
    <t>Pachicutza</t>
  </si>
  <si>
    <t>Tundayme</t>
  </si>
  <si>
    <t>Centinela del Cóndor</t>
  </si>
  <si>
    <t>Zumbi</t>
  </si>
  <si>
    <t>Triunfo Dorado</t>
  </si>
  <si>
    <t>Panguintza</t>
  </si>
  <si>
    <t>Palanda</t>
  </si>
  <si>
    <t>El Porvenir del Carmen</t>
  </si>
  <si>
    <t>San Francisco del Vergel</t>
  </si>
  <si>
    <t>Valladolid</t>
  </si>
  <si>
    <t>La Canela</t>
  </si>
  <si>
    <t>Paquisha</t>
  </si>
  <si>
    <t>Nuevo Quito</t>
  </si>
  <si>
    <t>Galápagos</t>
  </si>
  <si>
    <t>Puerto Baquerizo Moreno</t>
  </si>
  <si>
    <t>Isla Santa María Floreana</t>
  </si>
  <si>
    <t>Isabela</t>
  </si>
  <si>
    <t>Puerto Villamil</t>
  </si>
  <si>
    <t>Tomás de Berlanga</t>
  </si>
  <si>
    <t>Santa Cruz</t>
  </si>
  <si>
    <t>Puerto Ayora</t>
  </si>
  <si>
    <t>Bella Vista</t>
  </si>
  <si>
    <t>Sucumbíos</t>
  </si>
  <si>
    <t>Lago Agrio</t>
  </si>
  <si>
    <t>Nueva Loja</t>
  </si>
  <si>
    <t>Dureno</t>
  </si>
  <si>
    <t>General Farfán</t>
  </si>
  <si>
    <t>El Eno</t>
  </si>
  <si>
    <t>Pacayacu</t>
  </si>
  <si>
    <t>Santa Cecilia</t>
  </si>
  <si>
    <t>10 de Agosto</t>
  </si>
  <si>
    <t>Gonzalo Pizarro</t>
  </si>
  <si>
    <t>Lumbaquí</t>
  </si>
  <si>
    <t>El Reventador</t>
  </si>
  <si>
    <t>Puerto Libre</t>
  </si>
  <si>
    <t>Putumayo</t>
  </si>
  <si>
    <t>Puerto el Carmen de Putumayo</t>
  </si>
  <si>
    <t>Palma Roja</t>
  </si>
  <si>
    <t>Puerto Bolívar</t>
  </si>
  <si>
    <t>Puerto Rodríguez</t>
  </si>
  <si>
    <t>Santa Elena</t>
  </si>
  <si>
    <t>Sansahuari</t>
  </si>
  <si>
    <t>Shushufindi</t>
  </si>
  <si>
    <t>Limoncocha</t>
  </si>
  <si>
    <t>Pañacocha</t>
  </si>
  <si>
    <t>San Pedro de los Cofánes</t>
  </si>
  <si>
    <t>Siete de Julio</t>
  </si>
  <si>
    <t>La Bonita</t>
  </si>
  <si>
    <t>El Playón de San Francisco</t>
  </si>
  <si>
    <t>La Sofía</t>
  </si>
  <si>
    <t>Rosa Florida</t>
  </si>
  <si>
    <t>Santa Bárbara</t>
  </si>
  <si>
    <t>Cascales</t>
  </si>
  <si>
    <t>El Dorado de Cascales</t>
  </si>
  <si>
    <t>Santa Rosa de Sucumbíos</t>
  </si>
  <si>
    <t>Nueva Troncal</t>
  </si>
  <si>
    <t>Cuyabeno</t>
  </si>
  <si>
    <t>Tarapoa</t>
  </si>
  <si>
    <t>Aguas Negras</t>
  </si>
  <si>
    <t>Orellana</t>
  </si>
  <si>
    <t>Francisco de Orellana</t>
  </si>
  <si>
    <t>El Coca (PUERTO FRANCISCO DE ORELLANA)</t>
  </si>
  <si>
    <t>Dayuma</t>
  </si>
  <si>
    <t>Taracoa</t>
  </si>
  <si>
    <t>Alejandro Labaka</t>
  </si>
  <si>
    <t>El Dorado</t>
  </si>
  <si>
    <t>El Edén</t>
  </si>
  <si>
    <t>Inés Arango</t>
  </si>
  <si>
    <t>La Belleza</t>
  </si>
  <si>
    <t>San José de Guayusa</t>
  </si>
  <si>
    <t>San Luis de Armenia</t>
  </si>
  <si>
    <t>Aguarico</t>
  </si>
  <si>
    <t>Nuevo Rocafuerte</t>
  </si>
  <si>
    <t>Capitán Augusto Rivadeneyra</t>
  </si>
  <si>
    <t>Cononaco</t>
  </si>
  <si>
    <t>Santa María de Huiririma</t>
  </si>
  <si>
    <t>Yasuní</t>
  </si>
  <si>
    <t>La Joya de los Sachas</t>
  </si>
  <si>
    <t>Enokanqui</t>
  </si>
  <si>
    <t>Pompeya</t>
  </si>
  <si>
    <t>San Sebastián del Coca</t>
  </si>
  <si>
    <t>Lago San Pedro</t>
  </si>
  <si>
    <t>Tres de Noviembre</t>
  </si>
  <si>
    <t>Unión Milagreña</t>
  </si>
  <si>
    <t>Loreto</t>
  </si>
  <si>
    <t>Ávila</t>
  </si>
  <si>
    <t>Puerto Murialdo</t>
  </si>
  <si>
    <t>San José de Payamino</t>
  </si>
  <si>
    <t>San José de Dahuano</t>
  </si>
  <si>
    <t>San Vicente de Huaticocha</t>
  </si>
  <si>
    <t>Santo Domingo de los Tsáchilas</t>
  </si>
  <si>
    <t>Santo Domingo</t>
  </si>
  <si>
    <t>Santo Domingo de los Colorados</t>
  </si>
  <si>
    <t>Alluriquín</t>
  </si>
  <si>
    <t>Puerto Limón</t>
  </si>
  <si>
    <t>Luz de América</t>
  </si>
  <si>
    <t>San Jacinto del Búa</t>
  </si>
  <si>
    <t>Valle Hermoso</t>
  </si>
  <si>
    <t>El Esfuerzo</t>
  </si>
  <si>
    <t>Santa María del Toachi</t>
  </si>
  <si>
    <t>La Concordia</t>
  </si>
  <si>
    <t>Monterrey</t>
  </si>
  <si>
    <t>La Villegas</t>
  </si>
  <si>
    <t>Plan Piloto</t>
  </si>
  <si>
    <t>Colonche</t>
  </si>
  <si>
    <t>Chanduy</t>
  </si>
  <si>
    <t>Manglaralto</t>
  </si>
  <si>
    <t>San José de Ancón</t>
  </si>
  <si>
    <t>Anconcito</t>
  </si>
  <si>
    <t>José Luis Tamayo</t>
  </si>
  <si>
    <t>Cuchil</t>
  </si>
  <si>
    <t>Canchagua</t>
  </si>
  <si>
    <t>rankeo</t>
  </si>
  <si>
    <t>virs/pop</t>
  </si>
  <si>
    <t>edi/m2_auo</t>
  </si>
  <si>
    <t>VIIRS</t>
  </si>
  <si>
    <t>&lt;0</t>
  </si>
  <si>
    <t>&gt;0</t>
  </si>
  <si>
    <t>*</t>
  </si>
  <si>
    <t>(luz por habitante)</t>
  </si>
  <si>
    <t>Estandarizar</t>
  </si>
  <si>
    <t>dt/dedi</t>
  </si>
  <si>
    <t>EC010155</t>
  </si>
  <si>
    <t>EC010360</t>
  </si>
  <si>
    <t>EC010451</t>
  </si>
  <si>
    <t>EC010556</t>
  </si>
  <si>
    <t>EC011152</t>
  </si>
  <si>
    <t>EC030352</t>
  </si>
  <si>
    <t>EC030355</t>
  </si>
  <si>
    <t>EC030750</t>
  </si>
  <si>
    <t>EC050551</t>
  </si>
  <si>
    <t>EC050653</t>
  </si>
  <si>
    <t>EC071352</t>
  </si>
  <si>
    <t>EC071357</t>
  </si>
  <si>
    <t>EC080256</t>
  </si>
  <si>
    <t>EC090653</t>
  </si>
  <si>
    <t>EC091452</t>
  </si>
  <si>
    <t>EC091953</t>
  </si>
  <si>
    <t>EC100253</t>
  </si>
  <si>
    <t>EC111153</t>
  </si>
  <si>
    <t>EC111157</t>
  </si>
  <si>
    <t>EC111160</t>
  </si>
  <si>
    <t>EC131050</t>
  </si>
  <si>
    <t>EC131053</t>
  </si>
  <si>
    <t>EC131054</t>
  </si>
  <si>
    <t>EC131652</t>
  </si>
  <si>
    <t>EC140350</t>
  </si>
  <si>
    <t>EC210550</t>
  </si>
  <si>
    <t>EC210551</t>
  </si>
  <si>
    <t>EC240155</t>
  </si>
  <si>
    <t>EC240351</t>
  </si>
  <si>
    <t>EC170452</t>
  </si>
  <si>
    <t>EC170453</t>
  </si>
  <si>
    <t>EC060755</t>
  </si>
  <si>
    <t>EC100251</t>
  </si>
  <si>
    <t>EC030252</t>
  </si>
  <si>
    <t>EC210454</t>
  </si>
  <si>
    <t>EC240151</t>
  </si>
  <si>
    <t>EC140452</t>
  </si>
  <si>
    <t>EC060153</t>
  </si>
  <si>
    <t>EC010554</t>
  </si>
  <si>
    <t>EC170254</t>
  </si>
  <si>
    <t>EC010156</t>
  </si>
  <si>
    <t>EC040151</t>
  </si>
  <si>
    <t>EC030151</t>
  </si>
  <si>
    <t>EC060253</t>
  </si>
  <si>
    <t>EC030651</t>
  </si>
  <si>
    <t>EC141150</t>
  </si>
  <si>
    <t>EC060155</t>
  </si>
  <si>
    <t>EC030155</t>
  </si>
  <si>
    <t>EC010751</t>
  </si>
  <si>
    <t>EC180652</t>
  </si>
  <si>
    <t>EC170255</t>
  </si>
  <si>
    <t>EC060151</t>
  </si>
  <si>
    <t>EC170163</t>
  </si>
  <si>
    <t>EC210153</t>
  </si>
  <si>
    <t>EC011150</t>
  </si>
  <si>
    <t>EC030451</t>
  </si>
  <si>
    <t>EC070152</t>
  </si>
  <si>
    <t>EC170165</t>
  </si>
  <si>
    <t>EC060158</t>
  </si>
  <si>
    <t>EC180451</t>
  </si>
  <si>
    <t>EC010559</t>
  </si>
  <si>
    <t>EC080253</t>
  </si>
  <si>
    <t>EC010550</t>
  </si>
  <si>
    <t>EC071050</t>
  </si>
  <si>
    <t>EC010164</t>
  </si>
  <si>
    <t>EC060152</t>
  </si>
  <si>
    <t>EC010562</t>
  </si>
  <si>
    <t>EC111151</t>
  </si>
  <si>
    <t>EC170186</t>
  </si>
  <si>
    <t>EC150450</t>
  </si>
  <si>
    <t>EC010162</t>
  </si>
  <si>
    <t>EC100157</t>
  </si>
  <si>
    <t>EC030154</t>
  </si>
  <si>
    <t>EC030158</t>
  </si>
  <si>
    <t>EC030153</t>
  </si>
  <si>
    <t>EC010850</t>
  </si>
  <si>
    <t>EC040254</t>
  </si>
  <si>
    <t>EC050555</t>
  </si>
  <si>
    <t>EC100356</t>
  </si>
  <si>
    <t>EC111152</t>
  </si>
  <si>
    <t>EC010357</t>
  </si>
  <si>
    <t>EC111155</t>
  </si>
  <si>
    <t>EC240153</t>
  </si>
  <si>
    <t>EC170451</t>
  </si>
  <si>
    <t>EC091051</t>
  </si>
  <si>
    <t>EC010553</t>
  </si>
  <si>
    <t>EC240352</t>
  </si>
  <si>
    <t>EC150452</t>
  </si>
  <si>
    <t>EC170160</t>
  </si>
  <si>
    <t>EC050453</t>
  </si>
  <si>
    <t>EC150754</t>
  </si>
  <si>
    <t>EC030253</t>
  </si>
  <si>
    <t>EC100151</t>
  </si>
  <si>
    <t>EC100250</t>
  </si>
  <si>
    <t>EC120250</t>
  </si>
  <si>
    <t>EC140550</t>
  </si>
  <si>
    <t>EC190652</t>
  </si>
  <si>
    <t>EC170178</t>
  </si>
  <si>
    <t>EC100451</t>
  </si>
  <si>
    <t>EC170159</t>
  </si>
  <si>
    <t>EC030350</t>
  </si>
  <si>
    <t>EC040153</t>
  </si>
  <si>
    <t>EC220255</t>
  </si>
  <si>
    <t>EC110153</t>
  </si>
  <si>
    <t>EC020350</t>
  </si>
  <si>
    <t>EC010750</t>
  </si>
  <si>
    <t>EC060250</t>
  </si>
  <si>
    <t>EC030250</t>
  </si>
  <si>
    <t>EC010356</t>
  </si>
  <si>
    <t>EC100156</t>
  </si>
  <si>
    <t>EC092450</t>
  </si>
  <si>
    <t>EC210355</t>
  </si>
  <si>
    <t>EC220350</t>
  </si>
  <si>
    <t>EC160350</t>
  </si>
  <si>
    <t>EC240350</t>
  </si>
  <si>
    <t>EC111154</t>
  </si>
  <si>
    <t>EC140552</t>
  </si>
  <si>
    <t>EC092056</t>
  </si>
  <si>
    <t>EC010251</t>
  </si>
  <si>
    <t>EC040350</t>
  </si>
  <si>
    <t>EC010159</t>
  </si>
  <si>
    <t>EC170183</t>
  </si>
  <si>
    <t>EC020153</t>
  </si>
  <si>
    <t>EC040158</t>
  </si>
  <si>
    <t>EC060154</t>
  </si>
  <si>
    <t>EC060350</t>
  </si>
  <si>
    <t>EC091450</t>
  </si>
  <si>
    <t>EC100455</t>
  </si>
  <si>
    <t>EC091651</t>
  </si>
  <si>
    <t>EC060161</t>
  </si>
  <si>
    <t>EC040650</t>
  </si>
  <si>
    <t>EC180755</t>
  </si>
  <si>
    <t>EC240250</t>
  </si>
  <si>
    <t>EC071250</t>
  </si>
  <si>
    <t>EC190450</t>
  </si>
  <si>
    <t>EC240156</t>
  </si>
  <si>
    <t>EC100252</t>
  </si>
  <si>
    <t>EC140450</t>
  </si>
  <si>
    <t>EC040353</t>
  </si>
  <si>
    <t>EC110350</t>
  </si>
  <si>
    <t>EC170170</t>
  </si>
  <si>
    <t>EC120555</t>
  </si>
  <si>
    <t>EC010154</t>
  </si>
  <si>
    <t>EC070450</t>
  </si>
  <si>
    <t>EC150750</t>
  </si>
  <si>
    <t>EC020354</t>
  </si>
  <si>
    <t>EC070250</t>
  </si>
  <si>
    <t>EC010167</t>
  </si>
  <si>
    <t>EC210554</t>
  </si>
  <si>
    <t>EC090156</t>
  </si>
  <si>
    <t>EC140454</t>
  </si>
  <si>
    <t>EC091350</t>
  </si>
  <si>
    <t>EC030150</t>
  </si>
  <si>
    <t>EC050652</t>
  </si>
  <si>
    <t>EC180756</t>
  </si>
  <si>
    <t>EC091950</t>
  </si>
  <si>
    <t>EC100350</t>
  </si>
  <si>
    <t>EC080556</t>
  </si>
  <si>
    <t>EC050455</t>
  </si>
  <si>
    <t>EC040250</t>
  </si>
  <si>
    <t>EC091951</t>
  </si>
  <si>
    <t>EC180751</t>
  </si>
  <si>
    <t>EC220454</t>
  </si>
  <si>
    <t>EC060550</t>
  </si>
  <si>
    <t>EC040550</t>
  </si>
  <si>
    <t>EC040450</t>
  </si>
  <si>
    <t>EC170179</t>
  </si>
  <si>
    <t>EC210350</t>
  </si>
  <si>
    <t>EC080755</t>
  </si>
  <si>
    <t>EC050157</t>
  </si>
  <si>
    <t>EC090852</t>
  </si>
  <si>
    <t>EC071355</t>
  </si>
  <si>
    <t>EC170177</t>
  </si>
  <si>
    <t>EC030550</t>
  </si>
  <si>
    <t>EC160252</t>
  </si>
  <si>
    <t>EC070850</t>
  </si>
  <si>
    <t>EC180951</t>
  </si>
  <si>
    <t>EC100452</t>
  </si>
  <si>
    <t>EC010950</t>
  </si>
  <si>
    <t>EC090550</t>
  </si>
  <si>
    <t>EC210150</t>
  </si>
  <si>
    <t>EC210158</t>
  </si>
  <si>
    <t>EC011450</t>
  </si>
  <si>
    <t>EC060652</t>
  </si>
  <si>
    <t>EC100254</t>
  </si>
  <si>
    <t>EC010170</t>
  </si>
  <si>
    <t>EC071350</t>
  </si>
  <si>
    <t>EC170352</t>
  </si>
  <si>
    <t>EC110157</t>
  </si>
  <si>
    <t>EC010359</t>
  </si>
  <si>
    <t>EC091152</t>
  </si>
  <si>
    <t>EC030354</t>
  </si>
  <si>
    <t>EC050651</t>
  </si>
  <si>
    <t>EC060354</t>
  </si>
  <si>
    <t>EC190551</t>
  </si>
  <si>
    <t>EC040252</t>
  </si>
  <si>
    <t>EC130656</t>
  </si>
  <si>
    <t>EC160250</t>
  </si>
  <si>
    <t>EC160450</t>
  </si>
  <si>
    <t>EC170180</t>
  </si>
  <si>
    <t>EC010166</t>
  </si>
  <si>
    <t>EC040451</t>
  </si>
  <si>
    <t>EC071356</t>
  </si>
  <si>
    <t>EC131951</t>
  </si>
  <si>
    <t>EC010358</t>
  </si>
  <si>
    <t>EC240150</t>
  </si>
  <si>
    <t>EC020351</t>
  </si>
  <si>
    <t>EC180158</t>
  </si>
  <si>
    <t>EC180758</t>
  </si>
  <si>
    <t>EC180168</t>
  </si>
  <si>
    <t>EC111050</t>
  </si>
  <si>
    <t>EC091850</t>
  </si>
  <si>
    <t>EC180151</t>
  </si>
  <si>
    <t>EC180154</t>
  </si>
  <si>
    <t>EC130454</t>
  </si>
  <si>
    <t>EC091250</t>
  </si>
  <si>
    <t>EC060450</t>
  </si>
  <si>
    <t>EC050553</t>
  </si>
  <si>
    <t>EC050552</t>
  </si>
  <si>
    <t>EC190553</t>
  </si>
  <si>
    <t>EC180155</t>
  </si>
  <si>
    <t>EC020158</t>
  </si>
  <si>
    <t>EC180160</t>
  </si>
  <si>
    <t>EC091154</t>
  </si>
  <si>
    <t>EC140451</t>
  </si>
  <si>
    <t>EC030450</t>
  </si>
  <si>
    <t>EC180855</t>
  </si>
  <si>
    <t>EC150155</t>
  </si>
  <si>
    <t>EC210450</t>
  </si>
  <si>
    <t>EC110156</t>
  </si>
  <si>
    <t>EC060754</t>
  </si>
  <si>
    <t>EC071150</t>
  </si>
  <si>
    <t>EC070254</t>
  </si>
  <si>
    <t>EC180166</t>
  </si>
  <si>
    <t>EC121051</t>
  </si>
  <si>
    <t>EC170162</t>
  </si>
  <si>
    <t>EC170156</t>
  </si>
  <si>
    <t>EC180152</t>
  </si>
  <si>
    <t>EC190550</t>
  </si>
  <si>
    <t>EC180350</t>
  </si>
  <si>
    <t>EC060650</t>
  </si>
  <si>
    <t>EC030251</t>
  </si>
  <si>
    <t>EC180163</t>
  </si>
  <si>
    <t>EC100450</t>
  </si>
  <si>
    <t>EC060160</t>
  </si>
  <si>
    <t>EC090650</t>
  </si>
  <si>
    <t>EC180156</t>
  </si>
  <si>
    <t>EC020550</t>
  </si>
  <si>
    <t>EC170151</t>
  </si>
  <si>
    <t>EC130657</t>
  </si>
  <si>
    <t>EC150150</t>
  </si>
  <si>
    <t>EC110750</t>
  </si>
  <si>
    <t>EC160150</t>
  </si>
  <si>
    <t>EC160163</t>
  </si>
  <si>
    <t>EC010169</t>
  </si>
  <si>
    <t>EC120850</t>
  </si>
  <si>
    <t>EC180750</t>
  </si>
  <si>
    <t>EC091050</t>
  </si>
  <si>
    <t>EC070150</t>
  </si>
  <si>
    <t>EC170155</t>
  </si>
  <si>
    <t>EC050650</t>
  </si>
  <si>
    <t>EC180153</t>
  </si>
  <si>
    <t>EC131950</t>
  </si>
  <si>
    <t>EC090950</t>
  </si>
  <si>
    <t>EC180850</t>
  </si>
  <si>
    <t>EC090450</t>
  </si>
  <si>
    <t>EC150950</t>
  </si>
  <si>
    <t>EC111450</t>
  </si>
  <si>
    <t>EC120452</t>
  </si>
  <si>
    <t>EC050550</t>
  </si>
  <si>
    <t>EC060756</t>
  </si>
  <si>
    <t>EC170171</t>
  </si>
  <si>
    <t>EC170450</t>
  </si>
  <si>
    <t>EC210752</t>
  </si>
  <si>
    <t>EC170550</t>
  </si>
  <si>
    <t>EC040453</t>
  </si>
  <si>
    <t>EC120150</t>
  </si>
  <si>
    <t>EC140750</t>
  </si>
  <si>
    <t>EC230250</t>
  </si>
  <si>
    <t>EC070650</t>
  </si>
  <si>
    <t>EC020159</t>
  </si>
  <si>
    <t>EC180159</t>
  </si>
  <si>
    <t>EC010450</t>
  </si>
  <si>
    <t>EC180550</t>
  </si>
  <si>
    <t>EC050161</t>
  </si>
  <si>
    <t>EC120553</t>
  </si>
  <si>
    <t>EC220450</t>
  </si>
  <si>
    <t>EC170157</t>
  </si>
  <si>
    <t>EC010158</t>
  </si>
  <si>
    <t>EC190650</t>
  </si>
  <si>
    <t>EC180450</t>
  </si>
  <si>
    <t>EC060352</t>
  </si>
  <si>
    <t>EC010350</t>
  </si>
  <si>
    <t>EC091650</t>
  </si>
  <si>
    <t>EC092150</t>
  </si>
  <si>
    <t>EC111150</t>
  </si>
  <si>
    <t>EC170154</t>
  </si>
  <si>
    <t>EC100154</t>
  </si>
  <si>
    <t>EC170351</t>
  </si>
  <si>
    <t>EC140250</t>
  </si>
  <si>
    <t>EC060750</t>
  </si>
  <si>
    <t>EC131650</t>
  </si>
  <si>
    <t>EC170184</t>
  </si>
  <si>
    <t>EC170353</t>
  </si>
  <si>
    <t>EC030650</t>
  </si>
  <si>
    <t>EC050162</t>
  </si>
  <si>
    <t>EC180161</t>
  </si>
  <si>
    <t>EC090350</t>
  </si>
  <si>
    <t>EC050554</t>
  </si>
  <si>
    <t>EC070950</t>
  </si>
  <si>
    <t>EC011050</t>
  </si>
  <si>
    <t>EC100550</t>
  </si>
  <si>
    <t>EC180165</t>
  </si>
  <si>
    <t>EC111350</t>
  </si>
  <si>
    <t>EC131952</t>
  </si>
  <si>
    <t>EC050751</t>
  </si>
  <si>
    <t>EC180167</t>
  </si>
  <si>
    <t>EC170185</t>
  </si>
  <si>
    <t>EC170164</t>
  </si>
  <si>
    <t>EC010150</t>
  </si>
  <si>
    <t>EC100650</t>
  </si>
  <si>
    <t>EC050153</t>
  </si>
  <si>
    <t>EC170252</t>
  </si>
  <si>
    <t>EC050250</t>
  </si>
  <si>
    <t>EC092850</t>
  </si>
  <si>
    <t>EC190250</t>
  </si>
  <si>
    <t>EC090750</t>
  </si>
  <si>
    <t>EC240152</t>
  </si>
  <si>
    <t>EC010157</t>
  </si>
  <si>
    <t>EC010160</t>
  </si>
  <si>
    <t>EC120450</t>
  </si>
  <si>
    <t>EC110850</t>
  </si>
  <si>
    <t>EC050750</t>
  </si>
  <si>
    <t>EC140850</t>
  </si>
  <si>
    <t>EC130852</t>
  </si>
  <si>
    <t>EC140150</t>
  </si>
  <si>
    <t>EC060150</t>
  </si>
  <si>
    <t>EC100150</t>
  </si>
  <si>
    <t>EC180157</t>
  </si>
  <si>
    <t>EC071251</t>
  </si>
  <si>
    <t>EC020150</t>
  </si>
  <si>
    <t>EC050450</t>
  </si>
  <si>
    <t>EC180853</t>
  </si>
  <si>
    <t>EC180854</t>
  </si>
  <si>
    <t>EC230152</t>
  </si>
  <si>
    <t>EC110150</t>
  </si>
  <si>
    <t>EC130650</t>
  </si>
  <si>
    <t>EC050152</t>
  </si>
  <si>
    <t>EC170250</t>
  </si>
  <si>
    <t>EC120851</t>
  </si>
  <si>
    <t>EC050752</t>
  </si>
  <si>
    <t>EC010452</t>
  </si>
  <si>
    <t>EC150350</t>
  </si>
  <si>
    <t>EC210750</t>
  </si>
  <si>
    <t>EC180150</t>
  </si>
  <si>
    <t>EC080166</t>
  </si>
  <si>
    <t>EC071450</t>
  </si>
  <si>
    <t>EC170350</t>
  </si>
  <si>
    <t>EC170175</t>
  </si>
  <si>
    <t>EC010163</t>
  </si>
  <si>
    <t>EC170551</t>
  </si>
  <si>
    <t>EC180650</t>
  </si>
  <si>
    <t>EC180162</t>
  </si>
  <si>
    <t>EC091150</t>
  </si>
  <si>
    <t>EC180950</t>
  </si>
  <si>
    <t>EC190150</t>
  </si>
  <si>
    <t>EC011051</t>
  </si>
  <si>
    <t>EC090850</t>
  </si>
  <si>
    <t>EC060156</t>
  </si>
  <si>
    <t>EC130252</t>
  </si>
  <si>
    <t>EC132150</t>
  </si>
  <si>
    <t>EC090157</t>
  </si>
  <si>
    <t>EC010151</t>
  </si>
  <si>
    <t>EC130952</t>
  </si>
  <si>
    <t>EC010851</t>
  </si>
  <si>
    <t>EC092050</t>
  </si>
  <si>
    <t>EC060850</t>
  </si>
  <si>
    <t>EC100353</t>
  </si>
  <si>
    <t>EC010165</t>
  </si>
  <si>
    <t>EC140650</t>
  </si>
  <si>
    <t>EC050151</t>
  </si>
  <si>
    <t>EC080550</t>
  </si>
  <si>
    <t>EC131350</t>
  </si>
  <si>
    <t>EC150451</t>
  </si>
  <si>
    <t>EC130851</t>
  </si>
  <si>
    <t>EC110450</t>
  </si>
  <si>
    <t>EC170176</t>
  </si>
  <si>
    <t>EC050158</t>
  </si>
  <si>
    <t>EC010250</t>
  </si>
  <si>
    <t>EC080450</t>
  </si>
  <si>
    <t>EC170152</t>
  </si>
  <si>
    <t>EC121050</t>
  </si>
  <si>
    <t>EC210251</t>
  </si>
  <si>
    <t>EC220451</t>
  </si>
  <si>
    <t>EC220250</t>
  </si>
  <si>
    <t>EC050150</t>
  </si>
  <si>
    <t>EC180250</t>
  </si>
  <si>
    <t>EC090656</t>
  </si>
  <si>
    <t>EC180754</t>
  </si>
  <si>
    <t>EC092550</t>
  </si>
  <si>
    <t>EC210250</t>
  </si>
  <si>
    <t>EC121250</t>
  </si>
  <si>
    <t>EC060159</t>
  </si>
  <si>
    <t>EC130153</t>
  </si>
  <si>
    <t>EC170357</t>
  </si>
  <si>
    <t>EC100352</t>
  </si>
  <si>
    <t>EC050458</t>
  </si>
  <si>
    <t>EC170356</t>
  </si>
  <si>
    <t>EC120154</t>
  </si>
  <si>
    <t>EC150156</t>
  </si>
  <si>
    <t>EC130658</t>
  </si>
  <si>
    <t>EC050156</t>
  </si>
  <si>
    <t>EC131150</t>
  </si>
  <si>
    <t>EC240154</t>
  </si>
  <si>
    <t>EC040150</t>
  </si>
  <si>
    <t>EC120550</t>
  </si>
  <si>
    <t>EC060251</t>
  </si>
  <si>
    <t>EC131352</t>
  </si>
  <si>
    <t>EC130450</t>
  </si>
  <si>
    <t>EC130850</t>
  </si>
  <si>
    <t>EC150454</t>
  </si>
  <si>
    <t>EC110161</t>
  </si>
  <si>
    <t>EC170256</t>
  </si>
  <si>
    <t>EC130250</t>
  </si>
  <si>
    <t>EC070750</t>
  </si>
  <si>
    <t>EC220150</t>
  </si>
  <si>
    <t>EC110250</t>
  </si>
  <si>
    <t>EC131850</t>
  </si>
  <si>
    <t>EC170150</t>
  </si>
  <si>
    <t>EC080168</t>
  </si>
  <si>
    <t>EC080150</t>
  </si>
  <si>
    <t>EC090150</t>
  </si>
  <si>
    <t>EC131453</t>
  </si>
  <si>
    <t>EC131450</t>
  </si>
  <si>
    <t>EC080650</t>
  </si>
  <si>
    <t>EC080356</t>
  </si>
  <si>
    <t>EC130950</t>
  </si>
  <si>
    <t>EC130550</t>
  </si>
  <si>
    <t>EC080350</t>
  </si>
  <si>
    <t>EC131250</t>
  </si>
  <si>
    <t>EC060260</t>
  </si>
  <si>
    <t>EC130150</t>
  </si>
  <si>
    <t>EC130151</t>
  </si>
  <si>
    <t>EC130156</t>
  </si>
  <si>
    <t>EC050154</t>
  </si>
  <si>
    <t>EC170950</t>
  </si>
  <si>
    <t>EC132050</t>
  </si>
  <si>
    <t>EC130352</t>
  </si>
  <si>
    <t>EC131752</t>
  </si>
  <si>
    <t>EC131550</t>
  </si>
  <si>
    <t>EC140950</t>
  </si>
  <si>
    <t>EC131457</t>
  </si>
  <si>
    <t>EC130750</t>
  </si>
  <si>
    <t>EC121150</t>
  </si>
  <si>
    <t>EC130355</t>
  </si>
  <si>
    <t>EC130350</t>
  </si>
  <si>
    <t>EC132250</t>
  </si>
  <si>
    <t>EC131750</t>
  </si>
  <si>
    <t>EC230150</t>
  </si>
  <si>
    <t>EC050159</t>
  </si>
  <si>
    <t>EC210252</t>
  </si>
  <si>
    <t>EC010152</t>
  </si>
  <si>
    <t>EC010161</t>
  </si>
  <si>
    <t>EC010168</t>
  </si>
  <si>
    <t>EC010171</t>
  </si>
  <si>
    <t>EC010252</t>
  </si>
  <si>
    <t>EC010353</t>
  </si>
  <si>
    <t>EC010453</t>
  </si>
  <si>
    <t>EC010552</t>
  </si>
  <si>
    <t>EC010650</t>
  </si>
  <si>
    <t>EC010652</t>
  </si>
  <si>
    <t>EC010853</t>
  </si>
  <si>
    <t>EC010854</t>
  </si>
  <si>
    <t>EC010952</t>
  </si>
  <si>
    <t>EC010955</t>
  </si>
  <si>
    <t>EC011153</t>
  </si>
  <si>
    <t>EC011351</t>
  </si>
  <si>
    <t>EC011550</t>
  </si>
  <si>
    <t>EC020155</t>
  </si>
  <si>
    <t>EC020156</t>
  </si>
  <si>
    <t>EC020157</t>
  </si>
  <si>
    <t>EC020160</t>
  </si>
  <si>
    <t>EC020250</t>
  </si>
  <si>
    <t>EC020251</t>
  </si>
  <si>
    <t>EC020353</t>
  </si>
  <si>
    <t>EC020355</t>
  </si>
  <si>
    <t>EC020450</t>
  </si>
  <si>
    <t>EC020551</t>
  </si>
  <si>
    <t>EC020552</t>
  </si>
  <si>
    <t>EC020553</t>
  </si>
  <si>
    <t>EC020554</t>
  </si>
  <si>
    <t>EC020555</t>
  </si>
  <si>
    <t>EC020556</t>
  </si>
  <si>
    <t>EC020650</t>
  </si>
  <si>
    <t>EC020750</t>
  </si>
  <si>
    <t>EC030156</t>
  </si>
  <si>
    <t>EC030157</t>
  </si>
  <si>
    <t>EC030160</t>
  </si>
  <si>
    <t>EC030254</t>
  </si>
  <si>
    <t>EC030353</t>
  </si>
  <si>
    <t>EC030356</t>
  </si>
  <si>
    <t>EC030357</t>
  </si>
  <si>
    <t>EC030358</t>
  </si>
  <si>
    <t>EC030361</t>
  </si>
  <si>
    <t>EC030363</t>
  </si>
  <si>
    <t>EC040154</t>
  </si>
  <si>
    <t>EC040155</t>
  </si>
  <si>
    <t>EC040156</t>
  </si>
  <si>
    <t>EC040157</t>
  </si>
  <si>
    <t>EC040159</t>
  </si>
  <si>
    <t>EC040161</t>
  </si>
  <si>
    <t>EC040251</t>
  </si>
  <si>
    <t>EC040253</t>
  </si>
  <si>
    <t>EC040255</t>
  </si>
  <si>
    <t>EC040351</t>
  </si>
  <si>
    <t>EC040352</t>
  </si>
  <si>
    <t>EC040452</t>
  </si>
  <si>
    <t>EC040551</t>
  </si>
  <si>
    <t>EC040553</t>
  </si>
  <si>
    <t>EC050251</t>
  </si>
  <si>
    <t>EC050252</t>
  </si>
  <si>
    <t>EC050350</t>
  </si>
  <si>
    <t>EC050351</t>
  </si>
  <si>
    <t>EC050352</t>
  </si>
  <si>
    <t>EC050451</t>
  </si>
  <si>
    <t>EC050456</t>
  </si>
  <si>
    <t>EC050457</t>
  </si>
  <si>
    <t>EC050753</t>
  </si>
  <si>
    <t>EC050754</t>
  </si>
  <si>
    <t>EC060157</t>
  </si>
  <si>
    <t>EC060254</t>
  </si>
  <si>
    <t>EC060255</t>
  </si>
  <si>
    <t>EC060256</t>
  </si>
  <si>
    <t>EC060351</t>
  </si>
  <si>
    <t>EC060353</t>
  </si>
  <si>
    <t>EC060553</t>
  </si>
  <si>
    <t>EC060651</t>
  </si>
  <si>
    <t>EC060751</t>
  </si>
  <si>
    <t>EC060752</t>
  </si>
  <si>
    <t>EC060759</t>
  </si>
  <si>
    <t>EC060950</t>
  </si>
  <si>
    <t>EC060951</t>
  </si>
  <si>
    <t>EC060953</t>
  </si>
  <si>
    <t>EC060954</t>
  </si>
  <si>
    <t>EC060956</t>
  </si>
  <si>
    <t>EC061050</t>
  </si>
  <si>
    <t>EC070251</t>
  </si>
  <si>
    <t>EC070255</t>
  </si>
  <si>
    <t>EC070355</t>
  </si>
  <si>
    <t>EC070451</t>
  </si>
  <si>
    <t>EC070550</t>
  </si>
  <si>
    <t>EC070651</t>
  </si>
  <si>
    <t>EC070652</t>
  </si>
  <si>
    <t>EC070653</t>
  </si>
  <si>
    <t>EC070654</t>
  </si>
  <si>
    <t>EC070951</t>
  </si>
  <si>
    <t>EC070952</t>
  </si>
  <si>
    <t>EC070953</t>
  </si>
  <si>
    <t>EC070955</t>
  </si>
  <si>
    <t>EC071053</t>
  </si>
  <si>
    <t>EC071056</t>
  </si>
  <si>
    <t>EC071151</t>
  </si>
  <si>
    <t>EC071153</t>
  </si>
  <si>
    <t>EC071252</t>
  </si>
  <si>
    <t>EC071257</t>
  </si>
  <si>
    <t>EC071354</t>
  </si>
  <si>
    <t>EC071359</t>
  </si>
  <si>
    <t>EC071451</t>
  </si>
  <si>
    <t>EC071452</t>
  </si>
  <si>
    <t>EC080152</t>
  </si>
  <si>
    <t>EC080154</t>
  </si>
  <si>
    <t>EC080159</t>
  </si>
  <si>
    <t>EC080163</t>
  </si>
  <si>
    <t>EC080165</t>
  </si>
  <si>
    <t>EC080252</t>
  </si>
  <si>
    <t>EC080254</t>
  </si>
  <si>
    <t>EC080257</t>
  </si>
  <si>
    <t>EC080259</t>
  </si>
  <si>
    <t>EC080261</t>
  </si>
  <si>
    <t>EC080263</t>
  </si>
  <si>
    <t>EC080265</t>
  </si>
  <si>
    <t>EC080351</t>
  </si>
  <si>
    <t>EC080352</t>
  </si>
  <si>
    <t>EC080353</t>
  </si>
  <si>
    <t>EC080354</t>
  </si>
  <si>
    <t>EC080355</t>
  </si>
  <si>
    <t>EC080357</t>
  </si>
  <si>
    <t>EC080358</t>
  </si>
  <si>
    <t>EC080451</t>
  </si>
  <si>
    <t>EC080454</t>
  </si>
  <si>
    <t>EC080455</t>
  </si>
  <si>
    <t>EC080552</t>
  </si>
  <si>
    <t>EC080557</t>
  </si>
  <si>
    <t>EC080561</t>
  </si>
  <si>
    <t>EC080651</t>
  </si>
  <si>
    <t>EC080652</t>
  </si>
  <si>
    <t>EC080653</t>
  </si>
  <si>
    <t>EC080654</t>
  </si>
  <si>
    <t>EC080750</t>
  </si>
  <si>
    <t>EC080751</t>
  </si>
  <si>
    <t>EC080753</t>
  </si>
  <si>
    <t>EC080754</t>
  </si>
  <si>
    <t>EC090152</t>
  </si>
  <si>
    <t>EC090153</t>
  </si>
  <si>
    <t>EC090158</t>
  </si>
  <si>
    <t>EC090250</t>
  </si>
  <si>
    <t>EC090652</t>
  </si>
  <si>
    <t>EC090654</t>
  </si>
  <si>
    <t>EC090851</t>
  </si>
  <si>
    <t>EC091053</t>
  </si>
  <si>
    <t>EC091054</t>
  </si>
  <si>
    <t>EC091151</t>
  </si>
  <si>
    <t>EC091952</t>
  </si>
  <si>
    <t>EC092053</t>
  </si>
  <si>
    <t>EC092250</t>
  </si>
  <si>
    <t>EC092251</t>
  </si>
  <si>
    <t>EC092350</t>
  </si>
  <si>
    <t>EC092750</t>
  </si>
  <si>
    <t>EC100152</t>
  </si>
  <si>
    <t>EC100153</t>
  </si>
  <si>
    <t>EC100155</t>
  </si>
  <si>
    <t>EC100351</t>
  </si>
  <si>
    <t>EC100354</t>
  </si>
  <si>
    <t>EC100355</t>
  </si>
  <si>
    <t>EC100357</t>
  </si>
  <si>
    <t>EC100453</t>
  </si>
  <si>
    <t>EC100456</t>
  </si>
  <si>
    <t>EC100457</t>
  </si>
  <si>
    <t>EC100458</t>
  </si>
  <si>
    <t>EC100459</t>
  </si>
  <si>
    <t>EC100552</t>
  </si>
  <si>
    <t>EC100553</t>
  </si>
  <si>
    <t>EC100651</t>
  </si>
  <si>
    <t>EC100652</t>
  </si>
  <si>
    <t>EC100653</t>
  </si>
  <si>
    <t>EC100654</t>
  </si>
  <si>
    <t>EC100655</t>
  </si>
  <si>
    <t>EC110151</t>
  </si>
  <si>
    <t>EC110152</t>
  </si>
  <si>
    <t>EC110158</t>
  </si>
  <si>
    <t>EC110159</t>
  </si>
  <si>
    <t>EC110160</t>
  </si>
  <si>
    <t>EC110162</t>
  </si>
  <si>
    <t>EC110163</t>
  </si>
  <si>
    <t>EC110251</t>
  </si>
  <si>
    <t>EC110252</t>
  </si>
  <si>
    <t>EC110254</t>
  </si>
  <si>
    <t>EC110351</t>
  </si>
  <si>
    <t>EC110353</t>
  </si>
  <si>
    <t>EC110354</t>
  </si>
  <si>
    <t>EC110451</t>
  </si>
  <si>
    <t>EC110455</t>
  </si>
  <si>
    <t>EC110456</t>
  </si>
  <si>
    <t>EC110457</t>
  </si>
  <si>
    <t>EC110550</t>
  </si>
  <si>
    <t>EC110650</t>
  </si>
  <si>
    <t>EC110651</t>
  </si>
  <si>
    <t>EC110652</t>
  </si>
  <si>
    <t>EC110653</t>
  </si>
  <si>
    <t>EC110654</t>
  </si>
  <si>
    <t>EC110655</t>
  </si>
  <si>
    <t>EC110751</t>
  </si>
  <si>
    <t>EC110754</t>
  </si>
  <si>
    <t>EC110756</t>
  </si>
  <si>
    <t>EC110851</t>
  </si>
  <si>
    <t>EC110852</t>
  </si>
  <si>
    <t>EC110853</t>
  </si>
  <si>
    <t>EC110950</t>
  </si>
  <si>
    <t>EC110952</t>
  </si>
  <si>
    <t>EC110954</t>
  </si>
  <si>
    <t>EC110957</t>
  </si>
  <si>
    <t>EC110958</t>
  </si>
  <si>
    <t>EC110959</t>
  </si>
  <si>
    <t>EC111051</t>
  </si>
  <si>
    <t>EC111052</t>
  </si>
  <si>
    <t>EC111053</t>
  </si>
  <si>
    <t>EC111054</t>
  </si>
  <si>
    <t>EC111055</t>
  </si>
  <si>
    <t>EC111158</t>
  </si>
  <si>
    <t>EC111159</t>
  </si>
  <si>
    <t>EC111250</t>
  </si>
  <si>
    <t>EC111351</t>
  </si>
  <si>
    <t>EC111352</t>
  </si>
  <si>
    <t>EC111353</t>
  </si>
  <si>
    <t>EC111354</t>
  </si>
  <si>
    <t>EC111452</t>
  </si>
  <si>
    <t>EC111453</t>
  </si>
  <si>
    <t>EC111550</t>
  </si>
  <si>
    <t>EC111552</t>
  </si>
  <si>
    <t>EC111650</t>
  </si>
  <si>
    <t>EC111651</t>
  </si>
  <si>
    <t>EC120152</t>
  </si>
  <si>
    <t>EC120153</t>
  </si>
  <si>
    <t>EC120155</t>
  </si>
  <si>
    <t>EC120251</t>
  </si>
  <si>
    <t>EC120252</t>
  </si>
  <si>
    <t>EC120350</t>
  </si>
  <si>
    <t>EC120650</t>
  </si>
  <si>
    <t>EC120651</t>
  </si>
  <si>
    <t>EC120750</t>
  </si>
  <si>
    <t>EC120752</t>
  </si>
  <si>
    <t>EC120753</t>
  </si>
  <si>
    <t>EC120950</t>
  </si>
  <si>
    <t>EC121350</t>
  </si>
  <si>
    <t>EC130152</t>
  </si>
  <si>
    <t>EC130154</t>
  </si>
  <si>
    <t>EC130155</t>
  </si>
  <si>
    <t>EC130157</t>
  </si>
  <si>
    <t>EC130251</t>
  </si>
  <si>
    <t>EC130351</t>
  </si>
  <si>
    <t>EC130353</t>
  </si>
  <si>
    <t>EC130354</t>
  </si>
  <si>
    <t>EC130356</t>
  </si>
  <si>
    <t>EC130357</t>
  </si>
  <si>
    <t>EC130451</t>
  </si>
  <si>
    <t>EC130452</t>
  </si>
  <si>
    <t>EC130453</t>
  </si>
  <si>
    <t>EC130551</t>
  </si>
  <si>
    <t>EC130552</t>
  </si>
  <si>
    <t>EC130651</t>
  </si>
  <si>
    <t>EC130652</t>
  </si>
  <si>
    <t>EC130653</t>
  </si>
  <si>
    <t>EC131151</t>
  </si>
  <si>
    <t>EC131152</t>
  </si>
  <si>
    <t>EC131351</t>
  </si>
  <si>
    <t>EC131353</t>
  </si>
  <si>
    <t>EC131355</t>
  </si>
  <si>
    <t>EC131551</t>
  </si>
  <si>
    <t>EC131552</t>
  </si>
  <si>
    <t>EC131651</t>
  </si>
  <si>
    <t>EC131751</t>
  </si>
  <si>
    <t>EC131753</t>
  </si>
  <si>
    <t>EC132251</t>
  </si>
  <si>
    <t>EC140151</t>
  </si>
  <si>
    <t>EC140153</t>
  </si>
  <si>
    <t>EC140156</t>
  </si>
  <si>
    <t>EC140157</t>
  </si>
  <si>
    <t>EC140158</t>
  </si>
  <si>
    <t>EC140160</t>
  </si>
  <si>
    <t>EC140162</t>
  </si>
  <si>
    <t>EC140164</t>
  </si>
  <si>
    <t>EC140251</t>
  </si>
  <si>
    <t>EC140253</t>
  </si>
  <si>
    <t>EC140255</t>
  </si>
  <si>
    <t>EC140256</t>
  </si>
  <si>
    <t>EC140257</t>
  </si>
  <si>
    <t>EC140351</t>
  </si>
  <si>
    <t>EC140357</t>
  </si>
  <si>
    <t>EC140358</t>
  </si>
  <si>
    <t>EC140455</t>
  </si>
  <si>
    <t>EC140551</t>
  </si>
  <si>
    <t>EC140553</t>
  </si>
  <si>
    <t>EC140554</t>
  </si>
  <si>
    <t>EC140556</t>
  </si>
  <si>
    <t>EC140557</t>
  </si>
  <si>
    <t>EC140651</t>
  </si>
  <si>
    <t>EC140652</t>
  </si>
  <si>
    <t>EC140655</t>
  </si>
  <si>
    <t>EC140751</t>
  </si>
  <si>
    <t>EC140951</t>
  </si>
  <si>
    <t>EC140952</t>
  </si>
  <si>
    <t>EC140953</t>
  </si>
  <si>
    <t>EC140954</t>
  </si>
  <si>
    <t>EC141050</t>
  </si>
  <si>
    <t>EC141052</t>
  </si>
  <si>
    <t>EC141250</t>
  </si>
  <si>
    <t>EC141251</t>
  </si>
  <si>
    <t>EC150151</t>
  </si>
  <si>
    <t>EC150153</t>
  </si>
  <si>
    <t>EC150154</t>
  </si>
  <si>
    <t>EC150157</t>
  </si>
  <si>
    <t>EC150158</t>
  </si>
  <si>
    <t>EC150352</t>
  </si>
  <si>
    <t>EC150356</t>
  </si>
  <si>
    <t>EC150453</t>
  </si>
  <si>
    <t>EC150455</t>
  </si>
  <si>
    <t>EC150751</t>
  </si>
  <si>
    <t>EC150753</t>
  </si>
  <si>
    <t>EC150756</t>
  </si>
  <si>
    <t>EC160152</t>
  </si>
  <si>
    <t>EC160154</t>
  </si>
  <si>
    <t>EC160155</t>
  </si>
  <si>
    <t>EC160157</t>
  </si>
  <si>
    <t>EC160158</t>
  </si>
  <si>
    <t>EC160161</t>
  </si>
  <si>
    <t>EC160162</t>
  </si>
  <si>
    <t>EC160164</t>
  </si>
  <si>
    <t>EC160165</t>
  </si>
  <si>
    <t>EC160166</t>
  </si>
  <si>
    <t>EC160251</t>
  </si>
  <si>
    <t>EC160451</t>
  </si>
  <si>
    <t>EC170153</t>
  </si>
  <si>
    <t>EC170161</t>
  </si>
  <si>
    <t>EC170166</t>
  </si>
  <si>
    <t>EC170168</t>
  </si>
  <si>
    <t>EC170169</t>
  </si>
  <si>
    <t>EC170172</t>
  </si>
  <si>
    <t>EC170174</t>
  </si>
  <si>
    <t>EC170181</t>
  </si>
  <si>
    <t>EC170251</t>
  </si>
  <si>
    <t>EC170253</t>
  </si>
  <si>
    <t>EC170354</t>
  </si>
  <si>
    <t>EC170355</t>
  </si>
  <si>
    <t>EC170454</t>
  </si>
  <si>
    <t>EC170552</t>
  </si>
  <si>
    <t>EC170750</t>
  </si>
  <si>
    <t>EC170751</t>
  </si>
  <si>
    <t>EC170850</t>
  </si>
  <si>
    <t>EC180164</t>
  </si>
  <si>
    <t>EC180251</t>
  </si>
  <si>
    <t>EC180252</t>
  </si>
  <si>
    <t>EC180253</t>
  </si>
  <si>
    <t>EC180254</t>
  </si>
  <si>
    <t>EC180552</t>
  </si>
  <si>
    <t>EC180553</t>
  </si>
  <si>
    <t>EC180651</t>
  </si>
  <si>
    <t>EC180752</t>
  </si>
  <si>
    <t>EC180753</t>
  </si>
  <si>
    <t>EC180757</t>
  </si>
  <si>
    <t>EC180851</t>
  </si>
  <si>
    <t>EC180852</t>
  </si>
  <si>
    <t>EC180856</t>
  </si>
  <si>
    <t>EC180857</t>
  </si>
  <si>
    <t>EC190151</t>
  </si>
  <si>
    <t>EC190152</t>
  </si>
  <si>
    <t>EC190155</t>
  </si>
  <si>
    <t>EC190156</t>
  </si>
  <si>
    <t>EC190158</t>
  </si>
  <si>
    <t>EC190251</t>
  </si>
  <si>
    <t>EC190252</t>
  </si>
  <si>
    <t>EC190254</t>
  </si>
  <si>
    <t>EC190256</t>
  </si>
  <si>
    <t>EC190259</t>
  </si>
  <si>
    <t>EC190451</t>
  </si>
  <si>
    <t>EC190452</t>
  </si>
  <si>
    <t>EC190651</t>
  </si>
  <si>
    <t>EC190653</t>
  </si>
  <si>
    <t>EC190750</t>
  </si>
  <si>
    <t>EC190850</t>
  </si>
  <si>
    <t>EC190851</t>
  </si>
  <si>
    <t>EC190852</t>
  </si>
  <si>
    <t>EC190853</t>
  </si>
  <si>
    <t>EC190950</t>
  </si>
  <si>
    <t>EC200150</t>
  </si>
  <si>
    <t>EC200151</t>
  </si>
  <si>
    <t>EC200152</t>
  </si>
  <si>
    <t>EC200250</t>
  </si>
  <si>
    <t>EC200251</t>
  </si>
  <si>
    <t>EC200350</t>
  </si>
  <si>
    <t>EC200351</t>
  </si>
  <si>
    <t>EC200352</t>
  </si>
  <si>
    <t>EC210152</t>
  </si>
  <si>
    <t>EC210155</t>
  </si>
  <si>
    <t>EC210156</t>
  </si>
  <si>
    <t>EC210157</t>
  </si>
  <si>
    <t>EC210254</t>
  </si>
  <si>
    <t>EC210351</t>
  </si>
  <si>
    <t>EC210352</t>
  </si>
  <si>
    <t>EC210354</t>
  </si>
  <si>
    <t>EC210451</t>
  </si>
  <si>
    <t>EC210452</t>
  </si>
  <si>
    <t>EC210453</t>
  </si>
  <si>
    <t>EC210650</t>
  </si>
  <si>
    <t>EC210652</t>
  </si>
  <si>
    <t>EC210653</t>
  </si>
  <si>
    <t>EC210751</t>
  </si>
  <si>
    <t>EC220151</t>
  </si>
  <si>
    <t>EC220152</t>
  </si>
  <si>
    <t>EC220153</t>
  </si>
  <si>
    <t>EC220154</t>
  </si>
  <si>
    <t>EC220155</t>
  </si>
  <si>
    <t>EC220156</t>
  </si>
  <si>
    <t>EC220157</t>
  </si>
  <si>
    <t>EC220159</t>
  </si>
  <si>
    <t>EC220160</t>
  </si>
  <si>
    <t>EC220161</t>
  </si>
  <si>
    <t>EC220251</t>
  </si>
  <si>
    <t>EC220252</t>
  </si>
  <si>
    <t>EC220253</t>
  </si>
  <si>
    <t>EC220352</t>
  </si>
  <si>
    <t>EC220353</t>
  </si>
  <si>
    <t>EC220354</t>
  </si>
  <si>
    <t>EC220357</t>
  </si>
  <si>
    <t>EC220452</t>
  </si>
  <si>
    <t>EC220453</t>
  </si>
  <si>
    <t>EC230151</t>
  </si>
  <si>
    <t>EC230153</t>
  </si>
  <si>
    <t>EC230154</t>
  </si>
  <si>
    <t>EC230155</t>
  </si>
  <si>
    <t>EC230156</t>
  </si>
  <si>
    <t>EC230157</t>
  </si>
  <si>
    <t>EC230251</t>
  </si>
  <si>
    <t>EC230252</t>
  </si>
  <si>
    <t>EC230253</t>
  </si>
  <si>
    <t>EC010153</t>
  </si>
  <si>
    <t>EC010352</t>
  </si>
  <si>
    <t>EC010354</t>
  </si>
  <si>
    <t>EC010561</t>
  </si>
  <si>
    <t>EC010852</t>
  </si>
  <si>
    <t>EC010953</t>
  </si>
  <si>
    <t>EC010954</t>
  </si>
  <si>
    <t>EC010956</t>
  </si>
  <si>
    <t>EC011151</t>
  </si>
  <si>
    <t>EC011154</t>
  </si>
  <si>
    <t>EC011250</t>
  </si>
  <si>
    <t>EC011253</t>
  </si>
  <si>
    <t>EC011350</t>
  </si>
  <si>
    <t>EC011352</t>
  </si>
  <si>
    <t>EC020151</t>
  </si>
  <si>
    <t>EC030351</t>
  </si>
  <si>
    <t>EC030362</t>
  </si>
  <si>
    <t>EC030452</t>
  </si>
  <si>
    <t>EC040552</t>
  </si>
  <si>
    <t>EC040554</t>
  </si>
  <si>
    <t>EC040555</t>
  </si>
  <si>
    <t>EC040651</t>
  </si>
  <si>
    <t>EC050353</t>
  </si>
  <si>
    <t>EC060257</t>
  </si>
  <si>
    <t>EC060258</t>
  </si>
  <si>
    <t>EC060259</t>
  </si>
  <si>
    <t>EC060551</t>
  </si>
  <si>
    <t>EC060552</t>
  </si>
  <si>
    <t>EC060554</t>
  </si>
  <si>
    <t>EC060753</t>
  </si>
  <si>
    <t>EC060757</t>
  </si>
  <si>
    <t>EC060758</t>
  </si>
  <si>
    <t>EC060952</t>
  </si>
  <si>
    <t>EC060955</t>
  </si>
  <si>
    <t>EC070256</t>
  </si>
  <si>
    <t>EC070350</t>
  </si>
  <si>
    <t>EC070351</t>
  </si>
  <si>
    <t>EC070352</t>
  </si>
  <si>
    <t>EC070353</t>
  </si>
  <si>
    <t>EC070354</t>
  </si>
  <si>
    <t>EC070851</t>
  </si>
  <si>
    <t>EC070954</t>
  </si>
  <si>
    <t>EC070956</t>
  </si>
  <si>
    <t>EC071051</t>
  </si>
  <si>
    <t>EC071052</t>
  </si>
  <si>
    <t>EC071054</t>
  </si>
  <si>
    <t>EC071055</t>
  </si>
  <si>
    <t>EC071152</t>
  </si>
  <si>
    <t>EC071253</t>
  </si>
  <si>
    <t>EC071254</t>
  </si>
  <si>
    <t>EC071255</t>
  </si>
  <si>
    <t>EC071256</t>
  </si>
  <si>
    <t>EC071351</t>
  </si>
  <si>
    <t>EC071353</t>
  </si>
  <si>
    <t>EC071358</t>
  </si>
  <si>
    <t>EC071453</t>
  </si>
  <si>
    <t>EC080153</t>
  </si>
  <si>
    <t>EC080250</t>
  </si>
  <si>
    <t>EC080251</t>
  </si>
  <si>
    <t>EC080255</t>
  </si>
  <si>
    <t>EC080258</t>
  </si>
  <si>
    <t>EC080260</t>
  </si>
  <si>
    <t>EC080262</t>
  </si>
  <si>
    <t>EC080264</t>
  </si>
  <si>
    <t>EC080452</t>
  </si>
  <si>
    <t>EC080453</t>
  </si>
  <si>
    <t>EC080551</t>
  </si>
  <si>
    <t>EC080553</t>
  </si>
  <si>
    <t>EC080554</t>
  </si>
  <si>
    <t>EC080555</t>
  </si>
  <si>
    <t>EC080558</t>
  </si>
  <si>
    <t>EC080559</t>
  </si>
  <si>
    <t>EC080560</t>
  </si>
  <si>
    <t>EC080562</t>
  </si>
  <si>
    <t>EC080752</t>
  </si>
  <si>
    <t>EC090551</t>
  </si>
  <si>
    <t>EC091153</t>
  </si>
  <si>
    <t>EC091451</t>
  </si>
  <si>
    <t>EC092055</t>
  </si>
  <si>
    <t>EC100358</t>
  </si>
  <si>
    <t>EC100454</t>
  </si>
  <si>
    <t>EC100551</t>
  </si>
  <si>
    <t>EC110154</t>
  </si>
  <si>
    <t>EC110155</t>
  </si>
  <si>
    <t>EC110253</t>
  </si>
  <si>
    <t>EC110352</t>
  </si>
  <si>
    <t>EC110551</t>
  </si>
  <si>
    <t>EC110552</t>
  </si>
  <si>
    <t>EC110553</t>
  </si>
  <si>
    <t>EC110554</t>
  </si>
  <si>
    <t>EC110656</t>
  </si>
  <si>
    <t>EC110753</t>
  </si>
  <si>
    <t>EC110951</t>
  </si>
  <si>
    <t>EC110956</t>
  </si>
  <si>
    <t>EC111156</t>
  </si>
  <si>
    <t>EC111251</t>
  </si>
  <si>
    <t>EC111252</t>
  </si>
  <si>
    <t>EC111355</t>
  </si>
  <si>
    <t>EC111356</t>
  </si>
  <si>
    <t>EC111451</t>
  </si>
  <si>
    <t>EC111551</t>
  </si>
  <si>
    <t>EC120351</t>
  </si>
  <si>
    <t>EC120451</t>
  </si>
  <si>
    <t>EC120754</t>
  </si>
  <si>
    <t>EC130654</t>
  </si>
  <si>
    <t>EC131051</t>
  </si>
  <si>
    <t>EC131052</t>
  </si>
  <si>
    <t>EC131653</t>
  </si>
  <si>
    <t>EC140252</t>
  </si>
  <si>
    <t>EC140254</t>
  </si>
  <si>
    <t>EC140258</t>
  </si>
  <si>
    <t>EC140353</t>
  </si>
  <si>
    <t>EC140356</t>
  </si>
  <si>
    <t>EC140851</t>
  </si>
  <si>
    <t>EC140852</t>
  </si>
  <si>
    <t>EC140853</t>
  </si>
  <si>
    <t>EC140854</t>
  </si>
  <si>
    <t>EC141051</t>
  </si>
  <si>
    <t>EC150354</t>
  </si>
  <si>
    <t>EC150752</t>
  </si>
  <si>
    <t>EC160159</t>
  </si>
  <si>
    <t>EC160351</t>
  </si>
  <si>
    <t>EC170158</t>
  </si>
  <si>
    <t>EC180551</t>
  </si>
  <si>
    <t>EC190153</t>
  </si>
  <si>
    <t>EC190350</t>
  </si>
  <si>
    <t>EC190351</t>
  </si>
  <si>
    <t>EC190352</t>
  </si>
  <si>
    <t>EC190353</t>
  </si>
  <si>
    <t>EC190752</t>
  </si>
  <si>
    <t>EC190753</t>
  </si>
  <si>
    <t>EC190854</t>
  </si>
  <si>
    <t>EC190951</t>
  </si>
  <si>
    <t>EC190952</t>
  </si>
  <si>
    <t>EC210160</t>
  </si>
  <si>
    <t>EC210353</t>
  </si>
  <si>
    <t>EC210455</t>
  </si>
  <si>
    <t>EC210552</t>
  </si>
  <si>
    <t>EC210553</t>
  </si>
  <si>
    <t>EC210651</t>
  </si>
  <si>
    <t>EC220158</t>
  </si>
  <si>
    <t>EC220351</t>
  </si>
  <si>
    <t>EC220355</t>
  </si>
  <si>
    <t>EC220356</t>
  </si>
  <si>
    <t>EC220358</t>
  </si>
  <si>
    <t>EC220455</t>
  </si>
  <si>
    <t>EC010951</t>
  </si>
  <si>
    <t>EC160156</t>
  </si>
  <si>
    <t>Sexo</t>
  </si>
  <si>
    <t>Número total de personas de 15 años o más</t>
  </si>
  <si>
    <t>Ocupada</t>
  </si>
  <si>
    <t>Desocupada</t>
  </si>
  <si>
    <t>Fuera de la fuerza de trabajo</t>
  </si>
  <si>
    <t>Hombres</t>
  </si>
  <si>
    <t>Tanicuchi</t>
  </si>
  <si>
    <t>Isinlivi</t>
  </si>
  <si>
    <t>Valparaiso</t>
  </si>
  <si>
    <t>Bahia de Caráquez</t>
  </si>
  <si>
    <t>Gral. Leonidas Plaza Gutiérrez</t>
  </si>
  <si>
    <t>Pilagüín</t>
  </si>
  <si>
    <t>Yanayacu Mochapata</t>
  </si>
  <si>
    <t>El Coca</t>
  </si>
  <si>
    <t>José Luis Tamayo(Muey)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</si>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</sst>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 * #,##0.0000000_ ;_ * \-#,##0.000000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0.5"/>
      <color rgb="FF000000"/>
      <name val="Century Gothic"/>
      <family val="2"/>
    </font>
    <font>
      <sz val="9"/>
      <color rgb="FF00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28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DCD00"/>
      </left>
      <right style="thin">
        <color rgb="FFCDCD00"/>
      </right>
      <top style="thin">
        <color rgb="FFCDCD00"/>
      </top>
      <bottom style="thin">
        <color rgb="FFCDCD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1" fillId="0" borderId="2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64" fontId="1" fillId="0" borderId="2" xfId="1" applyNumberFormat="1" applyFont="1" applyFill="1" applyBorder="1" applyAlignment="1">
      <alignment horizontal="center" vertical="top"/>
    </xf>
    <xf numFmtId="164" fontId="0" fillId="0" borderId="3" xfId="1" applyNumberFormat="1" applyFont="1" applyBorder="1"/>
    <xf numFmtId="165" fontId="0" fillId="0" borderId="0" xfId="1" applyNumberFormat="1" applyFont="1"/>
    <xf numFmtId="13" fontId="0" fillId="0" borderId="0" xfId="1" applyNumberFormat="1" applyFont="1"/>
    <xf numFmtId="43" fontId="0" fillId="0" borderId="0" xfId="0" applyNumberFormat="1"/>
    <xf numFmtId="9" fontId="0" fillId="0" borderId="0" xfId="0" applyNumberFormat="1"/>
    <xf numFmtId="166" fontId="0" fillId="0" borderId="0" xfId="1" applyNumberFormat="1" applyFont="1"/>
    <xf numFmtId="166" fontId="0" fillId="2" borderId="0" xfId="1" applyNumberFormat="1" applyFont="1" applyFill="1"/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4" fillId="0" borderId="4" xfId="0" applyNumberFormat="1" applyFont="1" applyBorder="1"/>
    <xf numFmtId="3" fontId="0" fillId="0" borderId="0" xfId="0" applyNumberFormat="1"/>
    <xf numFmtId="0" fontId="0" fillId="0" borderId="0" xfId="0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3"/>
  <sheetViews>
    <sheetView workbookViewId="0">
      <selection activeCell="A2" sqref="A2"/>
    </sheetView>
  </sheetViews>
  <sheetFormatPr baseColWidth="10" defaultColWidth="8.88671875" defaultRowHeight="14.4" x14ac:dyDescent="0.3"/>
  <cols>
    <col min="4" max="4" width="37.6640625" bestFit="1" customWidth="1"/>
  </cols>
  <sheetData>
    <row r="1" spans="1:10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</v>
      </c>
      <c r="I1" s="1" t="s">
        <v>3</v>
      </c>
      <c r="J1" s="1" t="s">
        <v>5</v>
      </c>
    </row>
    <row r="2" spans="1:10" x14ac:dyDescent="0.3">
      <c r="A2" t="s">
        <v>1015</v>
      </c>
      <c r="B2" t="s">
        <v>13</v>
      </c>
      <c r="C2" t="s">
        <v>14</v>
      </c>
      <c r="D2" t="s">
        <v>19</v>
      </c>
      <c r="E2">
        <v>5738</v>
      </c>
      <c r="F2">
        <v>3910</v>
      </c>
      <c r="G2">
        <v>1828</v>
      </c>
      <c r="H2">
        <v>2.0487371575013049</v>
      </c>
      <c r="I2">
        <v>1068971.65379902</v>
      </c>
      <c r="J2">
        <v>93456152.008499518</v>
      </c>
    </row>
    <row r="3" spans="1:10" x14ac:dyDescent="0.3">
      <c r="A3" t="s">
        <v>1016</v>
      </c>
      <c r="B3" t="s">
        <v>13</v>
      </c>
      <c r="C3" t="s">
        <v>39</v>
      </c>
      <c r="D3" t="s">
        <v>47</v>
      </c>
      <c r="E3">
        <v>732</v>
      </c>
      <c r="F3">
        <v>349</v>
      </c>
      <c r="G3">
        <v>383</v>
      </c>
      <c r="H3">
        <v>2.7717019602038788</v>
      </c>
      <c r="I3">
        <v>340400.48651960777</v>
      </c>
      <c r="J3">
        <v>11936682.84136726</v>
      </c>
    </row>
    <row r="4" spans="1:10" x14ac:dyDescent="0.3">
      <c r="A4" t="s">
        <v>1017</v>
      </c>
      <c r="B4" t="s">
        <v>13</v>
      </c>
      <c r="C4" t="s">
        <v>48</v>
      </c>
      <c r="D4" t="s">
        <v>49</v>
      </c>
      <c r="E4">
        <v>2981</v>
      </c>
      <c r="F4">
        <v>820</v>
      </c>
      <c r="G4">
        <v>2161</v>
      </c>
      <c r="H4">
        <v>0.99927569030108443</v>
      </c>
      <c r="I4">
        <v>2974884.109375</v>
      </c>
      <c r="J4">
        <v>110450574.8851817</v>
      </c>
    </row>
    <row r="5" spans="1:10" x14ac:dyDescent="0.3">
      <c r="A5" t="s">
        <v>1018</v>
      </c>
      <c r="B5" t="s">
        <v>13</v>
      </c>
      <c r="C5" t="s">
        <v>52</v>
      </c>
      <c r="D5" t="s">
        <v>56</v>
      </c>
      <c r="E5">
        <v>701</v>
      </c>
      <c r="F5">
        <v>389</v>
      </c>
      <c r="G5">
        <v>312</v>
      </c>
      <c r="H5">
        <v>1.47631856185423</v>
      </c>
      <c r="I5">
        <v>248062.21875</v>
      </c>
      <c r="J5">
        <v>36106582.500434749</v>
      </c>
    </row>
    <row r="6" spans="1:10" x14ac:dyDescent="0.3">
      <c r="A6" t="s">
        <v>1019</v>
      </c>
      <c r="B6" t="s">
        <v>13</v>
      </c>
      <c r="C6" t="s">
        <v>78</v>
      </c>
      <c r="D6" t="s">
        <v>80</v>
      </c>
      <c r="E6">
        <v>1875</v>
      </c>
      <c r="F6">
        <v>928</v>
      </c>
      <c r="G6">
        <v>947</v>
      </c>
      <c r="H6">
        <v>2.9995815559962939</v>
      </c>
      <c r="I6">
        <v>441559.67769607838</v>
      </c>
      <c r="J6">
        <v>13675593.638266331</v>
      </c>
    </row>
    <row r="7" spans="1:10" x14ac:dyDescent="0.3">
      <c r="A7" t="s">
        <v>1020</v>
      </c>
      <c r="B7" t="s">
        <v>117</v>
      </c>
      <c r="C7" t="s">
        <v>117</v>
      </c>
      <c r="D7" t="s">
        <v>132</v>
      </c>
      <c r="E7">
        <v>2726</v>
      </c>
      <c r="F7">
        <v>1620</v>
      </c>
      <c r="G7">
        <v>1106</v>
      </c>
      <c r="H7">
        <v>2.0981595687049621</v>
      </c>
      <c r="I7">
        <v>170253.07138480389</v>
      </c>
      <c r="J7">
        <v>34332959.712454639</v>
      </c>
    </row>
    <row r="8" spans="1:10" x14ac:dyDescent="0.3">
      <c r="A8" t="s">
        <v>1021</v>
      </c>
      <c r="B8" t="s">
        <v>117</v>
      </c>
      <c r="C8" t="s">
        <v>117</v>
      </c>
      <c r="D8" t="s">
        <v>135</v>
      </c>
      <c r="E8">
        <v>5906</v>
      </c>
      <c r="F8">
        <v>3566</v>
      </c>
      <c r="G8">
        <v>2340</v>
      </c>
      <c r="H8">
        <v>3.7825555895213938</v>
      </c>
      <c r="I8">
        <v>761773.25508578424</v>
      </c>
      <c r="J8">
        <v>77040096.41074051</v>
      </c>
    </row>
    <row r="9" spans="1:10" x14ac:dyDescent="0.3">
      <c r="A9" t="s">
        <v>1022</v>
      </c>
      <c r="B9" t="s">
        <v>117</v>
      </c>
      <c r="C9" t="s">
        <v>148</v>
      </c>
      <c r="D9" t="s">
        <v>148</v>
      </c>
      <c r="E9">
        <v>4622</v>
      </c>
      <c r="F9">
        <v>1780</v>
      </c>
      <c r="G9">
        <v>2842</v>
      </c>
      <c r="H9">
        <v>3.0952295780760859</v>
      </c>
      <c r="I9">
        <v>744321.21875</v>
      </c>
      <c r="J9">
        <v>53309444.550349377</v>
      </c>
    </row>
    <row r="10" spans="1:10" x14ac:dyDescent="0.3">
      <c r="A10" t="s">
        <v>1023</v>
      </c>
      <c r="B10" t="s">
        <v>184</v>
      </c>
      <c r="C10" t="s">
        <v>211</v>
      </c>
      <c r="D10" t="s">
        <v>212</v>
      </c>
      <c r="E10">
        <v>3431</v>
      </c>
      <c r="F10">
        <v>2371</v>
      </c>
      <c r="G10">
        <v>1060</v>
      </c>
      <c r="H10">
        <v>6.4827788243447033</v>
      </c>
      <c r="I10">
        <v>124628.5568627451</v>
      </c>
      <c r="J10">
        <v>7213677.0436995039</v>
      </c>
    </row>
    <row r="11" spans="1:10" x14ac:dyDescent="0.3">
      <c r="A11" t="s">
        <v>1024</v>
      </c>
      <c r="B11" t="s">
        <v>184</v>
      </c>
      <c r="C11" t="s">
        <v>217</v>
      </c>
      <c r="D11" t="s">
        <v>219</v>
      </c>
      <c r="E11">
        <v>2554</v>
      </c>
      <c r="F11">
        <v>53</v>
      </c>
      <c r="G11">
        <v>2501</v>
      </c>
      <c r="H11">
        <v>1.2765889519495659</v>
      </c>
      <c r="I11">
        <v>611504.37757352937</v>
      </c>
      <c r="J11">
        <v>62035572.676110998</v>
      </c>
    </row>
    <row r="12" spans="1:10" x14ac:dyDescent="0.3">
      <c r="A12" t="s">
        <v>1025</v>
      </c>
      <c r="B12" t="s">
        <v>280</v>
      </c>
      <c r="C12" t="s">
        <v>329</v>
      </c>
      <c r="D12" t="s">
        <v>331</v>
      </c>
      <c r="E12">
        <v>970</v>
      </c>
      <c r="F12">
        <v>639</v>
      </c>
      <c r="G12">
        <v>331</v>
      </c>
      <c r="H12">
        <v>2.170196989163879</v>
      </c>
      <c r="I12">
        <v>399453.06011029409</v>
      </c>
      <c r="J12">
        <v>14315432.111426011</v>
      </c>
    </row>
    <row r="13" spans="1:10" x14ac:dyDescent="0.3">
      <c r="A13" t="s">
        <v>1026</v>
      </c>
      <c r="B13" t="s">
        <v>280</v>
      </c>
      <c r="C13" t="s">
        <v>329</v>
      </c>
      <c r="D13" t="s">
        <v>336</v>
      </c>
      <c r="E13">
        <v>817</v>
      </c>
      <c r="F13">
        <v>573</v>
      </c>
      <c r="G13">
        <v>244</v>
      </c>
      <c r="H13">
        <v>3.6028565613883421</v>
      </c>
      <c r="I13">
        <v>732824.97616421571</v>
      </c>
      <c r="J13">
        <v>7390906.0837158328</v>
      </c>
    </row>
    <row r="14" spans="1:10" x14ac:dyDescent="0.3">
      <c r="A14" t="s">
        <v>1027</v>
      </c>
      <c r="B14" t="s">
        <v>341</v>
      </c>
      <c r="C14" t="s">
        <v>350</v>
      </c>
      <c r="D14" t="s">
        <v>153</v>
      </c>
      <c r="E14">
        <v>2097</v>
      </c>
      <c r="F14">
        <v>177</v>
      </c>
      <c r="G14">
        <v>1920</v>
      </c>
      <c r="H14">
        <v>0.9409002812307804</v>
      </c>
      <c r="I14">
        <v>1717543.2869485291</v>
      </c>
      <c r="J14">
        <v>58211038.117318243</v>
      </c>
    </row>
    <row r="15" spans="1:10" x14ac:dyDescent="0.3">
      <c r="A15" t="s">
        <v>1028</v>
      </c>
      <c r="B15" t="s">
        <v>399</v>
      </c>
      <c r="C15" t="s">
        <v>366</v>
      </c>
      <c r="D15" t="s">
        <v>412</v>
      </c>
      <c r="E15">
        <v>10540</v>
      </c>
      <c r="F15">
        <v>1856</v>
      </c>
      <c r="G15">
        <v>8684</v>
      </c>
      <c r="H15">
        <v>3.370400715384319</v>
      </c>
      <c r="I15">
        <v>1388995.8060661759</v>
      </c>
      <c r="J15">
        <v>37233690.252249159</v>
      </c>
    </row>
    <row r="16" spans="1:10" x14ac:dyDescent="0.3">
      <c r="A16" t="s">
        <v>1029</v>
      </c>
      <c r="B16" t="s">
        <v>399</v>
      </c>
      <c r="C16" t="s">
        <v>429</v>
      </c>
      <c r="D16" t="s">
        <v>431</v>
      </c>
      <c r="E16">
        <v>8012</v>
      </c>
      <c r="F16">
        <v>1460</v>
      </c>
      <c r="G16">
        <v>6552</v>
      </c>
      <c r="H16">
        <v>1.226451912198667</v>
      </c>
      <c r="I16">
        <v>1264369.1922794119</v>
      </c>
      <c r="J16">
        <v>320380202.24626201</v>
      </c>
    </row>
    <row r="17" spans="1:10" x14ac:dyDescent="0.3">
      <c r="A17" t="s">
        <v>1030</v>
      </c>
      <c r="B17" t="s">
        <v>399</v>
      </c>
      <c r="C17" t="s">
        <v>435</v>
      </c>
      <c r="D17" t="s">
        <v>438</v>
      </c>
      <c r="E17">
        <v>12678</v>
      </c>
      <c r="F17">
        <v>366</v>
      </c>
      <c r="G17">
        <v>12312</v>
      </c>
      <c r="H17">
        <v>2.0674200095377291</v>
      </c>
      <c r="I17">
        <v>100256.8814338235</v>
      </c>
      <c r="J17">
        <v>94404874.497788161</v>
      </c>
    </row>
    <row r="18" spans="1:10" x14ac:dyDescent="0.3">
      <c r="A18" t="s">
        <v>1031</v>
      </c>
      <c r="B18" t="s">
        <v>453</v>
      </c>
      <c r="C18" t="s">
        <v>461</v>
      </c>
      <c r="D18" t="s">
        <v>465</v>
      </c>
      <c r="E18">
        <v>3836</v>
      </c>
      <c r="F18">
        <v>2599</v>
      </c>
      <c r="G18">
        <v>1237</v>
      </c>
      <c r="H18">
        <v>6.3882285545357904</v>
      </c>
      <c r="I18">
        <v>2484191.3613357842</v>
      </c>
      <c r="J18">
        <v>17026385.911856789</v>
      </c>
    </row>
    <row r="19" spans="1:10" x14ac:dyDescent="0.3">
      <c r="A19" t="s">
        <v>1032</v>
      </c>
      <c r="B19" t="s">
        <v>492</v>
      </c>
      <c r="C19" t="s">
        <v>550</v>
      </c>
      <c r="D19" t="s">
        <v>553</v>
      </c>
      <c r="E19">
        <v>1558</v>
      </c>
      <c r="F19">
        <v>356</v>
      </c>
      <c r="G19">
        <v>1202</v>
      </c>
      <c r="H19">
        <v>0.70410655677484657</v>
      </c>
      <c r="I19">
        <v>1471732.523590686</v>
      </c>
      <c r="J19">
        <v>73293120.613171548</v>
      </c>
    </row>
    <row r="20" spans="1:10" x14ac:dyDescent="0.3">
      <c r="A20" t="s">
        <v>1033</v>
      </c>
      <c r="B20" t="s">
        <v>492</v>
      </c>
      <c r="C20" t="s">
        <v>550</v>
      </c>
      <c r="D20" t="s">
        <v>557</v>
      </c>
      <c r="E20">
        <v>958</v>
      </c>
      <c r="F20">
        <v>356</v>
      </c>
      <c r="G20">
        <v>602</v>
      </c>
      <c r="H20">
        <v>0.84035236093386645</v>
      </c>
      <c r="I20">
        <v>6525409.3768382352</v>
      </c>
      <c r="J20">
        <v>114758132.8678834</v>
      </c>
    </row>
    <row r="21" spans="1:10" x14ac:dyDescent="0.3">
      <c r="A21" t="s">
        <v>1034</v>
      </c>
      <c r="B21" t="s">
        <v>492</v>
      </c>
      <c r="C21" t="s">
        <v>550</v>
      </c>
      <c r="D21" t="s">
        <v>559</v>
      </c>
      <c r="E21">
        <v>1513</v>
      </c>
      <c r="F21">
        <v>820</v>
      </c>
      <c r="G21">
        <v>693</v>
      </c>
      <c r="H21">
        <v>1.234523718028552</v>
      </c>
      <c r="I21">
        <v>12188510.809987741</v>
      </c>
      <c r="J21">
        <v>91485168.869280741</v>
      </c>
    </row>
    <row r="22" spans="1:10" x14ac:dyDescent="0.3">
      <c r="A22" t="s">
        <v>1035</v>
      </c>
      <c r="B22" t="s">
        <v>605</v>
      </c>
      <c r="C22" t="s">
        <v>640</v>
      </c>
      <c r="D22" t="s">
        <v>640</v>
      </c>
      <c r="E22">
        <v>14312</v>
      </c>
      <c r="F22">
        <v>3802</v>
      </c>
      <c r="G22">
        <v>10510</v>
      </c>
      <c r="H22">
        <v>2.4498462035251301</v>
      </c>
      <c r="I22">
        <v>2482378.140625</v>
      </c>
      <c r="J22">
        <v>142232999.5396027</v>
      </c>
    </row>
    <row r="23" spans="1:10" x14ac:dyDescent="0.3">
      <c r="A23" t="s">
        <v>1036</v>
      </c>
      <c r="B23" t="s">
        <v>605</v>
      </c>
      <c r="C23" t="s">
        <v>640</v>
      </c>
      <c r="D23" t="s">
        <v>643</v>
      </c>
      <c r="E23">
        <v>4726</v>
      </c>
      <c r="F23">
        <v>97</v>
      </c>
      <c r="G23">
        <v>4629</v>
      </c>
      <c r="H23">
        <v>0.97389984580619204</v>
      </c>
      <c r="I23">
        <v>1241143.578125</v>
      </c>
      <c r="J23">
        <v>112546897.3695026</v>
      </c>
    </row>
    <row r="24" spans="1:10" x14ac:dyDescent="0.3">
      <c r="A24" t="s">
        <v>1037</v>
      </c>
      <c r="B24" t="s">
        <v>605</v>
      </c>
      <c r="C24" t="s">
        <v>640</v>
      </c>
      <c r="D24" t="s">
        <v>644</v>
      </c>
      <c r="E24">
        <v>5340</v>
      </c>
      <c r="F24">
        <v>42</v>
      </c>
      <c r="G24">
        <v>5298</v>
      </c>
      <c r="H24">
        <v>0.82842052134253541</v>
      </c>
      <c r="I24">
        <v>992960.21875</v>
      </c>
      <c r="J24">
        <v>140789644.98093131</v>
      </c>
    </row>
    <row r="25" spans="1:10" x14ac:dyDescent="0.3">
      <c r="A25" t="s">
        <v>1038</v>
      </c>
      <c r="B25" t="s">
        <v>605</v>
      </c>
      <c r="C25" t="s">
        <v>655</v>
      </c>
      <c r="D25" t="s">
        <v>656</v>
      </c>
      <c r="E25">
        <v>7063</v>
      </c>
      <c r="F25">
        <v>84</v>
      </c>
      <c r="G25">
        <v>6979</v>
      </c>
      <c r="H25">
        <v>1.056307662987616</v>
      </c>
      <c r="I25">
        <v>496505.90625</v>
      </c>
      <c r="J25">
        <v>151003620.22184321</v>
      </c>
    </row>
    <row r="26" spans="1:10" x14ac:dyDescent="0.3">
      <c r="A26" t="s">
        <v>1039</v>
      </c>
      <c r="B26" t="s">
        <v>667</v>
      </c>
      <c r="C26" t="s">
        <v>685</v>
      </c>
      <c r="D26" t="s">
        <v>686</v>
      </c>
      <c r="E26">
        <v>4675</v>
      </c>
      <c r="F26">
        <v>2884</v>
      </c>
      <c r="G26">
        <v>1791</v>
      </c>
      <c r="H26">
        <v>1.0188206451359729</v>
      </c>
      <c r="I26">
        <v>744006.484375</v>
      </c>
      <c r="J26">
        <v>287172158.87378228</v>
      </c>
    </row>
    <row r="27" spans="1:10" x14ac:dyDescent="0.3">
      <c r="A27" t="s">
        <v>1040</v>
      </c>
      <c r="B27" t="s">
        <v>915</v>
      </c>
      <c r="C27" t="s">
        <v>915</v>
      </c>
      <c r="D27" t="s">
        <v>940</v>
      </c>
      <c r="E27">
        <v>935</v>
      </c>
      <c r="F27">
        <v>610</v>
      </c>
      <c r="G27">
        <v>325</v>
      </c>
      <c r="H27">
        <v>0.70980124399615518</v>
      </c>
      <c r="I27">
        <v>993272.5625</v>
      </c>
      <c r="J27">
        <v>129102586.5748345</v>
      </c>
    </row>
    <row r="28" spans="1:10" x14ac:dyDescent="0.3">
      <c r="A28" t="s">
        <v>1041</v>
      </c>
      <c r="B28" t="s">
        <v>915</v>
      </c>
      <c r="C28" t="s">
        <v>915</v>
      </c>
      <c r="D28" t="s">
        <v>941</v>
      </c>
      <c r="E28">
        <v>1248</v>
      </c>
      <c r="F28">
        <v>559</v>
      </c>
      <c r="G28">
        <v>689</v>
      </c>
      <c r="H28">
        <v>0.67605744876715823</v>
      </c>
      <c r="I28">
        <v>626134.67984068627</v>
      </c>
      <c r="J28">
        <v>294132840.59988868</v>
      </c>
    </row>
    <row r="29" spans="1:10" x14ac:dyDescent="0.3">
      <c r="A29" t="s">
        <v>1042</v>
      </c>
      <c r="B29" t="s">
        <v>933</v>
      </c>
      <c r="C29" t="s">
        <v>933</v>
      </c>
      <c r="D29" t="s">
        <v>47</v>
      </c>
      <c r="E29">
        <v>4381</v>
      </c>
      <c r="F29">
        <v>589</v>
      </c>
      <c r="G29">
        <v>3792</v>
      </c>
      <c r="H29">
        <v>0.9014788679777368</v>
      </c>
      <c r="I29">
        <v>992580.78125</v>
      </c>
      <c r="J29">
        <v>572331288.15028799</v>
      </c>
    </row>
    <row r="30" spans="1:10" x14ac:dyDescent="0.3">
      <c r="A30" t="s">
        <v>1043</v>
      </c>
      <c r="B30" t="s">
        <v>933</v>
      </c>
      <c r="C30" t="s">
        <v>94</v>
      </c>
      <c r="D30" t="s">
        <v>1001</v>
      </c>
      <c r="E30">
        <v>15047</v>
      </c>
      <c r="F30">
        <v>7184</v>
      </c>
      <c r="G30">
        <v>7863</v>
      </c>
      <c r="H30">
        <v>9.7311643320479568</v>
      </c>
      <c r="I30">
        <v>1441084.2609681371</v>
      </c>
      <c r="J30">
        <v>14981806.011439459</v>
      </c>
    </row>
    <row r="31" spans="1:10" x14ac:dyDescent="0.3">
      <c r="A31" t="s">
        <v>1044</v>
      </c>
      <c r="B31" t="s">
        <v>645</v>
      </c>
      <c r="C31" t="s">
        <v>810</v>
      </c>
      <c r="D31" t="s">
        <v>812</v>
      </c>
      <c r="E31">
        <v>6307</v>
      </c>
      <c r="F31">
        <v>4638</v>
      </c>
      <c r="G31">
        <v>1669</v>
      </c>
      <c r="H31">
        <v>13.08257400657374</v>
      </c>
      <c r="I31">
        <v>37809881.190747537</v>
      </c>
      <c r="J31">
        <v>86050043.461623311</v>
      </c>
    </row>
    <row r="32" spans="1:10" x14ac:dyDescent="0.3">
      <c r="A32" t="s">
        <v>1045</v>
      </c>
      <c r="B32" t="s">
        <v>645</v>
      </c>
      <c r="C32" t="s">
        <v>810</v>
      </c>
      <c r="D32" t="s">
        <v>813</v>
      </c>
      <c r="E32">
        <v>2028</v>
      </c>
      <c r="F32">
        <v>1106</v>
      </c>
      <c r="G32">
        <v>922</v>
      </c>
      <c r="H32">
        <v>3.1989826263017238</v>
      </c>
      <c r="I32">
        <v>37555714.187867656</v>
      </c>
      <c r="J32">
        <v>96351063.186507463</v>
      </c>
    </row>
    <row r="33" spans="1:10" x14ac:dyDescent="0.3">
      <c r="A33" t="s">
        <v>1046</v>
      </c>
      <c r="B33" t="s">
        <v>225</v>
      </c>
      <c r="C33" t="s">
        <v>262</v>
      </c>
      <c r="D33" t="s">
        <v>38</v>
      </c>
      <c r="E33">
        <v>3281</v>
      </c>
      <c r="F33">
        <v>1310</v>
      </c>
      <c r="G33">
        <v>1971</v>
      </c>
      <c r="H33">
        <v>5.9583803612946094</v>
      </c>
      <c r="I33">
        <v>5131009.8275122549</v>
      </c>
      <c r="J33">
        <v>7121429.9986603223</v>
      </c>
    </row>
    <row r="34" spans="1:10" x14ac:dyDescent="0.3">
      <c r="A34" t="s">
        <v>1047</v>
      </c>
      <c r="B34" t="s">
        <v>453</v>
      </c>
      <c r="C34" t="s">
        <v>461</v>
      </c>
      <c r="D34" t="s">
        <v>463</v>
      </c>
      <c r="E34">
        <v>1610</v>
      </c>
      <c r="F34">
        <v>1161</v>
      </c>
      <c r="G34">
        <v>449</v>
      </c>
      <c r="H34">
        <v>7.8299373980205296</v>
      </c>
      <c r="I34">
        <v>766388.08167892147</v>
      </c>
      <c r="J34">
        <v>11556744.26737513</v>
      </c>
    </row>
    <row r="35" spans="1:10" x14ac:dyDescent="0.3">
      <c r="A35" t="s">
        <v>1048</v>
      </c>
      <c r="B35" t="s">
        <v>117</v>
      </c>
      <c r="C35" t="s">
        <v>126</v>
      </c>
      <c r="D35" t="s">
        <v>128</v>
      </c>
      <c r="E35">
        <v>1471</v>
      </c>
      <c r="F35">
        <v>821</v>
      </c>
      <c r="G35">
        <v>650</v>
      </c>
      <c r="H35">
        <v>9.5349156714215919</v>
      </c>
      <c r="I35">
        <v>1662452.0013480389</v>
      </c>
      <c r="J35">
        <v>3753863.736851105</v>
      </c>
    </row>
    <row r="36" spans="1:10" x14ac:dyDescent="0.3">
      <c r="A36" t="s">
        <v>1049</v>
      </c>
      <c r="B36" t="s">
        <v>915</v>
      </c>
      <c r="C36" t="s">
        <v>935</v>
      </c>
      <c r="D36" t="s">
        <v>938</v>
      </c>
      <c r="E36">
        <v>3636</v>
      </c>
      <c r="F36">
        <v>1852</v>
      </c>
      <c r="G36">
        <v>1784</v>
      </c>
      <c r="H36">
        <v>12.701983655635059</v>
      </c>
      <c r="I36">
        <v>744975.734375</v>
      </c>
      <c r="J36">
        <v>74835040.547736287</v>
      </c>
    </row>
    <row r="37" spans="1:10" x14ac:dyDescent="0.3">
      <c r="A37" t="s">
        <v>1050</v>
      </c>
      <c r="B37" t="s">
        <v>933</v>
      </c>
      <c r="C37" t="s">
        <v>933</v>
      </c>
      <c r="D37" t="s">
        <v>288</v>
      </c>
      <c r="E37">
        <v>4004</v>
      </c>
      <c r="F37">
        <v>1962</v>
      </c>
      <c r="G37">
        <v>2042</v>
      </c>
      <c r="H37">
        <v>1.8721292289324061</v>
      </c>
      <c r="I37">
        <v>5458871.03125</v>
      </c>
      <c r="J37">
        <v>77443920.288919136</v>
      </c>
    </row>
    <row r="38" spans="1:10" x14ac:dyDescent="0.3">
      <c r="A38" t="s">
        <v>1051</v>
      </c>
      <c r="B38" t="s">
        <v>667</v>
      </c>
      <c r="C38" t="s">
        <v>691</v>
      </c>
      <c r="D38" t="s">
        <v>279</v>
      </c>
      <c r="E38">
        <v>315</v>
      </c>
      <c r="F38">
        <v>58</v>
      </c>
      <c r="G38">
        <v>257</v>
      </c>
      <c r="H38">
        <v>0.57658563841726085</v>
      </c>
      <c r="I38">
        <v>1123442.8039828429</v>
      </c>
      <c r="J38">
        <v>822209105.50553429</v>
      </c>
    </row>
    <row r="39" spans="1:10" x14ac:dyDescent="0.3">
      <c r="A39" t="s">
        <v>1052</v>
      </c>
      <c r="B39" t="s">
        <v>225</v>
      </c>
      <c r="C39" t="s">
        <v>226</v>
      </c>
      <c r="D39" t="s">
        <v>229</v>
      </c>
      <c r="E39">
        <v>3264</v>
      </c>
      <c r="F39">
        <v>1782</v>
      </c>
      <c r="G39">
        <v>1482</v>
      </c>
      <c r="H39">
        <v>5.3556455664325444</v>
      </c>
      <c r="I39">
        <v>7832231.9839460785</v>
      </c>
      <c r="J39">
        <v>12930048.328284521</v>
      </c>
    </row>
    <row r="40" spans="1:10" x14ac:dyDescent="0.3">
      <c r="A40" t="s">
        <v>1053</v>
      </c>
      <c r="B40" t="s">
        <v>13</v>
      </c>
      <c r="C40" t="s">
        <v>52</v>
      </c>
      <c r="D40" t="s">
        <v>55</v>
      </c>
      <c r="E40">
        <v>3361</v>
      </c>
      <c r="F40">
        <v>2359</v>
      </c>
      <c r="G40">
        <v>1002</v>
      </c>
      <c r="H40">
        <v>4.0625581236297128</v>
      </c>
      <c r="I40">
        <v>4615263.770710784</v>
      </c>
      <c r="J40">
        <v>22751995.234142579</v>
      </c>
    </row>
    <row r="41" spans="1:10" x14ac:dyDescent="0.3">
      <c r="A41" t="s">
        <v>1054</v>
      </c>
      <c r="B41" t="s">
        <v>645</v>
      </c>
      <c r="C41" t="s">
        <v>796</v>
      </c>
      <c r="D41" t="s">
        <v>799</v>
      </c>
      <c r="E41">
        <v>3166</v>
      </c>
      <c r="F41">
        <v>1660</v>
      </c>
      <c r="G41">
        <v>1506</v>
      </c>
      <c r="H41">
        <v>20.572087143930201</v>
      </c>
      <c r="I41">
        <v>11740482.456188731</v>
      </c>
      <c r="J41">
        <v>24382182.091236729</v>
      </c>
    </row>
    <row r="42" spans="1:10" x14ac:dyDescent="0.3">
      <c r="A42" t="s">
        <v>1055</v>
      </c>
      <c r="B42" t="s">
        <v>13</v>
      </c>
      <c r="C42" t="s">
        <v>14</v>
      </c>
      <c r="D42" t="s">
        <v>20</v>
      </c>
      <c r="E42">
        <v>7464</v>
      </c>
      <c r="F42">
        <v>5435</v>
      </c>
      <c r="G42">
        <v>2029</v>
      </c>
      <c r="H42">
        <v>9.9477182981823464</v>
      </c>
      <c r="I42">
        <v>6058698.2280024514</v>
      </c>
      <c r="J42">
        <v>15981659.48574033</v>
      </c>
    </row>
    <row r="43" spans="1:10" x14ac:dyDescent="0.3">
      <c r="A43" t="s">
        <v>1056</v>
      </c>
      <c r="B43" t="s">
        <v>149</v>
      </c>
      <c r="C43" t="s">
        <v>150</v>
      </c>
      <c r="D43" t="s">
        <v>151</v>
      </c>
      <c r="E43">
        <v>2162</v>
      </c>
      <c r="F43">
        <v>937</v>
      </c>
      <c r="G43">
        <v>1225</v>
      </c>
      <c r="H43">
        <v>1.4501347927188271</v>
      </c>
      <c r="I43">
        <v>1437278.125061275</v>
      </c>
      <c r="J43">
        <v>65845607.214847408</v>
      </c>
    </row>
    <row r="44" spans="1:10" x14ac:dyDescent="0.3">
      <c r="A44" t="s">
        <v>1057</v>
      </c>
      <c r="B44" t="s">
        <v>117</v>
      </c>
      <c r="C44" t="s">
        <v>118</v>
      </c>
      <c r="D44" t="s">
        <v>119</v>
      </c>
      <c r="E44">
        <v>3612</v>
      </c>
      <c r="F44">
        <v>1860</v>
      </c>
      <c r="G44">
        <v>1752</v>
      </c>
      <c r="H44">
        <v>6.1435468716895523</v>
      </c>
      <c r="I44">
        <v>3971685.2929534321</v>
      </c>
      <c r="J44">
        <v>19061296.469221611</v>
      </c>
    </row>
    <row r="45" spans="1:10" x14ac:dyDescent="0.3">
      <c r="A45" t="s">
        <v>1058</v>
      </c>
      <c r="B45" t="s">
        <v>225</v>
      </c>
      <c r="C45" t="s">
        <v>237</v>
      </c>
      <c r="D45" t="s">
        <v>239</v>
      </c>
      <c r="E45">
        <v>1820</v>
      </c>
      <c r="F45">
        <v>466</v>
      </c>
      <c r="G45">
        <v>1354</v>
      </c>
      <c r="H45">
        <v>1.3347510868252279</v>
      </c>
      <c r="I45">
        <v>1240713.859375</v>
      </c>
      <c r="J45">
        <v>46746714.480885379</v>
      </c>
    </row>
    <row r="46" spans="1:10" x14ac:dyDescent="0.3">
      <c r="A46" t="s">
        <v>1059</v>
      </c>
      <c r="B46" t="s">
        <v>117</v>
      </c>
      <c r="C46" t="s">
        <v>146</v>
      </c>
      <c r="D46" t="s">
        <v>147</v>
      </c>
      <c r="E46">
        <v>1773</v>
      </c>
      <c r="F46">
        <v>955</v>
      </c>
      <c r="G46">
        <v>818</v>
      </c>
      <c r="H46">
        <v>4.0794528722969474</v>
      </c>
      <c r="I46">
        <v>1111779.601776961</v>
      </c>
      <c r="J46">
        <v>16891873.68506011</v>
      </c>
    </row>
    <row r="47" spans="1:10" x14ac:dyDescent="0.3">
      <c r="A47" t="s">
        <v>1060</v>
      </c>
      <c r="B47" t="s">
        <v>667</v>
      </c>
      <c r="C47" t="s">
        <v>720</v>
      </c>
      <c r="D47" t="s">
        <v>720</v>
      </c>
      <c r="E47">
        <v>2263</v>
      </c>
      <c r="F47">
        <v>952</v>
      </c>
      <c r="G47">
        <v>1311</v>
      </c>
      <c r="H47">
        <v>0.9028170350969712</v>
      </c>
      <c r="I47">
        <v>1737329.15625</v>
      </c>
      <c r="J47">
        <v>1388963067.4562731</v>
      </c>
    </row>
    <row r="48" spans="1:10" x14ac:dyDescent="0.3">
      <c r="A48" t="s">
        <v>1061</v>
      </c>
      <c r="B48" t="s">
        <v>225</v>
      </c>
      <c r="C48" t="s">
        <v>226</v>
      </c>
      <c r="D48" t="s">
        <v>231</v>
      </c>
      <c r="E48">
        <v>11723</v>
      </c>
      <c r="F48">
        <v>6747</v>
      </c>
      <c r="G48">
        <v>4976</v>
      </c>
      <c r="H48">
        <v>8.6276975874389965</v>
      </c>
      <c r="I48">
        <v>15910811.790747549</v>
      </c>
      <c r="J48">
        <v>21014977.930509809</v>
      </c>
    </row>
    <row r="49" spans="1:10" x14ac:dyDescent="0.3">
      <c r="A49" t="s">
        <v>1062</v>
      </c>
      <c r="B49" t="s">
        <v>117</v>
      </c>
      <c r="C49" t="s">
        <v>118</v>
      </c>
      <c r="D49" t="s">
        <v>122</v>
      </c>
      <c r="E49">
        <v>3931</v>
      </c>
      <c r="F49">
        <v>2803</v>
      </c>
      <c r="G49">
        <v>1128</v>
      </c>
      <c r="H49">
        <v>7.9933064444161666</v>
      </c>
      <c r="I49">
        <v>2301502.4291053922</v>
      </c>
      <c r="J49">
        <v>24297462.962555841</v>
      </c>
    </row>
    <row r="50" spans="1:10" x14ac:dyDescent="0.3">
      <c r="A50" t="s">
        <v>1063</v>
      </c>
      <c r="B50" t="s">
        <v>13</v>
      </c>
      <c r="C50" t="s">
        <v>62</v>
      </c>
      <c r="D50" t="s">
        <v>63</v>
      </c>
      <c r="E50">
        <v>753</v>
      </c>
      <c r="F50">
        <v>631</v>
      </c>
      <c r="G50">
        <v>122</v>
      </c>
      <c r="H50">
        <v>1.541113420810269</v>
      </c>
      <c r="I50">
        <v>922821.51691176463</v>
      </c>
      <c r="J50">
        <v>22926055.985119969</v>
      </c>
    </row>
    <row r="51" spans="1:10" x14ac:dyDescent="0.3">
      <c r="A51" t="s">
        <v>1064</v>
      </c>
      <c r="B51" t="s">
        <v>823</v>
      </c>
      <c r="C51" t="s">
        <v>848</v>
      </c>
      <c r="D51" t="s">
        <v>849</v>
      </c>
      <c r="E51">
        <v>1646</v>
      </c>
      <c r="F51">
        <v>1162</v>
      </c>
      <c r="G51">
        <v>484</v>
      </c>
      <c r="H51">
        <v>3.1774111311421258</v>
      </c>
      <c r="I51">
        <v>279404.68216911767</v>
      </c>
      <c r="J51">
        <v>39464465.314002693</v>
      </c>
    </row>
    <row r="52" spans="1:10" x14ac:dyDescent="0.3">
      <c r="A52" t="s">
        <v>1065</v>
      </c>
      <c r="B52" t="s">
        <v>645</v>
      </c>
      <c r="C52" t="s">
        <v>796</v>
      </c>
      <c r="D52" t="s">
        <v>800</v>
      </c>
      <c r="E52">
        <v>5992</v>
      </c>
      <c r="F52">
        <v>4333</v>
      </c>
      <c r="G52">
        <v>1659</v>
      </c>
      <c r="H52">
        <v>16.20674768559368</v>
      </c>
      <c r="I52">
        <v>8346688.0025122548</v>
      </c>
      <c r="J52">
        <v>21809586.081948452</v>
      </c>
    </row>
    <row r="53" spans="1:10" x14ac:dyDescent="0.3">
      <c r="A53" t="s">
        <v>1066</v>
      </c>
      <c r="B53" t="s">
        <v>225</v>
      </c>
      <c r="C53" t="s">
        <v>226</v>
      </c>
      <c r="D53" t="s">
        <v>227</v>
      </c>
      <c r="E53">
        <v>2362</v>
      </c>
      <c r="F53">
        <v>88</v>
      </c>
      <c r="G53">
        <v>2274</v>
      </c>
      <c r="H53">
        <v>2.6956563962872462</v>
      </c>
      <c r="I53">
        <v>13903216.8848652</v>
      </c>
      <c r="J53">
        <v>28558624.408813369</v>
      </c>
    </row>
    <row r="54" spans="1:10" x14ac:dyDescent="0.3">
      <c r="A54" t="s">
        <v>1067</v>
      </c>
      <c r="B54" t="s">
        <v>645</v>
      </c>
      <c r="C54" t="s">
        <v>765</v>
      </c>
      <c r="D54" t="s">
        <v>776</v>
      </c>
      <c r="E54">
        <v>20511</v>
      </c>
      <c r="F54">
        <v>14760</v>
      </c>
      <c r="G54">
        <v>5751</v>
      </c>
      <c r="H54">
        <v>16.27437639260344</v>
      </c>
      <c r="I54">
        <v>15875354.22567402</v>
      </c>
      <c r="J54">
        <v>55499928.2386408</v>
      </c>
    </row>
    <row r="55" spans="1:10" x14ac:dyDescent="0.3">
      <c r="A55" t="s">
        <v>1068</v>
      </c>
      <c r="B55" t="s">
        <v>915</v>
      </c>
      <c r="C55" t="s">
        <v>916</v>
      </c>
      <c r="D55" t="s">
        <v>919</v>
      </c>
      <c r="E55">
        <v>6666</v>
      </c>
      <c r="F55">
        <v>1777</v>
      </c>
      <c r="G55">
        <v>4889</v>
      </c>
      <c r="H55">
        <v>1.8110611227100379</v>
      </c>
      <c r="I55">
        <v>1628229.6936887249</v>
      </c>
      <c r="J55">
        <v>524983708.36451191</v>
      </c>
    </row>
    <row r="56" spans="1:10" x14ac:dyDescent="0.3">
      <c r="A56" t="s">
        <v>1069</v>
      </c>
      <c r="B56" t="s">
        <v>13</v>
      </c>
      <c r="C56" t="s">
        <v>78</v>
      </c>
      <c r="D56" t="s">
        <v>78</v>
      </c>
      <c r="E56">
        <v>6814</v>
      </c>
      <c r="F56">
        <v>5191</v>
      </c>
      <c r="G56">
        <v>1623</v>
      </c>
      <c r="H56">
        <v>7.524342140480444</v>
      </c>
      <c r="I56">
        <v>4357224.5248774486</v>
      </c>
      <c r="J56">
        <v>16309725.79654119</v>
      </c>
    </row>
    <row r="57" spans="1:10" x14ac:dyDescent="0.3">
      <c r="A57" t="s">
        <v>1070</v>
      </c>
      <c r="B57" t="s">
        <v>117</v>
      </c>
      <c r="C57" t="s">
        <v>142</v>
      </c>
      <c r="D57" t="s">
        <v>143</v>
      </c>
      <c r="E57">
        <v>4720</v>
      </c>
      <c r="F57">
        <v>1674</v>
      </c>
      <c r="G57">
        <v>3046</v>
      </c>
      <c r="H57">
        <v>1.937771826499372</v>
      </c>
      <c r="I57">
        <v>972054.97444852942</v>
      </c>
      <c r="J57">
        <v>60706964.176083647</v>
      </c>
    </row>
    <row r="58" spans="1:10" x14ac:dyDescent="0.3">
      <c r="A58" t="s">
        <v>1071</v>
      </c>
      <c r="B58" t="s">
        <v>280</v>
      </c>
      <c r="C58" t="s">
        <v>281</v>
      </c>
      <c r="D58" t="s">
        <v>282</v>
      </c>
      <c r="E58">
        <v>4483</v>
      </c>
      <c r="F58">
        <v>1636</v>
      </c>
      <c r="G58">
        <v>2847</v>
      </c>
      <c r="H58">
        <v>2.1829774485445701</v>
      </c>
      <c r="I58">
        <v>801035.21911764704</v>
      </c>
      <c r="J58">
        <v>126541460.7839538</v>
      </c>
    </row>
    <row r="59" spans="1:10" x14ac:dyDescent="0.3">
      <c r="A59" t="s">
        <v>1072</v>
      </c>
      <c r="B59" t="s">
        <v>645</v>
      </c>
      <c r="C59" t="s">
        <v>765</v>
      </c>
      <c r="D59" t="s">
        <v>778</v>
      </c>
      <c r="E59">
        <v>15109</v>
      </c>
      <c r="F59">
        <v>11873</v>
      </c>
      <c r="G59">
        <v>3236</v>
      </c>
      <c r="H59">
        <v>21.03945169839794</v>
      </c>
      <c r="I59">
        <v>5069740.7517156862</v>
      </c>
      <c r="J59">
        <v>7517041.950958401</v>
      </c>
    </row>
    <row r="60" spans="1:10" x14ac:dyDescent="0.3">
      <c r="A60" t="s">
        <v>1073</v>
      </c>
      <c r="B60" t="s">
        <v>225</v>
      </c>
      <c r="C60" t="s">
        <v>226</v>
      </c>
      <c r="D60" t="s">
        <v>234</v>
      </c>
      <c r="E60">
        <v>4681</v>
      </c>
      <c r="F60">
        <v>1073</v>
      </c>
      <c r="G60">
        <v>3608</v>
      </c>
      <c r="H60">
        <v>1.8380273217293881</v>
      </c>
      <c r="I60">
        <v>12037907.272610299</v>
      </c>
      <c r="J60">
        <v>51663602.462946333</v>
      </c>
    </row>
    <row r="61" spans="1:10" x14ac:dyDescent="0.3">
      <c r="A61" t="s">
        <v>1074</v>
      </c>
      <c r="B61" t="s">
        <v>823</v>
      </c>
      <c r="C61" t="s">
        <v>845</v>
      </c>
      <c r="D61" t="s">
        <v>846</v>
      </c>
      <c r="E61">
        <v>1440</v>
      </c>
      <c r="F61">
        <v>838</v>
      </c>
      <c r="G61">
        <v>602</v>
      </c>
      <c r="H61">
        <v>8.8901720114801286</v>
      </c>
      <c r="I61">
        <v>1658933.4121936271</v>
      </c>
      <c r="J61">
        <v>5888177.7672750279</v>
      </c>
    </row>
    <row r="62" spans="1:10" x14ac:dyDescent="0.3">
      <c r="A62" t="s">
        <v>1075</v>
      </c>
      <c r="B62" t="s">
        <v>13</v>
      </c>
      <c r="C62" t="s">
        <v>52</v>
      </c>
      <c r="D62" t="s">
        <v>57</v>
      </c>
      <c r="E62">
        <v>2805</v>
      </c>
      <c r="F62">
        <v>1318</v>
      </c>
      <c r="G62">
        <v>1487</v>
      </c>
      <c r="H62">
        <v>4.664992863061129</v>
      </c>
      <c r="I62">
        <v>1499862.6087622549</v>
      </c>
      <c r="J62">
        <v>16993698.233887721</v>
      </c>
    </row>
    <row r="63" spans="1:10" x14ac:dyDescent="0.3">
      <c r="A63" t="s">
        <v>1076</v>
      </c>
      <c r="B63" t="s">
        <v>341</v>
      </c>
      <c r="C63" t="s">
        <v>350</v>
      </c>
      <c r="D63" t="s">
        <v>353</v>
      </c>
      <c r="E63">
        <v>9057</v>
      </c>
      <c r="F63">
        <v>2513</v>
      </c>
      <c r="G63">
        <v>6544</v>
      </c>
      <c r="H63">
        <v>1.13428381022041</v>
      </c>
      <c r="I63">
        <v>2178071.73927696</v>
      </c>
      <c r="J63">
        <v>200087314.0661132</v>
      </c>
    </row>
    <row r="64" spans="1:10" x14ac:dyDescent="0.3">
      <c r="A64" t="s">
        <v>1077</v>
      </c>
      <c r="B64" t="s">
        <v>13</v>
      </c>
      <c r="C64" t="s">
        <v>52</v>
      </c>
      <c r="D64" t="s">
        <v>52</v>
      </c>
      <c r="E64">
        <v>11457</v>
      </c>
      <c r="F64">
        <v>9310</v>
      </c>
      <c r="G64">
        <v>2147</v>
      </c>
      <c r="H64">
        <v>5.3450526925207544</v>
      </c>
      <c r="I64">
        <v>13783198.116176469</v>
      </c>
      <c r="J64">
        <v>52957550.689621747</v>
      </c>
    </row>
    <row r="65" spans="1:10" x14ac:dyDescent="0.3">
      <c r="A65" t="s">
        <v>1078</v>
      </c>
      <c r="B65" t="s">
        <v>280</v>
      </c>
      <c r="C65" t="s">
        <v>312</v>
      </c>
      <c r="D65" t="s">
        <v>312</v>
      </c>
      <c r="E65">
        <v>20471</v>
      </c>
      <c r="F65">
        <v>15192</v>
      </c>
      <c r="G65">
        <v>5279</v>
      </c>
      <c r="H65">
        <v>3.8280340129623771</v>
      </c>
      <c r="I65">
        <v>2726098.625</v>
      </c>
      <c r="J65">
        <v>119635384.90191451</v>
      </c>
    </row>
    <row r="66" spans="1:10" x14ac:dyDescent="0.3">
      <c r="A66" t="s">
        <v>1079</v>
      </c>
      <c r="B66" t="s">
        <v>13</v>
      </c>
      <c r="C66" t="s">
        <v>14</v>
      </c>
      <c r="D66" t="s">
        <v>28</v>
      </c>
      <c r="E66">
        <v>7027</v>
      </c>
      <c r="F66">
        <v>3499</v>
      </c>
      <c r="G66">
        <v>3528</v>
      </c>
      <c r="H66">
        <v>4.2263902481453641</v>
      </c>
      <c r="I66">
        <v>1678672.349142157</v>
      </c>
      <c r="J66">
        <v>44956905.365974657</v>
      </c>
    </row>
    <row r="67" spans="1:10" x14ac:dyDescent="0.3">
      <c r="A67" t="s">
        <v>1080</v>
      </c>
      <c r="B67" t="s">
        <v>225</v>
      </c>
      <c r="C67" t="s">
        <v>226</v>
      </c>
      <c r="D67" t="s">
        <v>228</v>
      </c>
      <c r="E67">
        <v>6223</v>
      </c>
      <c r="F67">
        <v>3494</v>
      </c>
      <c r="G67">
        <v>2729</v>
      </c>
      <c r="H67">
        <v>3.8807149894439248</v>
      </c>
      <c r="I67">
        <v>17899607.348284312</v>
      </c>
      <c r="J67">
        <v>51864417.489446573</v>
      </c>
    </row>
    <row r="68" spans="1:10" x14ac:dyDescent="0.3">
      <c r="A68" t="s">
        <v>1081</v>
      </c>
      <c r="B68" t="s">
        <v>13</v>
      </c>
      <c r="C68" t="s">
        <v>52</v>
      </c>
      <c r="D68" t="s">
        <v>59</v>
      </c>
      <c r="E68">
        <v>1779</v>
      </c>
      <c r="F68">
        <v>870</v>
      </c>
      <c r="G68">
        <v>909</v>
      </c>
      <c r="H68">
        <v>1.3794936135199249</v>
      </c>
      <c r="I68">
        <v>304464.94485294109</v>
      </c>
      <c r="J68">
        <v>37101794.425209582</v>
      </c>
    </row>
    <row r="69" spans="1:10" x14ac:dyDescent="0.3">
      <c r="A69" t="s">
        <v>1082</v>
      </c>
      <c r="B69" t="s">
        <v>492</v>
      </c>
      <c r="C69" t="s">
        <v>550</v>
      </c>
      <c r="D69" t="s">
        <v>551</v>
      </c>
      <c r="E69">
        <v>2244</v>
      </c>
      <c r="F69">
        <v>535</v>
      </c>
      <c r="G69">
        <v>1709</v>
      </c>
      <c r="H69">
        <v>0.71181916183131488</v>
      </c>
      <c r="I69">
        <v>743550.78125</v>
      </c>
      <c r="J69">
        <v>54966380.527086079</v>
      </c>
    </row>
    <row r="70" spans="1:10" x14ac:dyDescent="0.3">
      <c r="A70" t="s">
        <v>1083</v>
      </c>
      <c r="B70" t="s">
        <v>645</v>
      </c>
      <c r="C70" t="s">
        <v>765</v>
      </c>
      <c r="D70" t="s">
        <v>795</v>
      </c>
      <c r="E70">
        <v>6152</v>
      </c>
      <c r="F70">
        <v>4283</v>
      </c>
      <c r="G70">
        <v>1869</v>
      </c>
      <c r="H70">
        <v>11.97801969502507</v>
      </c>
      <c r="I70">
        <v>1778206.684375</v>
      </c>
      <c r="J70">
        <v>7573758.0401183376</v>
      </c>
    </row>
    <row r="71" spans="1:10" x14ac:dyDescent="0.3">
      <c r="A71" t="s">
        <v>1084</v>
      </c>
      <c r="B71" t="s">
        <v>723</v>
      </c>
      <c r="C71" t="s">
        <v>736</v>
      </c>
      <c r="D71" t="s">
        <v>736</v>
      </c>
      <c r="E71">
        <v>5601</v>
      </c>
      <c r="F71">
        <v>3972</v>
      </c>
      <c r="G71">
        <v>1629</v>
      </c>
      <c r="H71">
        <v>1.773645167859256</v>
      </c>
      <c r="I71">
        <v>1402290.059742647</v>
      </c>
      <c r="J71">
        <v>57571718.290260427</v>
      </c>
    </row>
    <row r="72" spans="1:10" x14ac:dyDescent="0.3">
      <c r="A72" t="s">
        <v>1085</v>
      </c>
      <c r="B72" t="s">
        <v>13</v>
      </c>
      <c r="C72" t="s">
        <v>14</v>
      </c>
      <c r="D72" t="s">
        <v>26</v>
      </c>
      <c r="E72">
        <v>26904</v>
      </c>
      <c r="F72">
        <v>22262</v>
      </c>
      <c r="G72">
        <v>4642</v>
      </c>
      <c r="H72">
        <v>24.92380472323546</v>
      </c>
      <c r="I72">
        <v>8278236.9174019611</v>
      </c>
      <c r="J72">
        <v>13947128.15711464</v>
      </c>
    </row>
    <row r="73" spans="1:10" x14ac:dyDescent="0.3">
      <c r="A73" t="s">
        <v>1086</v>
      </c>
      <c r="B73" t="s">
        <v>453</v>
      </c>
      <c r="C73" t="s">
        <v>454</v>
      </c>
      <c r="D73" t="s">
        <v>138</v>
      </c>
      <c r="E73">
        <v>21370</v>
      </c>
      <c r="F73">
        <v>15810</v>
      </c>
      <c r="G73">
        <v>5560</v>
      </c>
      <c r="H73">
        <v>11.33138118092111</v>
      </c>
      <c r="I73">
        <v>4712280.7338235294</v>
      </c>
      <c r="J73">
        <v>29038548.332060698</v>
      </c>
    </row>
    <row r="74" spans="1:10" x14ac:dyDescent="0.3">
      <c r="A74" t="s">
        <v>1087</v>
      </c>
      <c r="B74" t="s">
        <v>117</v>
      </c>
      <c r="C74" t="s">
        <v>118</v>
      </c>
      <c r="D74" t="s">
        <v>121</v>
      </c>
      <c r="E74">
        <v>8591</v>
      </c>
      <c r="F74">
        <v>5683</v>
      </c>
      <c r="G74">
        <v>2908</v>
      </c>
      <c r="H74">
        <v>7.7933268777341027</v>
      </c>
      <c r="I74">
        <v>9746307.5666666664</v>
      </c>
      <c r="J74">
        <v>30647711.366911441</v>
      </c>
    </row>
    <row r="75" spans="1:10" x14ac:dyDescent="0.3">
      <c r="A75" t="s">
        <v>1088</v>
      </c>
      <c r="B75" t="s">
        <v>117</v>
      </c>
      <c r="C75" t="s">
        <v>118</v>
      </c>
      <c r="D75" t="s">
        <v>109</v>
      </c>
      <c r="E75">
        <v>3614</v>
      </c>
      <c r="F75">
        <v>2288</v>
      </c>
      <c r="G75">
        <v>1326</v>
      </c>
      <c r="H75">
        <v>6.2614296192203218</v>
      </c>
      <c r="I75">
        <v>1885100.8011642159</v>
      </c>
      <c r="J75">
        <v>26775142.877814028</v>
      </c>
    </row>
    <row r="76" spans="1:10" x14ac:dyDescent="0.3">
      <c r="A76" t="s">
        <v>1089</v>
      </c>
      <c r="B76" t="s">
        <v>117</v>
      </c>
      <c r="C76" t="s">
        <v>118</v>
      </c>
      <c r="D76" t="s">
        <v>120</v>
      </c>
      <c r="E76">
        <v>8921</v>
      </c>
      <c r="F76">
        <v>6038</v>
      </c>
      <c r="G76">
        <v>2883</v>
      </c>
      <c r="H76">
        <v>2.5425710294281152</v>
      </c>
      <c r="I76">
        <v>5032109.4267769596</v>
      </c>
      <c r="J76">
        <v>77597610.625594959</v>
      </c>
    </row>
    <row r="77" spans="1:10" x14ac:dyDescent="0.3">
      <c r="A77" t="s">
        <v>1090</v>
      </c>
      <c r="B77" t="s">
        <v>13</v>
      </c>
      <c r="C77" t="s">
        <v>64</v>
      </c>
      <c r="D77" t="s">
        <v>64</v>
      </c>
      <c r="E77">
        <v>10406</v>
      </c>
      <c r="F77">
        <v>7891</v>
      </c>
      <c r="G77">
        <v>2515</v>
      </c>
      <c r="H77">
        <v>2.506061999059563</v>
      </c>
      <c r="I77">
        <v>8043268.3742034314</v>
      </c>
      <c r="J77">
        <v>184759342.810873</v>
      </c>
    </row>
    <row r="78" spans="1:10" x14ac:dyDescent="0.3">
      <c r="A78" t="s">
        <v>1091</v>
      </c>
      <c r="B78" t="s">
        <v>149</v>
      </c>
      <c r="C78" t="s">
        <v>90</v>
      </c>
      <c r="D78" t="s">
        <v>163</v>
      </c>
      <c r="E78">
        <v>2254</v>
      </c>
      <c r="F78">
        <v>1350</v>
      </c>
      <c r="G78">
        <v>904</v>
      </c>
      <c r="H78">
        <v>1.8523647941962511</v>
      </c>
      <c r="I78">
        <v>631992.45159313723</v>
      </c>
      <c r="J78">
        <v>42468218.748980649</v>
      </c>
    </row>
    <row r="79" spans="1:10" x14ac:dyDescent="0.3">
      <c r="A79" t="s">
        <v>1092</v>
      </c>
      <c r="B79" t="s">
        <v>184</v>
      </c>
      <c r="C79" t="s">
        <v>211</v>
      </c>
      <c r="D79" t="s">
        <v>216</v>
      </c>
      <c r="E79">
        <v>4075</v>
      </c>
      <c r="F79">
        <v>2316</v>
      </c>
      <c r="G79">
        <v>1759</v>
      </c>
      <c r="H79">
        <v>5.4706115210228283</v>
      </c>
      <c r="I79">
        <v>2044691.788602941</v>
      </c>
      <c r="J79">
        <v>16514786.912249461</v>
      </c>
    </row>
    <row r="80" spans="1:10" x14ac:dyDescent="0.3">
      <c r="A80" t="s">
        <v>1093</v>
      </c>
      <c r="B80" t="s">
        <v>453</v>
      </c>
      <c r="C80" t="s">
        <v>466</v>
      </c>
      <c r="D80" t="s">
        <v>471</v>
      </c>
      <c r="E80">
        <v>8245</v>
      </c>
      <c r="F80">
        <v>4760</v>
      </c>
      <c r="G80">
        <v>3485</v>
      </c>
      <c r="H80">
        <v>5.1977843170390718</v>
      </c>
      <c r="I80">
        <v>4291615.9738970594</v>
      </c>
      <c r="J80">
        <v>45602953.826002978</v>
      </c>
    </row>
    <row r="81" spans="1:10" x14ac:dyDescent="0.3">
      <c r="A81" t="s">
        <v>1094</v>
      </c>
      <c r="B81" t="s">
        <v>492</v>
      </c>
      <c r="C81" t="s">
        <v>550</v>
      </c>
      <c r="D81" t="s">
        <v>552</v>
      </c>
      <c r="E81">
        <v>972</v>
      </c>
      <c r="F81">
        <v>248</v>
      </c>
      <c r="G81">
        <v>724</v>
      </c>
      <c r="H81">
        <v>1.198583537667026</v>
      </c>
      <c r="I81">
        <v>545341.08719362749</v>
      </c>
      <c r="J81">
        <v>96702544.099731818</v>
      </c>
    </row>
    <row r="82" spans="1:10" x14ac:dyDescent="0.3">
      <c r="A82" t="s">
        <v>1095</v>
      </c>
      <c r="B82" t="s">
        <v>13</v>
      </c>
      <c r="C82" t="s">
        <v>39</v>
      </c>
      <c r="D82" t="s">
        <v>44</v>
      </c>
      <c r="E82">
        <v>4696</v>
      </c>
      <c r="F82">
        <v>1407</v>
      </c>
      <c r="G82">
        <v>3289</v>
      </c>
      <c r="H82">
        <v>1.974968849809738</v>
      </c>
      <c r="I82">
        <v>397781.24528186268</v>
      </c>
      <c r="J82">
        <v>35774223.717953414</v>
      </c>
    </row>
    <row r="83" spans="1:10" x14ac:dyDescent="0.3">
      <c r="A83" t="s">
        <v>1096</v>
      </c>
      <c r="B83" t="s">
        <v>492</v>
      </c>
      <c r="C83" t="s">
        <v>550</v>
      </c>
      <c r="D83" t="s">
        <v>555</v>
      </c>
      <c r="E83">
        <v>1110</v>
      </c>
      <c r="F83">
        <v>211</v>
      </c>
      <c r="G83">
        <v>899</v>
      </c>
      <c r="H83">
        <v>0.91633534384636095</v>
      </c>
      <c r="I83">
        <v>998323.5321078432</v>
      </c>
      <c r="J83">
        <v>77699639.637299612</v>
      </c>
    </row>
    <row r="84" spans="1:10" x14ac:dyDescent="0.3">
      <c r="A84" t="s">
        <v>1097</v>
      </c>
      <c r="B84" t="s">
        <v>933</v>
      </c>
      <c r="C84" t="s">
        <v>933</v>
      </c>
      <c r="D84" t="s">
        <v>998</v>
      </c>
      <c r="E84">
        <v>20544</v>
      </c>
      <c r="F84">
        <v>10441</v>
      </c>
      <c r="G84">
        <v>10103</v>
      </c>
      <c r="H84">
        <v>0.99635045666023603</v>
      </c>
      <c r="I84">
        <v>3394763.1814338239</v>
      </c>
      <c r="J84">
        <v>771024593.17299366</v>
      </c>
    </row>
    <row r="85" spans="1:10" x14ac:dyDescent="0.3">
      <c r="A85" t="s">
        <v>1098</v>
      </c>
      <c r="B85" t="s">
        <v>645</v>
      </c>
      <c r="C85" t="s">
        <v>810</v>
      </c>
      <c r="D85" t="s">
        <v>459</v>
      </c>
      <c r="E85">
        <v>4689</v>
      </c>
      <c r="F85">
        <v>3073</v>
      </c>
      <c r="G85">
        <v>1616</v>
      </c>
      <c r="H85">
        <v>4.1397454302914589</v>
      </c>
      <c r="I85">
        <v>10311875.14963235</v>
      </c>
      <c r="J85">
        <v>37882764.940535873</v>
      </c>
    </row>
    <row r="86" spans="1:10" x14ac:dyDescent="0.3">
      <c r="A86" t="s">
        <v>1099</v>
      </c>
      <c r="B86" t="s">
        <v>399</v>
      </c>
      <c r="C86" t="s">
        <v>291</v>
      </c>
      <c r="D86" t="s">
        <v>420</v>
      </c>
      <c r="E86">
        <v>3761</v>
      </c>
      <c r="F86">
        <v>1132</v>
      </c>
      <c r="G86">
        <v>2629</v>
      </c>
      <c r="H86">
        <v>5.8498380301395549</v>
      </c>
      <c r="I86">
        <v>308496.38909313717</v>
      </c>
      <c r="J86">
        <v>39127489.416809529</v>
      </c>
    </row>
    <row r="87" spans="1:10" x14ac:dyDescent="0.3">
      <c r="A87" t="s">
        <v>1100</v>
      </c>
      <c r="B87" t="s">
        <v>13</v>
      </c>
      <c r="C87" t="s">
        <v>52</v>
      </c>
      <c r="D87" t="s">
        <v>54</v>
      </c>
      <c r="E87">
        <v>3392</v>
      </c>
      <c r="F87">
        <v>2030</v>
      </c>
      <c r="G87">
        <v>1362</v>
      </c>
      <c r="H87">
        <v>6.398989844522907</v>
      </c>
      <c r="I87">
        <v>2828613.645833333</v>
      </c>
      <c r="J87">
        <v>24540674.514061991</v>
      </c>
    </row>
    <row r="88" spans="1:10" x14ac:dyDescent="0.3">
      <c r="A88" t="s">
        <v>1101</v>
      </c>
      <c r="B88" t="s">
        <v>933</v>
      </c>
      <c r="C88" t="s">
        <v>94</v>
      </c>
      <c r="D88" t="s">
        <v>1002</v>
      </c>
      <c r="E88">
        <v>36660</v>
      </c>
      <c r="F88">
        <v>19498</v>
      </c>
      <c r="G88">
        <v>17162</v>
      </c>
      <c r="H88">
        <v>14.75400317620689</v>
      </c>
      <c r="I88">
        <v>9579240.8906862736</v>
      </c>
      <c r="J88">
        <v>35695700.753802359</v>
      </c>
    </row>
    <row r="89" spans="1:10" x14ac:dyDescent="0.3">
      <c r="A89" t="s">
        <v>1102</v>
      </c>
      <c r="B89" t="s">
        <v>723</v>
      </c>
      <c r="C89" t="s">
        <v>736</v>
      </c>
      <c r="D89" t="s">
        <v>738</v>
      </c>
      <c r="E89">
        <v>174</v>
      </c>
      <c r="F89">
        <v>65</v>
      </c>
      <c r="G89">
        <v>109</v>
      </c>
      <c r="H89">
        <v>0.5900822306610588</v>
      </c>
      <c r="I89">
        <v>87643.080882352951</v>
      </c>
      <c r="J89">
        <v>243934452.9997668</v>
      </c>
    </row>
    <row r="90" spans="1:10" x14ac:dyDescent="0.3">
      <c r="A90" t="s">
        <v>1103</v>
      </c>
      <c r="B90" t="s">
        <v>645</v>
      </c>
      <c r="C90" t="s">
        <v>765</v>
      </c>
      <c r="D90" t="s">
        <v>773</v>
      </c>
      <c r="E90">
        <v>18463</v>
      </c>
      <c r="F90">
        <v>13594</v>
      </c>
      <c r="G90">
        <v>4869</v>
      </c>
      <c r="H90">
        <v>19.156452340972571</v>
      </c>
      <c r="I90">
        <v>11986847.415073531</v>
      </c>
      <c r="J90">
        <v>75952661.447258249</v>
      </c>
    </row>
    <row r="91" spans="1:10" x14ac:dyDescent="0.3">
      <c r="A91" t="s">
        <v>1104</v>
      </c>
      <c r="B91" t="s">
        <v>184</v>
      </c>
      <c r="C91" t="s">
        <v>204</v>
      </c>
      <c r="D91" t="s">
        <v>206</v>
      </c>
      <c r="E91">
        <v>4109</v>
      </c>
      <c r="F91">
        <v>90</v>
      </c>
      <c r="G91">
        <v>4019</v>
      </c>
      <c r="H91">
        <v>0.67686622750580949</v>
      </c>
      <c r="I91">
        <v>3483975.0509803919</v>
      </c>
      <c r="J91">
        <v>126041686.988334</v>
      </c>
    </row>
    <row r="92" spans="1:10" x14ac:dyDescent="0.3">
      <c r="A92" t="s">
        <v>1105</v>
      </c>
      <c r="B92" t="s">
        <v>723</v>
      </c>
      <c r="C92" t="s">
        <v>741</v>
      </c>
      <c r="D92" t="s">
        <v>746</v>
      </c>
      <c r="E92">
        <v>2474</v>
      </c>
      <c r="F92">
        <v>1267</v>
      </c>
      <c r="G92">
        <v>1207</v>
      </c>
      <c r="H92">
        <v>1.686300076827207</v>
      </c>
      <c r="I92">
        <v>1020545.138357843</v>
      </c>
      <c r="J92">
        <v>89609156.909708321</v>
      </c>
    </row>
    <row r="93" spans="1:10" x14ac:dyDescent="0.3">
      <c r="A93" t="s">
        <v>1106</v>
      </c>
      <c r="B93" t="s">
        <v>117</v>
      </c>
      <c r="C93" t="s">
        <v>126</v>
      </c>
      <c r="D93" t="s">
        <v>129</v>
      </c>
      <c r="E93">
        <v>1078</v>
      </c>
      <c r="F93">
        <v>377</v>
      </c>
      <c r="G93">
        <v>701</v>
      </c>
      <c r="H93">
        <v>4.868919136958076</v>
      </c>
      <c r="I93">
        <v>293773.09754901961</v>
      </c>
      <c r="J93">
        <v>6535497.8823005669</v>
      </c>
    </row>
    <row r="94" spans="1:10" x14ac:dyDescent="0.3">
      <c r="A94" t="s">
        <v>1107</v>
      </c>
      <c r="B94" t="s">
        <v>453</v>
      </c>
      <c r="C94" t="s">
        <v>454</v>
      </c>
      <c r="D94" t="s">
        <v>456</v>
      </c>
      <c r="E94">
        <v>6142</v>
      </c>
      <c r="F94">
        <v>3892</v>
      </c>
      <c r="G94">
        <v>2250</v>
      </c>
      <c r="H94">
        <v>1.9317359860824941</v>
      </c>
      <c r="I94">
        <v>2461767.046629902</v>
      </c>
      <c r="J94">
        <v>125942443.6147677</v>
      </c>
    </row>
    <row r="95" spans="1:10" x14ac:dyDescent="0.3">
      <c r="A95" t="s">
        <v>1108</v>
      </c>
      <c r="B95" t="s">
        <v>453</v>
      </c>
      <c r="C95" t="s">
        <v>461</v>
      </c>
      <c r="D95" t="s">
        <v>462</v>
      </c>
      <c r="E95">
        <v>28066</v>
      </c>
      <c r="F95">
        <v>22981</v>
      </c>
      <c r="G95">
        <v>5085</v>
      </c>
      <c r="H95">
        <v>13.253881790482099</v>
      </c>
      <c r="I95">
        <v>5043379.8027573526</v>
      </c>
      <c r="J95">
        <v>22420950.076243792</v>
      </c>
    </row>
    <row r="96" spans="1:10" x14ac:dyDescent="0.3">
      <c r="A96" t="s">
        <v>1109</v>
      </c>
      <c r="B96" t="s">
        <v>579</v>
      </c>
      <c r="C96" t="s">
        <v>584</v>
      </c>
      <c r="D96" t="s">
        <v>584</v>
      </c>
      <c r="E96">
        <v>21564</v>
      </c>
      <c r="F96">
        <v>5496</v>
      </c>
      <c r="G96">
        <v>16068</v>
      </c>
      <c r="H96">
        <v>1.6774922327016599</v>
      </c>
      <c r="I96">
        <v>3215039.7272671568</v>
      </c>
      <c r="J96">
        <v>171144875.35615221</v>
      </c>
    </row>
    <row r="97" spans="1:10" x14ac:dyDescent="0.3">
      <c r="A97" t="s">
        <v>1110</v>
      </c>
      <c r="B97" t="s">
        <v>667</v>
      </c>
      <c r="C97" t="s">
        <v>114</v>
      </c>
      <c r="D97" t="s">
        <v>695</v>
      </c>
      <c r="E97">
        <v>3358</v>
      </c>
      <c r="F97">
        <v>1975</v>
      </c>
      <c r="G97">
        <v>1383</v>
      </c>
      <c r="H97">
        <v>0.88506223812493146</v>
      </c>
      <c r="I97">
        <v>938718.44454656879</v>
      </c>
      <c r="J97">
        <v>287341123.16906089</v>
      </c>
    </row>
    <row r="98" spans="1:10" x14ac:dyDescent="0.3">
      <c r="A98" t="s">
        <v>1111</v>
      </c>
      <c r="B98" t="s">
        <v>867</v>
      </c>
      <c r="C98" t="s">
        <v>891</v>
      </c>
      <c r="D98" t="s">
        <v>893</v>
      </c>
      <c r="E98">
        <v>1724</v>
      </c>
      <c r="F98">
        <v>768</v>
      </c>
      <c r="G98">
        <v>956</v>
      </c>
      <c r="H98">
        <v>0.84827329907151694</v>
      </c>
      <c r="I98">
        <v>495651.96875</v>
      </c>
      <c r="J98">
        <v>127403104.0982175</v>
      </c>
    </row>
    <row r="99" spans="1:10" x14ac:dyDescent="0.3">
      <c r="A99" t="s">
        <v>1112</v>
      </c>
      <c r="B99" t="s">
        <v>645</v>
      </c>
      <c r="C99" t="s">
        <v>765</v>
      </c>
      <c r="D99" t="s">
        <v>789</v>
      </c>
      <c r="E99">
        <v>5152</v>
      </c>
      <c r="F99">
        <v>3246</v>
      </c>
      <c r="G99">
        <v>1906</v>
      </c>
      <c r="H99">
        <v>6.9269461305052458</v>
      </c>
      <c r="I99">
        <v>2161899.6732230391</v>
      </c>
      <c r="J99">
        <v>72666203.249821156</v>
      </c>
    </row>
    <row r="100" spans="1:10" x14ac:dyDescent="0.3">
      <c r="A100" t="s">
        <v>1113</v>
      </c>
      <c r="B100" t="s">
        <v>453</v>
      </c>
      <c r="C100" t="s">
        <v>474</v>
      </c>
      <c r="D100" t="s">
        <v>475</v>
      </c>
      <c r="E100">
        <v>6913</v>
      </c>
      <c r="F100">
        <v>3583</v>
      </c>
      <c r="G100">
        <v>3330</v>
      </c>
      <c r="H100">
        <v>11.251790366598501</v>
      </c>
      <c r="I100">
        <v>817035.22187500005</v>
      </c>
      <c r="J100">
        <v>10131644.96673909</v>
      </c>
    </row>
    <row r="101" spans="1:10" x14ac:dyDescent="0.3">
      <c r="A101" t="s">
        <v>1114</v>
      </c>
      <c r="B101" t="s">
        <v>645</v>
      </c>
      <c r="C101" t="s">
        <v>765</v>
      </c>
      <c r="D101" t="s">
        <v>18</v>
      </c>
      <c r="E101">
        <v>11455</v>
      </c>
      <c r="F101">
        <v>8172</v>
      </c>
      <c r="G101">
        <v>3283</v>
      </c>
      <c r="H101">
        <v>5.1461571910546704</v>
      </c>
      <c r="I101">
        <v>3204864.0896446081</v>
      </c>
      <c r="J101">
        <v>87698890.641658172</v>
      </c>
    </row>
    <row r="102" spans="1:10" x14ac:dyDescent="0.3">
      <c r="A102" t="s">
        <v>1115</v>
      </c>
      <c r="B102" t="s">
        <v>117</v>
      </c>
      <c r="C102" t="s">
        <v>117</v>
      </c>
      <c r="D102" t="s">
        <v>117</v>
      </c>
      <c r="E102">
        <v>17183</v>
      </c>
      <c r="F102">
        <v>13086</v>
      </c>
      <c r="G102">
        <v>4097</v>
      </c>
      <c r="H102">
        <v>4.2850521600282372</v>
      </c>
      <c r="I102">
        <v>10981029.82696078</v>
      </c>
      <c r="J102">
        <v>76187341.005297109</v>
      </c>
    </row>
    <row r="103" spans="1:10" x14ac:dyDescent="0.3">
      <c r="A103" t="s">
        <v>1116</v>
      </c>
      <c r="B103" t="s">
        <v>149</v>
      </c>
      <c r="C103" t="s">
        <v>150</v>
      </c>
      <c r="D103" t="s">
        <v>152</v>
      </c>
      <c r="E103">
        <v>10593</v>
      </c>
      <c r="F103">
        <v>5294</v>
      </c>
      <c r="G103">
        <v>5299</v>
      </c>
      <c r="H103">
        <v>1.6818590420920601</v>
      </c>
      <c r="I103">
        <v>1489862.375</v>
      </c>
      <c r="J103">
        <v>92605695.418687493</v>
      </c>
    </row>
    <row r="104" spans="1:10" x14ac:dyDescent="0.3">
      <c r="A104" t="s">
        <v>1117</v>
      </c>
      <c r="B104" t="s">
        <v>952</v>
      </c>
      <c r="C104" t="s">
        <v>964</v>
      </c>
      <c r="D104" t="s">
        <v>969</v>
      </c>
      <c r="E104">
        <v>422</v>
      </c>
      <c r="F104">
        <v>61</v>
      </c>
      <c r="G104">
        <v>361</v>
      </c>
      <c r="H104">
        <v>0.50291289718250587</v>
      </c>
      <c r="I104">
        <v>496629.59375</v>
      </c>
      <c r="J104">
        <v>849485573.50067782</v>
      </c>
    </row>
    <row r="105" spans="1:10" x14ac:dyDescent="0.3">
      <c r="A105" t="s">
        <v>1118</v>
      </c>
      <c r="B105" t="s">
        <v>492</v>
      </c>
      <c r="C105" t="s">
        <v>492</v>
      </c>
      <c r="D105" t="s">
        <v>495</v>
      </c>
      <c r="E105">
        <v>1622</v>
      </c>
      <c r="F105">
        <v>752</v>
      </c>
      <c r="G105">
        <v>870</v>
      </c>
      <c r="H105">
        <v>0.75207390119943873</v>
      </c>
      <c r="I105">
        <v>495559.765625</v>
      </c>
      <c r="J105">
        <v>108628251.6965344</v>
      </c>
    </row>
    <row r="106" spans="1:10" x14ac:dyDescent="0.3">
      <c r="A106" t="s">
        <v>1119</v>
      </c>
      <c r="B106" t="s">
        <v>90</v>
      </c>
      <c r="C106" t="s">
        <v>102</v>
      </c>
      <c r="D106" t="s">
        <v>103</v>
      </c>
      <c r="E106">
        <v>6015</v>
      </c>
      <c r="F106">
        <v>4202</v>
      </c>
      <c r="G106">
        <v>1813</v>
      </c>
      <c r="H106">
        <v>7.8459288258120568</v>
      </c>
      <c r="I106">
        <v>1127218.9616421571</v>
      </c>
      <c r="J106">
        <v>14674615.99576026</v>
      </c>
    </row>
    <row r="107" spans="1:10" x14ac:dyDescent="0.3">
      <c r="A107" t="s">
        <v>1120</v>
      </c>
      <c r="B107" t="s">
        <v>13</v>
      </c>
      <c r="C107" t="s">
        <v>62</v>
      </c>
      <c r="D107" t="s">
        <v>62</v>
      </c>
      <c r="E107">
        <v>2985</v>
      </c>
      <c r="F107">
        <v>1936</v>
      </c>
      <c r="G107">
        <v>1049</v>
      </c>
      <c r="H107">
        <v>1.513541682245368</v>
      </c>
      <c r="I107">
        <v>1058946.872794118</v>
      </c>
      <c r="J107">
        <v>120213890.75005411</v>
      </c>
    </row>
    <row r="108" spans="1:10" x14ac:dyDescent="0.3">
      <c r="A108" t="s">
        <v>1121</v>
      </c>
      <c r="B108" t="s">
        <v>225</v>
      </c>
      <c r="C108" t="s">
        <v>237</v>
      </c>
      <c r="D108" t="s">
        <v>237</v>
      </c>
      <c r="E108">
        <v>10102</v>
      </c>
      <c r="F108">
        <v>5735</v>
      </c>
      <c r="G108">
        <v>4367</v>
      </c>
      <c r="H108">
        <v>3.392128393306304</v>
      </c>
      <c r="I108">
        <v>3722206.15625</v>
      </c>
      <c r="J108">
        <v>53092715.861168183</v>
      </c>
    </row>
    <row r="109" spans="1:10" x14ac:dyDescent="0.3">
      <c r="A109" t="s">
        <v>1122</v>
      </c>
      <c r="B109" t="s">
        <v>117</v>
      </c>
      <c r="C109" t="s">
        <v>126</v>
      </c>
      <c r="D109" t="s">
        <v>126</v>
      </c>
      <c r="E109">
        <v>12375</v>
      </c>
      <c r="F109">
        <v>7825</v>
      </c>
      <c r="G109">
        <v>4550</v>
      </c>
      <c r="H109">
        <v>4.940534233041614</v>
      </c>
      <c r="I109">
        <v>7335642.8530024504</v>
      </c>
      <c r="J109">
        <v>59946403.568803944</v>
      </c>
    </row>
    <row r="110" spans="1:10" x14ac:dyDescent="0.3">
      <c r="A110" t="s">
        <v>1123</v>
      </c>
      <c r="B110" t="s">
        <v>13</v>
      </c>
      <c r="C110" t="s">
        <v>39</v>
      </c>
      <c r="D110" t="s">
        <v>43</v>
      </c>
      <c r="E110">
        <v>1380</v>
      </c>
      <c r="F110">
        <v>804</v>
      </c>
      <c r="G110">
        <v>576</v>
      </c>
      <c r="H110">
        <v>2.289243369595058</v>
      </c>
      <c r="I110">
        <v>578704.2323529413</v>
      </c>
      <c r="J110">
        <v>30609471.61896506</v>
      </c>
    </row>
    <row r="111" spans="1:10" x14ac:dyDescent="0.3">
      <c r="A111" t="s">
        <v>1124</v>
      </c>
      <c r="B111" t="s">
        <v>453</v>
      </c>
      <c r="C111" t="s">
        <v>454</v>
      </c>
      <c r="D111" t="s">
        <v>94</v>
      </c>
      <c r="E111">
        <v>2367</v>
      </c>
      <c r="F111">
        <v>1686</v>
      </c>
      <c r="G111">
        <v>681</v>
      </c>
      <c r="H111">
        <v>1.8011395138739821</v>
      </c>
      <c r="I111">
        <v>993268.703125</v>
      </c>
      <c r="J111">
        <v>76562607.72302264</v>
      </c>
    </row>
    <row r="112" spans="1:10" x14ac:dyDescent="0.3">
      <c r="A112" t="s">
        <v>1125</v>
      </c>
      <c r="B112" t="s">
        <v>399</v>
      </c>
      <c r="C112" t="s">
        <v>447</v>
      </c>
      <c r="D112" t="s">
        <v>447</v>
      </c>
      <c r="E112">
        <v>22188</v>
      </c>
      <c r="F112">
        <v>9267</v>
      </c>
      <c r="G112">
        <v>12921</v>
      </c>
      <c r="H112">
        <v>8.252692561950397</v>
      </c>
      <c r="I112">
        <v>3971155.265625</v>
      </c>
      <c r="J112">
        <v>71846739.981580824</v>
      </c>
    </row>
    <row r="113" spans="1:10" x14ac:dyDescent="0.3">
      <c r="A113" t="s">
        <v>1126</v>
      </c>
      <c r="B113" t="s">
        <v>915</v>
      </c>
      <c r="C113" t="s">
        <v>928</v>
      </c>
      <c r="D113" t="s">
        <v>934</v>
      </c>
      <c r="E113">
        <v>2667</v>
      </c>
      <c r="F113">
        <v>307</v>
      </c>
      <c r="G113">
        <v>2360</v>
      </c>
      <c r="H113">
        <v>5.9200283946735563</v>
      </c>
      <c r="I113">
        <v>248325.625</v>
      </c>
      <c r="J113">
        <v>498796479.2906372</v>
      </c>
    </row>
    <row r="114" spans="1:10" x14ac:dyDescent="0.3">
      <c r="A114" t="s">
        <v>1127</v>
      </c>
      <c r="B114" t="s">
        <v>952</v>
      </c>
      <c r="C114" t="s">
        <v>970</v>
      </c>
      <c r="D114" t="s">
        <v>970</v>
      </c>
      <c r="E114">
        <v>25968</v>
      </c>
      <c r="F114">
        <v>8323</v>
      </c>
      <c r="G114">
        <v>17645</v>
      </c>
      <c r="H114">
        <v>26.025714569778401</v>
      </c>
      <c r="I114">
        <v>5711429.796875</v>
      </c>
      <c r="J114">
        <v>191325549.84620291</v>
      </c>
    </row>
    <row r="115" spans="1:10" x14ac:dyDescent="0.3">
      <c r="A115" t="s">
        <v>1128</v>
      </c>
      <c r="B115" t="s">
        <v>749</v>
      </c>
      <c r="C115" t="s">
        <v>762</v>
      </c>
      <c r="D115" t="s">
        <v>762</v>
      </c>
      <c r="E115">
        <v>3642</v>
      </c>
      <c r="F115">
        <v>1898</v>
      </c>
      <c r="G115">
        <v>1744</v>
      </c>
      <c r="H115">
        <v>0.75816464102605263</v>
      </c>
      <c r="I115">
        <v>1241338.640625</v>
      </c>
      <c r="J115">
        <v>243443063.40325409</v>
      </c>
    </row>
    <row r="116" spans="1:10" x14ac:dyDescent="0.3">
      <c r="A116" t="s">
        <v>1129</v>
      </c>
      <c r="B116" t="s">
        <v>933</v>
      </c>
      <c r="C116" t="s">
        <v>94</v>
      </c>
      <c r="D116" t="s">
        <v>94</v>
      </c>
      <c r="E116">
        <v>35048</v>
      </c>
      <c r="F116">
        <v>22347</v>
      </c>
      <c r="G116">
        <v>12701</v>
      </c>
      <c r="H116">
        <v>27.94598435340972</v>
      </c>
      <c r="I116">
        <v>13991572.75116422</v>
      </c>
      <c r="J116">
        <v>17124925.87614895</v>
      </c>
    </row>
    <row r="117" spans="1:10" x14ac:dyDescent="0.3">
      <c r="A117" t="s">
        <v>1130</v>
      </c>
      <c r="B117" t="s">
        <v>492</v>
      </c>
      <c r="C117" t="s">
        <v>550</v>
      </c>
      <c r="D117" t="s">
        <v>554</v>
      </c>
      <c r="E117">
        <v>2142</v>
      </c>
      <c r="F117">
        <v>635</v>
      </c>
      <c r="G117">
        <v>1507</v>
      </c>
      <c r="H117">
        <v>0.67432476881311454</v>
      </c>
      <c r="I117">
        <v>495756.34375</v>
      </c>
      <c r="J117">
        <v>181284461.5066494</v>
      </c>
    </row>
    <row r="118" spans="1:10" x14ac:dyDescent="0.3">
      <c r="A118" t="s">
        <v>1131</v>
      </c>
      <c r="B118" t="s">
        <v>667</v>
      </c>
      <c r="C118" t="s">
        <v>114</v>
      </c>
      <c r="D118" t="s">
        <v>697</v>
      </c>
      <c r="E118">
        <v>663</v>
      </c>
      <c r="F118">
        <v>227</v>
      </c>
      <c r="G118">
        <v>436</v>
      </c>
      <c r="H118">
        <v>0.97951838026564297</v>
      </c>
      <c r="I118">
        <v>52529.12205882353</v>
      </c>
      <c r="J118">
        <v>101112437.51520351</v>
      </c>
    </row>
    <row r="119" spans="1:10" x14ac:dyDescent="0.3">
      <c r="A119" t="s">
        <v>1132</v>
      </c>
      <c r="B119" t="s">
        <v>399</v>
      </c>
      <c r="C119" t="s">
        <v>439</v>
      </c>
      <c r="D119" t="s">
        <v>442</v>
      </c>
      <c r="E119">
        <v>18180</v>
      </c>
      <c r="F119">
        <v>8924</v>
      </c>
      <c r="G119">
        <v>9256</v>
      </c>
      <c r="H119">
        <v>4.9497679313269778</v>
      </c>
      <c r="I119">
        <v>1401251.1904411761</v>
      </c>
      <c r="J119">
        <v>51738962.560907677</v>
      </c>
    </row>
    <row r="120" spans="1:10" x14ac:dyDescent="0.3">
      <c r="A120" t="s">
        <v>1133</v>
      </c>
      <c r="B120" t="s">
        <v>13</v>
      </c>
      <c r="C120" t="s">
        <v>36</v>
      </c>
      <c r="D120" t="s">
        <v>37</v>
      </c>
      <c r="E120">
        <v>2681</v>
      </c>
      <c r="F120">
        <v>1969</v>
      </c>
      <c r="G120">
        <v>712</v>
      </c>
      <c r="H120">
        <v>2.314787993473375</v>
      </c>
      <c r="I120">
        <v>437553.3703431373</v>
      </c>
      <c r="J120">
        <v>53500496.612351149</v>
      </c>
    </row>
    <row r="121" spans="1:10" x14ac:dyDescent="0.3">
      <c r="A121" t="s">
        <v>1134</v>
      </c>
      <c r="B121" t="s">
        <v>149</v>
      </c>
      <c r="C121" t="s">
        <v>165</v>
      </c>
      <c r="D121" t="s">
        <v>166</v>
      </c>
      <c r="E121">
        <v>7075</v>
      </c>
      <c r="F121">
        <v>4809</v>
      </c>
      <c r="G121">
        <v>2266</v>
      </c>
      <c r="H121">
        <v>1.9377961798011041</v>
      </c>
      <c r="I121">
        <v>2731433.3125</v>
      </c>
      <c r="J121">
        <v>114236110.3673362</v>
      </c>
    </row>
    <row r="122" spans="1:10" x14ac:dyDescent="0.3">
      <c r="A122" t="s">
        <v>1135</v>
      </c>
      <c r="B122" t="s">
        <v>13</v>
      </c>
      <c r="C122" t="s">
        <v>14</v>
      </c>
      <c r="D122" t="s">
        <v>23</v>
      </c>
      <c r="E122">
        <v>2516</v>
      </c>
      <c r="F122">
        <v>1552</v>
      </c>
      <c r="G122">
        <v>964</v>
      </c>
      <c r="H122">
        <v>3.6546354223391928</v>
      </c>
      <c r="I122">
        <v>1228527.481801471</v>
      </c>
      <c r="J122">
        <v>20940358.185414221</v>
      </c>
    </row>
    <row r="123" spans="1:10" x14ac:dyDescent="0.3">
      <c r="A123" t="s">
        <v>1136</v>
      </c>
      <c r="B123" t="s">
        <v>645</v>
      </c>
      <c r="C123" t="s">
        <v>765</v>
      </c>
      <c r="D123" t="s">
        <v>792</v>
      </c>
      <c r="E123">
        <v>3846</v>
      </c>
      <c r="F123">
        <v>2983</v>
      </c>
      <c r="G123">
        <v>863</v>
      </c>
      <c r="H123">
        <v>20.46628784731033</v>
      </c>
      <c r="I123">
        <v>2742297.7333333329</v>
      </c>
      <c r="J123">
        <v>25376239.79687769</v>
      </c>
    </row>
    <row r="124" spans="1:10" x14ac:dyDescent="0.3">
      <c r="A124" t="s">
        <v>1137</v>
      </c>
      <c r="B124" t="s">
        <v>90</v>
      </c>
      <c r="C124" t="s">
        <v>91</v>
      </c>
      <c r="D124" t="s">
        <v>93</v>
      </c>
      <c r="E124">
        <v>2527</v>
      </c>
      <c r="F124">
        <v>143</v>
      </c>
      <c r="G124">
        <v>2384</v>
      </c>
      <c r="H124">
        <v>1.04434447909058</v>
      </c>
      <c r="I124">
        <v>337792.17126225488</v>
      </c>
      <c r="J124">
        <v>83279343.071894914</v>
      </c>
    </row>
    <row r="125" spans="1:10" x14ac:dyDescent="0.3">
      <c r="A125" t="s">
        <v>1138</v>
      </c>
      <c r="B125" t="s">
        <v>149</v>
      </c>
      <c r="C125" t="s">
        <v>150</v>
      </c>
      <c r="D125" t="s">
        <v>157</v>
      </c>
      <c r="E125">
        <v>1769</v>
      </c>
      <c r="F125">
        <v>578</v>
      </c>
      <c r="G125">
        <v>1191</v>
      </c>
      <c r="H125">
        <v>3.477368556894048</v>
      </c>
      <c r="I125">
        <v>67187.868933823527</v>
      </c>
      <c r="J125">
        <v>39918328.212049998</v>
      </c>
    </row>
    <row r="126" spans="1:10" x14ac:dyDescent="0.3">
      <c r="A126" t="s">
        <v>1139</v>
      </c>
      <c r="B126" t="s">
        <v>225</v>
      </c>
      <c r="C126" t="s">
        <v>226</v>
      </c>
      <c r="D126" t="s">
        <v>230</v>
      </c>
      <c r="E126">
        <v>2731</v>
      </c>
      <c r="F126">
        <v>126</v>
      </c>
      <c r="G126">
        <v>2605</v>
      </c>
      <c r="H126">
        <v>1.8049903721932219</v>
      </c>
      <c r="I126">
        <v>1982727.3794117649</v>
      </c>
      <c r="J126">
        <v>44526706.593909927</v>
      </c>
    </row>
    <row r="127" spans="1:10" x14ac:dyDescent="0.3">
      <c r="A127" t="s">
        <v>1140</v>
      </c>
      <c r="B127" t="s">
        <v>225</v>
      </c>
      <c r="C127" t="s">
        <v>247</v>
      </c>
      <c r="D127" t="s">
        <v>248</v>
      </c>
      <c r="E127">
        <v>14387</v>
      </c>
      <c r="F127">
        <v>4606</v>
      </c>
      <c r="G127">
        <v>9781</v>
      </c>
      <c r="H127">
        <v>1.783463090798568</v>
      </c>
      <c r="I127">
        <v>34029732.617034309</v>
      </c>
      <c r="J127">
        <v>219885547.920333</v>
      </c>
    </row>
    <row r="128" spans="1:10" x14ac:dyDescent="0.3">
      <c r="A128" t="s">
        <v>1141</v>
      </c>
      <c r="B128" t="s">
        <v>399</v>
      </c>
      <c r="C128" t="s">
        <v>429</v>
      </c>
      <c r="D128" t="s">
        <v>429</v>
      </c>
      <c r="E128">
        <v>38306</v>
      </c>
      <c r="F128">
        <v>12653</v>
      </c>
      <c r="G128">
        <v>25653</v>
      </c>
      <c r="H128">
        <v>1.3483665033950101</v>
      </c>
      <c r="I128">
        <v>3698736.2879901961</v>
      </c>
      <c r="J128">
        <v>520179189.54845822</v>
      </c>
    </row>
    <row r="129" spans="1:10" x14ac:dyDescent="0.3">
      <c r="A129" t="s">
        <v>1142</v>
      </c>
      <c r="B129" t="s">
        <v>453</v>
      </c>
      <c r="C129" t="s">
        <v>474</v>
      </c>
      <c r="D129" t="s">
        <v>479</v>
      </c>
      <c r="E129">
        <v>8435</v>
      </c>
      <c r="F129">
        <v>2897</v>
      </c>
      <c r="G129">
        <v>5538</v>
      </c>
      <c r="H129">
        <v>1.630928719253526</v>
      </c>
      <c r="I129">
        <v>1665232.7466299019</v>
      </c>
      <c r="J129">
        <v>165127451.38143101</v>
      </c>
    </row>
    <row r="130" spans="1:10" x14ac:dyDescent="0.3">
      <c r="A130" t="s">
        <v>1143</v>
      </c>
      <c r="B130" t="s">
        <v>399</v>
      </c>
      <c r="C130" t="s">
        <v>432</v>
      </c>
      <c r="D130" t="s">
        <v>433</v>
      </c>
      <c r="E130">
        <v>16686</v>
      </c>
      <c r="F130">
        <v>6143</v>
      </c>
      <c r="G130">
        <v>10543</v>
      </c>
      <c r="H130">
        <v>5.6376269247302968</v>
      </c>
      <c r="I130">
        <v>1489090.03125</v>
      </c>
      <c r="J130">
        <v>93161981.380779594</v>
      </c>
    </row>
    <row r="131" spans="1:10" x14ac:dyDescent="0.3">
      <c r="A131" t="s">
        <v>1144</v>
      </c>
      <c r="B131" t="s">
        <v>225</v>
      </c>
      <c r="C131" t="s">
        <v>226</v>
      </c>
      <c r="D131" t="s">
        <v>236</v>
      </c>
      <c r="E131">
        <v>19061</v>
      </c>
      <c r="F131">
        <v>10119</v>
      </c>
      <c r="G131">
        <v>8942</v>
      </c>
      <c r="H131">
        <v>7.2104669413260796</v>
      </c>
      <c r="I131">
        <v>14405479.776899509</v>
      </c>
      <c r="J131">
        <v>29871441.9154393</v>
      </c>
    </row>
    <row r="132" spans="1:10" x14ac:dyDescent="0.3">
      <c r="A132" t="s">
        <v>1145</v>
      </c>
      <c r="B132" t="s">
        <v>149</v>
      </c>
      <c r="C132" t="s">
        <v>181</v>
      </c>
      <c r="D132" t="s">
        <v>182</v>
      </c>
      <c r="E132">
        <v>6391</v>
      </c>
      <c r="F132">
        <v>4599</v>
      </c>
      <c r="G132">
        <v>1792</v>
      </c>
      <c r="H132">
        <v>3.510164948065047</v>
      </c>
      <c r="I132">
        <v>1986492.921875</v>
      </c>
      <c r="J132">
        <v>43251462.597660869</v>
      </c>
    </row>
    <row r="133" spans="1:10" x14ac:dyDescent="0.3">
      <c r="A133" t="s">
        <v>1146</v>
      </c>
      <c r="B133" t="s">
        <v>823</v>
      </c>
      <c r="C133" t="s">
        <v>850</v>
      </c>
      <c r="D133" t="s">
        <v>418</v>
      </c>
      <c r="E133">
        <v>2674</v>
      </c>
      <c r="F133">
        <v>551</v>
      </c>
      <c r="G133">
        <v>2123</v>
      </c>
      <c r="H133">
        <v>7.6194333908433736</v>
      </c>
      <c r="I133">
        <v>6121937.6761642164</v>
      </c>
      <c r="J133">
        <v>11615794.32999501</v>
      </c>
    </row>
    <row r="134" spans="1:10" x14ac:dyDescent="0.3">
      <c r="A134" t="s">
        <v>1147</v>
      </c>
      <c r="B134" t="s">
        <v>933</v>
      </c>
      <c r="C134" t="s">
        <v>168</v>
      </c>
      <c r="D134" t="s">
        <v>168</v>
      </c>
      <c r="E134">
        <v>112114</v>
      </c>
      <c r="F134">
        <v>62143</v>
      </c>
      <c r="G134">
        <v>49971</v>
      </c>
      <c r="H134">
        <v>47.165561070140363</v>
      </c>
      <c r="I134">
        <v>17913957.325980391</v>
      </c>
      <c r="J134">
        <v>25279089.335742369</v>
      </c>
    </row>
    <row r="135" spans="1:10" x14ac:dyDescent="0.3">
      <c r="A135" t="s">
        <v>1148</v>
      </c>
      <c r="B135" t="s">
        <v>280</v>
      </c>
      <c r="C135" t="s">
        <v>323</v>
      </c>
      <c r="D135" t="s">
        <v>323</v>
      </c>
      <c r="E135">
        <v>61430</v>
      </c>
      <c r="F135">
        <v>45080</v>
      </c>
      <c r="G135">
        <v>16350</v>
      </c>
      <c r="H135">
        <v>5.3935477050384089</v>
      </c>
      <c r="I135">
        <v>9358460.5775735285</v>
      </c>
      <c r="J135">
        <v>141817149.76429909</v>
      </c>
    </row>
    <row r="136" spans="1:10" x14ac:dyDescent="0.3">
      <c r="A136" t="s">
        <v>1149</v>
      </c>
      <c r="B136" t="s">
        <v>867</v>
      </c>
      <c r="C136" t="s">
        <v>885</v>
      </c>
      <c r="D136" t="s">
        <v>886</v>
      </c>
      <c r="E136">
        <v>2979</v>
      </c>
      <c r="F136">
        <v>980</v>
      </c>
      <c r="G136">
        <v>1999</v>
      </c>
      <c r="H136">
        <v>0.65366090933568088</v>
      </c>
      <c r="I136">
        <v>991357.21875</v>
      </c>
      <c r="J136">
        <v>430341752.68475097</v>
      </c>
    </row>
    <row r="137" spans="1:10" x14ac:dyDescent="0.3">
      <c r="A137" t="s">
        <v>1150</v>
      </c>
      <c r="B137" t="s">
        <v>933</v>
      </c>
      <c r="C137" t="s">
        <v>933</v>
      </c>
      <c r="D137" t="s">
        <v>1000</v>
      </c>
      <c r="E137">
        <v>7895</v>
      </c>
      <c r="F137">
        <v>4785</v>
      </c>
      <c r="G137">
        <v>3110</v>
      </c>
      <c r="H137">
        <v>4.0301949292020716</v>
      </c>
      <c r="I137">
        <v>1985058.609375</v>
      </c>
      <c r="J137">
        <v>65755370.373904079</v>
      </c>
    </row>
    <row r="138" spans="1:10" x14ac:dyDescent="0.3">
      <c r="A138" t="s">
        <v>1151</v>
      </c>
      <c r="B138" t="s">
        <v>453</v>
      </c>
      <c r="C138" t="s">
        <v>461</v>
      </c>
      <c r="D138" t="s">
        <v>464</v>
      </c>
      <c r="E138">
        <v>7974</v>
      </c>
      <c r="F138">
        <v>5749</v>
      </c>
      <c r="G138">
        <v>2225</v>
      </c>
      <c r="H138">
        <v>12.250827865651081</v>
      </c>
      <c r="I138">
        <v>931938.80686274497</v>
      </c>
      <c r="J138">
        <v>10608826.07083467</v>
      </c>
    </row>
    <row r="139" spans="1:10" x14ac:dyDescent="0.3">
      <c r="A139" t="s">
        <v>1152</v>
      </c>
      <c r="B139" t="s">
        <v>667</v>
      </c>
      <c r="C139" t="s">
        <v>691</v>
      </c>
      <c r="D139" t="s">
        <v>691</v>
      </c>
      <c r="E139">
        <v>6706</v>
      </c>
      <c r="F139">
        <v>4474</v>
      </c>
      <c r="G139">
        <v>2232</v>
      </c>
      <c r="H139">
        <v>1.701509381623592</v>
      </c>
      <c r="I139">
        <v>2233977.9375</v>
      </c>
      <c r="J139">
        <v>120848770.5861191</v>
      </c>
    </row>
    <row r="140" spans="1:10" x14ac:dyDescent="0.3">
      <c r="A140" t="s">
        <v>1153</v>
      </c>
      <c r="B140" t="s">
        <v>149</v>
      </c>
      <c r="C140" t="s">
        <v>165</v>
      </c>
      <c r="D140" t="s">
        <v>169</v>
      </c>
      <c r="E140">
        <v>2982</v>
      </c>
      <c r="F140">
        <v>2048</v>
      </c>
      <c r="G140">
        <v>934</v>
      </c>
      <c r="H140">
        <v>1.8306409724817241</v>
      </c>
      <c r="I140">
        <v>248312.96875</v>
      </c>
      <c r="J140">
        <v>46420833.582064718</v>
      </c>
    </row>
    <row r="141" spans="1:10" x14ac:dyDescent="0.3">
      <c r="A141" t="s">
        <v>1154</v>
      </c>
      <c r="B141" t="s">
        <v>492</v>
      </c>
      <c r="C141" t="s">
        <v>511</v>
      </c>
      <c r="D141" t="s">
        <v>511</v>
      </c>
      <c r="E141">
        <v>28123</v>
      </c>
      <c r="F141">
        <v>20273</v>
      </c>
      <c r="G141">
        <v>7850</v>
      </c>
      <c r="H141">
        <v>7.3970698246191766</v>
      </c>
      <c r="I141">
        <v>6936724.421875</v>
      </c>
      <c r="J141">
        <v>147408320.92059529</v>
      </c>
    </row>
    <row r="142" spans="1:10" x14ac:dyDescent="0.3">
      <c r="A142" t="s">
        <v>1155</v>
      </c>
      <c r="B142" t="s">
        <v>645</v>
      </c>
      <c r="C142" t="s">
        <v>765</v>
      </c>
      <c r="D142" t="s">
        <v>782</v>
      </c>
      <c r="E142">
        <v>22052</v>
      </c>
      <c r="F142">
        <v>19363</v>
      </c>
      <c r="G142">
        <v>2689</v>
      </c>
      <c r="H142">
        <v>20.597490019697421</v>
      </c>
      <c r="I142">
        <v>4290670.4570465675</v>
      </c>
      <c r="J142">
        <v>17717212.355703101</v>
      </c>
    </row>
    <row r="143" spans="1:10" x14ac:dyDescent="0.3">
      <c r="A143" t="s">
        <v>1156</v>
      </c>
      <c r="B143" t="s">
        <v>579</v>
      </c>
      <c r="C143" t="s">
        <v>590</v>
      </c>
      <c r="D143" t="s">
        <v>459</v>
      </c>
      <c r="E143">
        <v>6868</v>
      </c>
      <c r="F143">
        <v>2365</v>
      </c>
      <c r="G143">
        <v>4503</v>
      </c>
      <c r="H143">
        <v>4.138718510443363</v>
      </c>
      <c r="I143">
        <v>744876.390625</v>
      </c>
      <c r="J143">
        <v>39438859.324688137</v>
      </c>
    </row>
    <row r="144" spans="1:10" x14ac:dyDescent="0.3">
      <c r="A144" t="s">
        <v>1157</v>
      </c>
      <c r="B144" t="s">
        <v>13</v>
      </c>
      <c r="C144" t="s">
        <v>14</v>
      </c>
      <c r="D144" t="s">
        <v>18</v>
      </c>
      <c r="E144">
        <v>3184</v>
      </c>
      <c r="F144">
        <v>2157</v>
      </c>
      <c r="G144">
        <v>1027</v>
      </c>
      <c r="H144">
        <v>1.252252192760732</v>
      </c>
      <c r="I144">
        <v>991172.77892156865</v>
      </c>
      <c r="J144">
        <v>110846975.09621421</v>
      </c>
    </row>
    <row r="145" spans="1:10" x14ac:dyDescent="0.3">
      <c r="A145" t="s">
        <v>1158</v>
      </c>
      <c r="B145" t="s">
        <v>280</v>
      </c>
      <c r="C145" t="s">
        <v>294</v>
      </c>
      <c r="D145" t="s">
        <v>294</v>
      </c>
      <c r="E145">
        <v>6283</v>
      </c>
      <c r="F145">
        <v>2823</v>
      </c>
      <c r="G145">
        <v>3460</v>
      </c>
      <c r="H145">
        <v>1.8178741490300621</v>
      </c>
      <c r="I145">
        <v>991220.21875</v>
      </c>
      <c r="J145">
        <v>55821946.8022938</v>
      </c>
    </row>
    <row r="146" spans="1:10" x14ac:dyDescent="0.3">
      <c r="A146" t="s">
        <v>1159</v>
      </c>
      <c r="B146" t="s">
        <v>723</v>
      </c>
      <c r="C146" t="s">
        <v>741</v>
      </c>
      <c r="D146" t="s">
        <v>742</v>
      </c>
      <c r="E146">
        <v>2243</v>
      </c>
      <c r="F146">
        <v>1739</v>
      </c>
      <c r="G146">
        <v>504</v>
      </c>
      <c r="H146">
        <v>0.83308951827834321</v>
      </c>
      <c r="I146">
        <v>2454944.06317402</v>
      </c>
      <c r="J146">
        <v>161111785.57104471</v>
      </c>
    </row>
    <row r="147" spans="1:10" x14ac:dyDescent="0.3">
      <c r="A147" t="s">
        <v>1160</v>
      </c>
      <c r="B147" t="s">
        <v>90</v>
      </c>
      <c r="C147" t="s">
        <v>102</v>
      </c>
      <c r="D147" t="s">
        <v>106</v>
      </c>
      <c r="E147">
        <v>1176</v>
      </c>
      <c r="F147">
        <v>328</v>
      </c>
      <c r="G147">
        <v>848</v>
      </c>
      <c r="H147">
        <v>2.594486943992083</v>
      </c>
      <c r="I147">
        <v>141145.16035539209</v>
      </c>
      <c r="J147">
        <v>10569541.37448634</v>
      </c>
    </row>
    <row r="148" spans="1:10" x14ac:dyDescent="0.3">
      <c r="A148" t="s">
        <v>1161</v>
      </c>
      <c r="B148" t="s">
        <v>280</v>
      </c>
      <c r="C148" t="s">
        <v>283</v>
      </c>
      <c r="D148" t="s">
        <v>283</v>
      </c>
      <c r="E148">
        <v>23915</v>
      </c>
      <c r="F148">
        <v>15806</v>
      </c>
      <c r="G148">
        <v>8109</v>
      </c>
      <c r="H148">
        <v>2.13268852940076</v>
      </c>
      <c r="I148">
        <v>4461500.9375</v>
      </c>
      <c r="J148">
        <v>260373297.55376741</v>
      </c>
    </row>
    <row r="149" spans="1:10" x14ac:dyDescent="0.3">
      <c r="A149" t="s">
        <v>1162</v>
      </c>
      <c r="B149" t="s">
        <v>13</v>
      </c>
      <c r="C149" t="s">
        <v>14</v>
      </c>
      <c r="D149" t="s">
        <v>31</v>
      </c>
      <c r="E149">
        <v>26720</v>
      </c>
      <c r="F149">
        <v>17784</v>
      </c>
      <c r="G149">
        <v>8936</v>
      </c>
      <c r="H149">
        <v>8.8457011833304868</v>
      </c>
      <c r="I149">
        <v>5027592.009681372</v>
      </c>
      <c r="J149">
        <v>46660249.90330404</v>
      </c>
    </row>
    <row r="150" spans="1:10" x14ac:dyDescent="0.3">
      <c r="A150" t="s">
        <v>1163</v>
      </c>
      <c r="B150" t="s">
        <v>915</v>
      </c>
      <c r="C150" t="s">
        <v>915</v>
      </c>
      <c r="D150" t="s">
        <v>944</v>
      </c>
      <c r="E150">
        <v>597</v>
      </c>
      <c r="F150">
        <v>268</v>
      </c>
      <c r="G150">
        <v>329</v>
      </c>
      <c r="H150">
        <v>0.7252912147539925</v>
      </c>
      <c r="I150">
        <v>552126.33566176472</v>
      </c>
      <c r="J150">
        <v>89025920.345823184</v>
      </c>
    </row>
    <row r="151" spans="1:10" x14ac:dyDescent="0.3">
      <c r="A151" t="s">
        <v>1164</v>
      </c>
      <c r="B151" t="s">
        <v>399</v>
      </c>
      <c r="C151" t="s">
        <v>400</v>
      </c>
      <c r="D151" t="s">
        <v>403</v>
      </c>
      <c r="E151">
        <v>33691</v>
      </c>
      <c r="F151">
        <v>18122</v>
      </c>
      <c r="G151">
        <v>15569</v>
      </c>
      <c r="H151">
        <v>8.302824638953167</v>
      </c>
      <c r="I151">
        <v>4673154.3247549012</v>
      </c>
      <c r="J151">
        <v>73829736.596663207</v>
      </c>
    </row>
    <row r="152" spans="1:10" x14ac:dyDescent="0.3">
      <c r="A152" t="s">
        <v>1165</v>
      </c>
      <c r="B152" t="s">
        <v>667</v>
      </c>
      <c r="C152" t="s">
        <v>691</v>
      </c>
      <c r="D152" t="s">
        <v>693</v>
      </c>
      <c r="E152">
        <v>2515</v>
      </c>
      <c r="F152">
        <v>511</v>
      </c>
      <c r="G152">
        <v>2004</v>
      </c>
      <c r="H152">
        <v>0.64456444435579485</v>
      </c>
      <c r="I152">
        <v>954871.5431985294</v>
      </c>
      <c r="J152">
        <v>202212905.1262562</v>
      </c>
    </row>
    <row r="153" spans="1:10" x14ac:dyDescent="0.3">
      <c r="A153" t="s">
        <v>1166</v>
      </c>
      <c r="B153" t="s">
        <v>399</v>
      </c>
      <c r="C153" t="s">
        <v>428</v>
      </c>
      <c r="D153" t="s">
        <v>428</v>
      </c>
      <c r="E153">
        <v>17991</v>
      </c>
      <c r="F153">
        <v>5872</v>
      </c>
      <c r="G153">
        <v>12119</v>
      </c>
      <c r="H153">
        <v>1.9116473402348779</v>
      </c>
      <c r="I153">
        <v>2234049.65625</v>
      </c>
      <c r="J153">
        <v>186468253.3336665</v>
      </c>
    </row>
    <row r="154" spans="1:10" x14ac:dyDescent="0.3">
      <c r="A154" t="s">
        <v>1167</v>
      </c>
      <c r="B154" t="s">
        <v>117</v>
      </c>
      <c r="C154" t="s">
        <v>118</v>
      </c>
      <c r="D154" t="s">
        <v>118</v>
      </c>
      <c r="E154">
        <v>40922</v>
      </c>
      <c r="F154">
        <v>34618</v>
      </c>
      <c r="G154">
        <v>6304</v>
      </c>
      <c r="H154">
        <v>16.28929995304031</v>
      </c>
      <c r="I154">
        <v>14311956.00520833</v>
      </c>
      <c r="J154">
        <v>56554971.235437408</v>
      </c>
    </row>
    <row r="155" spans="1:10" x14ac:dyDescent="0.3">
      <c r="A155" t="s">
        <v>1168</v>
      </c>
      <c r="B155" t="s">
        <v>184</v>
      </c>
      <c r="C155" t="s">
        <v>217</v>
      </c>
      <c r="D155" t="s">
        <v>218</v>
      </c>
      <c r="E155">
        <v>2125</v>
      </c>
      <c r="F155">
        <v>799</v>
      </c>
      <c r="G155">
        <v>1326</v>
      </c>
      <c r="H155">
        <v>9.9184972171023364</v>
      </c>
      <c r="I155">
        <v>852984.04301470588</v>
      </c>
      <c r="J155">
        <v>4710646.1177028902</v>
      </c>
    </row>
    <row r="156" spans="1:10" x14ac:dyDescent="0.3">
      <c r="A156" t="s">
        <v>1169</v>
      </c>
      <c r="B156" t="s">
        <v>823</v>
      </c>
      <c r="C156" t="s">
        <v>850</v>
      </c>
      <c r="D156" t="s">
        <v>160</v>
      </c>
      <c r="E156">
        <v>7836</v>
      </c>
      <c r="F156">
        <v>4288</v>
      </c>
      <c r="G156">
        <v>3548</v>
      </c>
      <c r="H156">
        <v>10.66496326637197</v>
      </c>
      <c r="I156">
        <v>4326591.290808823</v>
      </c>
      <c r="J156">
        <v>15663178.47386058</v>
      </c>
    </row>
    <row r="157" spans="1:10" x14ac:dyDescent="0.3">
      <c r="A157" t="s">
        <v>1170</v>
      </c>
      <c r="B157" t="s">
        <v>399</v>
      </c>
      <c r="C157" t="s">
        <v>435</v>
      </c>
      <c r="D157" t="s">
        <v>436</v>
      </c>
      <c r="E157">
        <v>30540</v>
      </c>
      <c r="F157">
        <v>5526</v>
      </c>
      <c r="G157">
        <v>25014</v>
      </c>
      <c r="H157">
        <v>3.0232377690873218</v>
      </c>
      <c r="I157">
        <v>2233833.328125</v>
      </c>
      <c r="J157">
        <v>132360032.75546069</v>
      </c>
    </row>
    <row r="158" spans="1:10" x14ac:dyDescent="0.3">
      <c r="A158" t="s">
        <v>1171</v>
      </c>
      <c r="B158" t="s">
        <v>453</v>
      </c>
      <c r="C158" t="s">
        <v>466</v>
      </c>
      <c r="D158" t="s">
        <v>466</v>
      </c>
      <c r="E158">
        <v>21362</v>
      </c>
      <c r="F158">
        <v>13350</v>
      </c>
      <c r="G158">
        <v>8012</v>
      </c>
      <c r="H158">
        <v>7.4661543572232807</v>
      </c>
      <c r="I158">
        <v>5540038.8656249996</v>
      </c>
      <c r="J158">
        <v>65791411.942562163</v>
      </c>
    </row>
    <row r="159" spans="1:10" x14ac:dyDescent="0.3">
      <c r="A159" t="s">
        <v>1172</v>
      </c>
      <c r="B159" t="s">
        <v>341</v>
      </c>
      <c r="C159" t="s">
        <v>95</v>
      </c>
      <c r="D159" t="s">
        <v>171</v>
      </c>
      <c r="E159">
        <v>1976</v>
      </c>
      <c r="F159">
        <v>22</v>
      </c>
      <c r="G159">
        <v>1954</v>
      </c>
      <c r="H159">
        <v>0.92601184524596925</v>
      </c>
      <c r="I159">
        <v>75945.425367647069</v>
      </c>
      <c r="J159">
        <v>218723675.1961152</v>
      </c>
    </row>
    <row r="160" spans="1:10" x14ac:dyDescent="0.3">
      <c r="A160" t="s">
        <v>1173</v>
      </c>
      <c r="B160" t="s">
        <v>184</v>
      </c>
      <c r="C160" t="s">
        <v>204</v>
      </c>
      <c r="D160" t="s">
        <v>207</v>
      </c>
      <c r="E160">
        <v>3556</v>
      </c>
      <c r="F160">
        <v>1263</v>
      </c>
      <c r="G160">
        <v>2293</v>
      </c>
      <c r="H160">
        <v>3.6138756181169271</v>
      </c>
      <c r="I160">
        <v>7627040.3794730389</v>
      </c>
      <c r="J160">
        <v>18657909.866692249</v>
      </c>
    </row>
    <row r="161" spans="1:10" x14ac:dyDescent="0.3">
      <c r="A161" t="s">
        <v>1174</v>
      </c>
      <c r="B161" t="s">
        <v>149</v>
      </c>
      <c r="C161" t="s">
        <v>90</v>
      </c>
      <c r="D161" t="s">
        <v>90</v>
      </c>
      <c r="E161">
        <v>5872</v>
      </c>
      <c r="F161">
        <v>3972</v>
      </c>
      <c r="G161">
        <v>1900</v>
      </c>
      <c r="H161">
        <v>1.817560973041862</v>
      </c>
      <c r="I161">
        <v>2234852.875</v>
      </c>
      <c r="J161">
        <v>99654807.710796326</v>
      </c>
    </row>
    <row r="162" spans="1:10" x14ac:dyDescent="0.3">
      <c r="A162" t="s">
        <v>1175</v>
      </c>
      <c r="B162" t="s">
        <v>399</v>
      </c>
      <c r="C162" t="s">
        <v>435</v>
      </c>
      <c r="D162" t="s">
        <v>437</v>
      </c>
      <c r="E162">
        <v>10518</v>
      </c>
      <c r="F162">
        <v>410</v>
      </c>
      <c r="G162">
        <v>10108</v>
      </c>
      <c r="H162">
        <v>1.804389975547088</v>
      </c>
      <c r="I162">
        <v>744636.03125</v>
      </c>
      <c r="J162">
        <v>85101810.389026284</v>
      </c>
    </row>
    <row r="163" spans="1:10" x14ac:dyDescent="0.3">
      <c r="A163" t="s">
        <v>1176</v>
      </c>
      <c r="B163" t="s">
        <v>823</v>
      </c>
      <c r="C163" t="s">
        <v>850</v>
      </c>
      <c r="D163" t="s">
        <v>852</v>
      </c>
      <c r="E163">
        <v>2626</v>
      </c>
      <c r="F163">
        <v>1718</v>
      </c>
      <c r="G163">
        <v>908</v>
      </c>
      <c r="H163">
        <v>9.8972878462424241</v>
      </c>
      <c r="I163">
        <v>1439907.361642157</v>
      </c>
      <c r="J163">
        <v>5167582.5092525957</v>
      </c>
    </row>
    <row r="164" spans="1:10" x14ac:dyDescent="0.3">
      <c r="A164" t="s">
        <v>1177</v>
      </c>
      <c r="B164" t="s">
        <v>952</v>
      </c>
      <c r="C164" t="s">
        <v>977</v>
      </c>
      <c r="D164" t="s">
        <v>981</v>
      </c>
      <c r="E164">
        <v>5461</v>
      </c>
      <c r="F164">
        <v>250</v>
      </c>
      <c r="G164">
        <v>5211</v>
      </c>
      <c r="H164">
        <v>0.51564568319505044</v>
      </c>
      <c r="I164">
        <v>993223.75</v>
      </c>
      <c r="J164">
        <v>501395987.91494077</v>
      </c>
    </row>
    <row r="165" spans="1:10" x14ac:dyDescent="0.3">
      <c r="A165" t="s">
        <v>1178</v>
      </c>
      <c r="B165" t="s">
        <v>225</v>
      </c>
      <c r="C165" t="s">
        <v>254</v>
      </c>
      <c r="D165" t="s">
        <v>254</v>
      </c>
      <c r="E165">
        <v>6796</v>
      </c>
      <c r="F165">
        <v>3728</v>
      </c>
      <c r="G165">
        <v>3068</v>
      </c>
      <c r="H165">
        <v>1.7681200540719451</v>
      </c>
      <c r="I165">
        <v>1488800.40625</v>
      </c>
      <c r="J165">
        <v>126895255.7567421</v>
      </c>
    </row>
    <row r="166" spans="1:10" x14ac:dyDescent="0.3">
      <c r="A166" t="s">
        <v>1179</v>
      </c>
      <c r="B166" t="s">
        <v>149</v>
      </c>
      <c r="C166" t="s">
        <v>174</v>
      </c>
      <c r="D166" t="s">
        <v>175</v>
      </c>
      <c r="E166">
        <v>20567</v>
      </c>
      <c r="F166">
        <v>14310</v>
      </c>
      <c r="G166">
        <v>6257</v>
      </c>
      <c r="H166">
        <v>2.9095682783581438</v>
      </c>
      <c r="I166">
        <v>3724699.53125</v>
      </c>
      <c r="J166">
        <v>145817883.9327639</v>
      </c>
    </row>
    <row r="167" spans="1:10" x14ac:dyDescent="0.3">
      <c r="A167" t="s">
        <v>1180</v>
      </c>
      <c r="B167" t="s">
        <v>149</v>
      </c>
      <c r="C167" t="s">
        <v>170</v>
      </c>
      <c r="D167" t="s">
        <v>170</v>
      </c>
      <c r="E167">
        <v>6701</v>
      </c>
      <c r="F167">
        <v>5083</v>
      </c>
      <c r="G167">
        <v>1618</v>
      </c>
      <c r="H167">
        <v>3.3159357355696901</v>
      </c>
      <c r="I167">
        <v>2101440.7673406862</v>
      </c>
      <c r="J167">
        <v>100734569.5577791</v>
      </c>
    </row>
    <row r="168" spans="1:10" x14ac:dyDescent="0.3">
      <c r="A168" t="s">
        <v>1181</v>
      </c>
      <c r="B168" t="s">
        <v>645</v>
      </c>
      <c r="C168" t="s">
        <v>765</v>
      </c>
      <c r="D168" t="s">
        <v>790</v>
      </c>
      <c r="E168">
        <v>17779</v>
      </c>
      <c r="F168">
        <v>14404</v>
      </c>
      <c r="G168">
        <v>3375</v>
      </c>
      <c r="H168">
        <v>18.882092878835369</v>
      </c>
      <c r="I168">
        <v>1867797.3920955879</v>
      </c>
      <c r="J168">
        <v>31743816.08391498</v>
      </c>
    </row>
    <row r="169" spans="1:10" x14ac:dyDescent="0.3">
      <c r="A169" t="s">
        <v>1182</v>
      </c>
      <c r="B169" t="s">
        <v>915</v>
      </c>
      <c r="C169" t="s">
        <v>928</v>
      </c>
      <c r="D169" t="s">
        <v>929</v>
      </c>
      <c r="E169">
        <v>3066</v>
      </c>
      <c r="F169">
        <v>1292</v>
      </c>
      <c r="G169">
        <v>1774</v>
      </c>
      <c r="H169">
        <v>0.54351599534291506</v>
      </c>
      <c r="I169">
        <v>1241629.46875</v>
      </c>
      <c r="J169">
        <v>1076216148.3011069</v>
      </c>
    </row>
    <row r="170" spans="1:10" x14ac:dyDescent="0.3">
      <c r="A170" t="s">
        <v>1183</v>
      </c>
      <c r="B170" t="s">
        <v>341</v>
      </c>
      <c r="C170" t="s">
        <v>393</v>
      </c>
      <c r="D170" t="s">
        <v>398</v>
      </c>
      <c r="E170">
        <v>6173</v>
      </c>
      <c r="F170">
        <v>963</v>
      </c>
      <c r="G170">
        <v>5210</v>
      </c>
      <c r="H170">
        <v>1.293401308282895</v>
      </c>
      <c r="I170">
        <v>248284.515625</v>
      </c>
      <c r="J170">
        <v>154629055.6650863</v>
      </c>
    </row>
    <row r="171" spans="1:10" x14ac:dyDescent="0.3">
      <c r="A171" t="s">
        <v>1184</v>
      </c>
      <c r="B171" t="s">
        <v>184</v>
      </c>
      <c r="C171" t="s">
        <v>185</v>
      </c>
      <c r="D171" t="s">
        <v>191</v>
      </c>
      <c r="E171">
        <v>3230</v>
      </c>
      <c r="F171">
        <v>1524</v>
      </c>
      <c r="G171">
        <v>1706</v>
      </c>
      <c r="H171">
        <v>9.1064468513855896</v>
      </c>
      <c r="I171">
        <v>6443013.4837622549</v>
      </c>
      <c r="J171">
        <v>10400715.2846606</v>
      </c>
    </row>
    <row r="172" spans="1:10" x14ac:dyDescent="0.3">
      <c r="A172" t="s">
        <v>1185</v>
      </c>
      <c r="B172" t="s">
        <v>399</v>
      </c>
      <c r="C172" t="s">
        <v>416</v>
      </c>
      <c r="D172" t="s">
        <v>418</v>
      </c>
      <c r="E172">
        <v>10080</v>
      </c>
      <c r="F172">
        <v>1529</v>
      </c>
      <c r="G172">
        <v>8551</v>
      </c>
      <c r="H172">
        <v>1.5178901316596469</v>
      </c>
      <c r="I172">
        <v>170392.29932598039</v>
      </c>
      <c r="J172">
        <v>137385853.31914711</v>
      </c>
    </row>
    <row r="173" spans="1:10" x14ac:dyDescent="0.3">
      <c r="A173" t="s">
        <v>1186</v>
      </c>
      <c r="B173" t="s">
        <v>280</v>
      </c>
      <c r="C173" t="s">
        <v>329</v>
      </c>
      <c r="D173" t="s">
        <v>334</v>
      </c>
      <c r="E173">
        <v>2308</v>
      </c>
      <c r="F173">
        <v>1222</v>
      </c>
      <c r="G173">
        <v>1086</v>
      </c>
      <c r="H173">
        <v>1.5158755142226441</v>
      </c>
      <c r="I173">
        <v>506386.50821078429</v>
      </c>
      <c r="J173">
        <v>47401944.281787887</v>
      </c>
    </row>
    <row r="174" spans="1:10" x14ac:dyDescent="0.3">
      <c r="A174" t="s">
        <v>1187</v>
      </c>
      <c r="B174" t="s">
        <v>645</v>
      </c>
      <c r="C174" t="s">
        <v>765</v>
      </c>
      <c r="D174" t="s">
        <v>788</v>
      </c>
      <c r="E174">
        <v>36749</v>
      </c>
      <c r="F174">
        <v>31877</v>
      </c>
      <c r="G174">
        <v>4872</v>
      </c>
      <c r="H174">
        <v>16.183488412157629</v>
      </c>
      <c r="I174">
        <v>18210596.126286771</v>
      </c>
      <c r="J174">
        <v>23720313.57290297</v>
      </c>
    </row>
    <row r="175" spans="1:10" x14ac:dyDescent="0.3">
      <c r="A175" t="s">
        <v>1188</v>
      </c>
      <c r="B175" t="s">
        <v>117</v>
      </c>
      <c r="C175" t="s">
        <v>145</v>
      </c>
      <c r="D175" t="s">
        <v>145</v>
      </c>
      <c r="E175">
        <v>9264</v>
      </c>
      <c r="F175">
        <v>6055</v>
      </c>
      <c r="G175">
        <v>3209</v>
      </c>
      <c r="H175">
        <v>4.4082035689426071</v>
      </c>
      <c r="I175">
        <v>1481752.5919730391</v>
      </c>
      <c r="J175">
        <v>63104682.145040959</v>
      </c>
    </row>
    <row r="176" spans="1:10" x14ac:dyDescent="0.3">
      <c r="A176" t="s">
        <v>1189</v>
      </c>
      <c r="B176" t="s">
        <v>749</v>
      </c>
      <c r="C176" t="s">
        <v>759</v>
      </c>
      <c r="D176" t="s">
        <v>761</v>
      </c>
      <c r="E176">
        <v>9441</v>
      </c>
      <c r="F176">
        <v>5680</v>
      </c>
      <c r="G176">
        <v>3761</v>
      </c>
      <c r="H176">
        <v>5.1647824438831744</v>
      </c>
      <c r="I176">
        <v>5461355.96875</v>
      </c>
      <c r="J176">
        <v>24161781.983644389</v>
      </c>
    </row>
    <row r="177" spans="1:10" x14ac:dyDescent="0.3">
      <c r="A177" t="s">
        <v>1190</v>
      </c>
      <c r="B177" t="s">
        <v>280</v>
      </c>
      <c r="C177" t="s">
        <v>303</v>
      </c>
      <c r="D177" t="s">
        <v>303</v>
      </c>
      <c r="E177">
        <v>6603</v>
      </c>
      <c r="F177">
        <v>4732</v>
      </c>
      <c r="G177">
        <v>1871</v>
      </c>
      <c r="H177">
        <v>1.6036495929100569</v>
      </c>
      <c r="I177">
        <v>1486804.125</v>
      </c>
      <c r="J177">
        <v>129842551.12085781</v>
      </c>
    </row>
    <row r="178" spans="1:10" x14ac:dyDescent="0.3">
      <c r="A178" t="s">
        <v>1191</v>
      </c>
      <c r="B178" t="s">
        <v>823</v>
      </c>
      <c r="C178" t="s">
        <v>865</v>
      </c>
      <c r="D178" t="s">
        <v>866</v>
      </c>
      <c r="E178">
        <v>1234</v>
      </c>
      <c r="F178">
        <v>693</v>
      </c>
      <c r="G178">
        <v>541</v>
      </c>
      <c r="H178">
        <v>5.1701432897421844</v>
      </c>
      <c r="I178">
        <v>744767.65625</v>
      </c>
      <c r="J178">
        <v>11259654.65620539</v>
      </c>
    </row>
    <row r="179" spans="1:10" x14ac:dyDescent="0.3">
      <c r="A179" t="s">
        <v>1192</v>
      </c>
      <c r="B179" t="s">
        <v>453</v>
      </c>
      <c r="C179" t="s">
        <v>474</v>
      </c>
      <c r="D179" t="s">
        <v>476</v>
      </c>
      <c r="E179">
        <v>8809</v>
      </c>
      <c r="F179">
        <v>3462</v>
      </c>
      <c r="G179">
        <v>5347</v>
      </c>
      <c r="H179">
        <v>5.7744348028492869</v>
      </c>
      <c r="I179">
        <v>1337058.510110294</v>
      </c>
      <c r="J179">
        <v>27983090.52790102</v>
      </c>
    </row>
    <row r="180" spans="1:10" x14ac:dyDescent="0.3">
      <c r="A180" t="s">
        <v>1193</v>
      </c>
      <c r="B180" t="s">
        <v>13</v>
      </c>
      <c r="C180" t="s">
        <v>69</v>
      </c>
      <c r="D180" t="s">
        <v>69</v>
      </c>
      <c r="E180">
        <v>10655</v>
      </c>
      <c r="F180">
        <v>6370</v>
      </c>
      <c r="G180">
        <v>4285</v>
      </c>
      <c r="H180">
        <v>1.8850651658675519</v>
      </c>
      <c r="I180">
        <v>1735887.140625</v>
      </c>
      <c r="J180">
        <v>144069841.30832109</v>
      </c>
    </row>
    <row r="181" spans="1:10" x14ac:dyDescent="0.3">
      <c r="A181" t="s">
        <v>1194</v>
      </c>
      <c r="B181" t="s">
        <v>399</v>
      </c>
      <c r="C181" t="s">
        <v>409</v>
      </c>
      <c r="D181" t="s">
        <v>409</v>
      </c>
      <c r="E181">
        <v>20299</v>
      </c>
      <c r="F181">
        <v>4363</v>
      </c>
      <c r="G181">
        <v>15936</v>
      </c>
      <c r="H181">
        <v>0.95885753906347859</v>
      </c>
      <c r="I181">
        <v>1489432.71875</v>
      </c>
      <c r="J181">
        <v>544023925.07545185</v>
      </c>
    </row>
    <row r="182" spans="1:10" x14ac:dyDescent="0.3">
      <c r="A182" t="s">
        <v>1195</v>
      </c>
      <c r="B182" t="s">
        <v>915</v>
      </c>
      <c r="C182" t="s">
        <v>916</v>
      </c>
      <c r="D182" t="s">
        <v>917</v>
      </c>
      <c r="E182">
        <v>64904</v>
      </c>
      <c r="F182">
        <v>37197</v>
      </c>
      <c r="G182">
        <v>27707</v>
      </c>
      <c r="H182">
        <v>9.1473590497282693</v>
      </c>
      <c r="I182">
        <v>19704434.839644611</v>
      </c>
      <c r="J182">
        <v>216958363.03748101</v>
      </c>
    </row>
    <row r="183" spans="1:10" x14ac:dyDescent="0.3">
      <c r="A183" t="s">
        <v>1196</v>
      </c>
      <c r="B183" t="s">
        <v>915</v>
      </c>
      <c r="C183" t="s">
        <v>916</v>
      </c>
      <c r="D183" t="s">
        <v>922</v>
      </c>
      <c r="E183">
        <v>8662</v>
      </c>
      <c r="F183">
        <v>2683</v>
      </c>
      <c r="G183">
        <v>5979</v>
      </c>
      <c r="H183">
        <v>1.3534565905597979</v>
      </c>
      <c r="I183">
        <v>1738283.34375</v>
      </c>
      <c r="J183">
        <v>239149072.1365118</v>
      </c>
    </row>
    <row r="184" spans="1:10" x14ac:dyDescent="0.3">
      <c r="A184" t="s">
        <v>1197</v>
      </c>
      <c r="B184" t="s">
        <v>13</v>
      </c>
      <c r="C184" t="s">
        <v>88</v>
      </c>
      <c r="D184" t="s">
        <v>88</v>
      </c>
      <c r="E184">
        <v>3582</v>
      </c>
      <c r="F184">
        <v>2438</v>
      </c>
      <c r="G184">
        <v>1144</v>
      </c>
      <c r="H184">
        <v>3.104288539987714</v>
      </c>
      <c r="I184">
        <v>2902601.3778799018</v>
      </c>
      <c r="J184">
        <v>40385129.813849308</v>
      </c>
    </row>
    <row r="185" spans="1:10" x14ac:dyDescent="0.3">
      <c r="A185" t="s">
        <v>1198</v>
      </c>
      <c r="B185" t="s">
        <v>225</v>
      </c>
      <c r="C185" t="s">
        <v>259</v>
      </c>
      <c r="D185" t="s">
        <v>261</v>
      </c>
      <c r="E185">
        <v>9973</v>
      </c>
      <c r="F185">
        <v>519</v>
      </c>
      <c r="G185">
        <v>9454</v>
      </c>
      <c r="H185">
        <v>0.78775994027479324</v>
      </c>
      <c r="I185">
        <v>3967734.6639705878</v>
      </c>
      <c r="J185">
        <v>241597889.6097692</v>
      </c>
    </row>
    <row r="186" spans="1:10" x14ac:dyDescent="0.3">
      <c r="A186" t="s">
        <v>1199</v>
      </c>
      <c r="B186" t="s">
        <v>453</v>
      </c>
      <c r="C186" t="s">
        <v>461</v>
      </c>
      <c r="D186" t="s">
        <v>317</v>
      </c>
      <c r="E186">
        <v>12215</v>
      </c>
      <c r="F186">
        <v>6571</v>
      </c>
      <c r="G186">
        <v>5644</v>
      </c>
      <c r="H186">
        <v>10.978722373292779</v>
      </c>
      <c r="I186">
        <v>1375027.440073529</v>
      </c>
      <c r="J186">
        <v>18309068.804060929</v>
      </c>
    </row>
    <row r="187" spans="1:10" x14ac:dyDescent="0.3">
      <c r="A187" t="s">
        <v>1200</v>
      </c>
      <c r="B187" t="s">
        <v>13</v>
      </c>
      <c r="C187" t="s">
        <v>14</v>
      </c>
      <c r="D187" t="s">
        <v>34</v>
      </c>
      <c r="E187">
        <v>34785</v>
      </c>
      <c r="F187">
        <v>24756</v>
      </c>
      <c r="G187">
        <v>10029</v>
      </c>
      <c r="H187">
        <v>11.128568658698359</v>
      </c>
      <c r="I187">
        <v>4724842.6190563729</v>
      </c>
      <c r="J187">
        <v>44346774.144208401</v>
      </c>
    </row>
    <row r="188" spans="1:10" x14ac:dyDescent="0.3">
      <c r="A188" t="s">
        <v>1201</v>
      </c>
      <c r="B188" t="s">
        <v>280</v>
      </c>
      <c r="C188" t="s">
        <v>329</v>
      </c>
      <c r="D188" t="s">
        <v>329</v>
      </c>
      <c r="E188">
        <v>11530</v>
      </c>
      <c r="F188">
        <v>9488</v>
      </c>
      <c r="G188">
        <v>2042</v>
      </c>
      <c r="H188">
        <v>10.028362483574419</v>
      </c>
      <c r="I188">
        <v>1239120.78125</v>
      </c>
      <c r="J188">
        <v>17101117.23067623</v>
      </c>
    </row>
    <row r="189" spans="1:10" x14ac:dyDescent="0.3">
      <c r="A189" t="s">
        <v>1202</v>
      </c>
      <c r="B189" t="s">
        <v>645</v>
      </c>
      <c r="C189" t="s">
        <v>802</v>
      </c>
      <c r="D189" t="s">
        <v>805</v>
      </c>
      <c r="E189">
        <v>12526</v>
      </c>
      <c r="F189">
        <v>9341</v>
      </c>
      <c r="G189">
        <v>3185</v>
      </c>
      <c r="H189">
        <v>3.838609854703217</v>
      </c>
      <c r="I189">
        <v>3871791.2958333329</v>
      </c>
      <c r="J189">
        <v>65650049.666887708</v>
      </c>
    </row>
    <row r="190" spans="1:10" x14ac:dyDescent="0.3">
      <c r="A190" t="s">
        <v>1203</v>
      </c>
      <c r="B190" t="s">
        <v>492</v>
      </c>
      <c r="C190" t="s">
        <v>492</v>
      </c>
      <c r="D190" t="s">
        <v>499</v>
      </c>
      <c r="E190">
        <v>4686</v>
      </c>
      <c r="F190">
        <v>534</v>
      </c>
      <c r="G190">
        <v>4152</v>
      </c>
      <c r="H190">
        <v>0.73610117423772048</v>
      </c>
      <c r="I190">
        <v>495612.59375</v>
      </c>
      <c r="J190">
        <v>157384017.1195713</v>
      </c>
    </row>
    <row r="191" spans="1:10" x14ac:dyDescent="0.3">
      <c r="A191" t="s">
        <v>1204</v>
      </c>
      <c r="B191" t="s">
        <v>13</v>
      </c>
      <c r="C191" t="s">
        <v>39</v>
      </c>
      <c r="D191" t="s">
        <v>46</v>
      </c>
      <c r="E191">
        <v>2668</v>
      </c>
      <c r="F191">
        <v>1383</v>
      </c>
      <c r="G191">
        <v>1285</v>
      </c>
      <c r="H191">
        <v>1.9050266378261851</v>
      </c>
      <c r="I191">
        <v>731412.09785539214</v>
      </c>
      <c r="J191">
        <v>74019422.555458501</v>
      </c>
    </row>
    <row r="192" spans="1:10" x14ac:dyDescent="0.3">
      <c r="A192" t="s">
        <v>1205</v>
      </c>
      <c r="B192" t="s">
        <v>399</v>
      </c>
      <c r="C192" t="s">
        <v>422</v>
      </c>
      <c r="D192" t="s">
        <v>424</v>
      </c>
      <c r="E192">
        <v>9398</v>
      </c>
      <c r="F192">
        <v>3013</v>
      </c>
      <c r="G192">
        <v>6385</v>
      </c>
      <c r="H192">
        <v>1.437556904973502</v>
      </c>
      <c r="I192">
        <v>496173.71875</v>
      </c>
      <c r="J192">
        <v>103330347.3823636</v>
      </c>
    </row>
    <row r="193" spans="1:10" x14ac:dyDescent="0.3">
      <c r="A193" t="s">
        <v>1206</v>
      </c>
      <c r="B193" t="s">
        <v>117</v>
      </c>
      <c r="C193" t="s">
        <v>117</v>
      </c>
      <c r="D193" t="s">
        <v>134</v>
      </c>
      <c r="E193">
        <v>3223</v>
      </c>
      <c r="F193">
        <v>1258</v>
      </c>
      <c r="G193">
        <v>1965</v>
      </c>
      <c r="H193">
        <v>0.82012366333892606</v>
      </c>
      <c r="I193">
        <v>496183.765625</v>
      </c>
      <c r="J193">
        <v>291109803.13582581</v>
      </c>
    </row>
    <row r="194" spans="1:10" x14ac:dyDescent="0.3">
      <c r="A194" t="s">
        <v>1207</v>
      </c>
      <c r="B194" t="s">
        <v>184</v>
      </c>
      <c r="C194" t="s">
        <v>217</v>
      </c>
      <c r="D194" t="s">
        <v>1004</v>
      </c>
      <c r="E194">
        <v>3510</v>
      </c>
      <c r="F194">
        <v>724</v>
      </c>
      <c r="G194">
        <v>2786</v>
      </c>
      <c r="H194">
        <v>1.2718281283910571</v>
      </c>
      <c r="I194">
        <v>3814125.3053308828</v>
      </c>
      <c r="J194">
        <v>48313408.359092392</v>
      </c>
    </row>
    <row r="195" spans="1:10" x14ac:dyDescent="0.3">
      <c r="A195" t="s">
        <v>1208</v>
      </c>
      <c r="B195" t="s">
        <v>225</v>
      </c>
      <c r="C195" t="s">
        <v>247</v>
      </c>
      <c r="D195" t="s">
        <v>252</v>
      </c>
      <c r="E195">
        <v>3183</v>
      </c>
      <c r="F195">
        <v>185</v>
      </c>
      <c r="G195">
        <v>2998</v>
      </c>
      <c r="H195">
        <v>1.5988315580280781</v>
      </c>
      <c r="I195">
        <v>603493.37665441178</v>
      </c>
      <c r="J195">
        <v>55731379.441941537</v>
      </c>
    </row>
    <row r="196" spans="1:10" x14ac:dyDescent="0.3">
      <c r="A196" t="s">
        <v>1209</v>
      </c>
      <c r="B196" t="s">
        <v>867</v>
      </c>
      <c r="C196" t="s">
        <v>888</v>
      </c>
      <c r="D196" t="s">
        <v>889</v>
      </c>
      <c r="E196">
        <v>2863</v>
      </c>
      <c r="F196">
        <v>804</v>
      </c>
      <c r="G196">
        <v>2059</v>
      </c>
      <c r="H196">
        <v>0.67661452825967716</v>
      </c>
      <c r="I196">
        <v>603502.99675245094</v>
      </c>
      <c r="J196">
        <v>265107533.4317365</v>
      </c>
    </row>
    <row r="197" spans="1:10" x14ac:dyDescent="0.3">
      <c r="A197" t="s">
        <v>1210</v>
      </c>
      <c r="B197" t="s">
        <v>149</v>
      </c>
      <c r="C197" t="s">
        <v>90</v>
      </c>
      <c r="D197" t="s">
        <v>161</v>
      </c>
      <c r="E197">
        <v>2535</v>
      </c>
      <c r="F197">
        <v>1374</v>
      </c>
      <c r="G197">
        <v>1161</v>
      </c>
      <c r="H197">
        <v>1.8304713096813721</v>
      </c>
      <c r="I197">
        <v>217157.7006127451</v>
      </c>
      <c r="J197">
        <v>58494595.385748439</v>
      </c>
    </row>
    <row r="198" spans="1:10" x14ac:dyDescent="0.3">
      <c r="A198" t="s">
        <v>1211</v>
      </c>
      <c r="B198" t="s">
        <v>605</v>
      </c>
      <c r="C198" t="s">
        <v>628</v>
      </c>
      <c r="D198" t="s">
        <v>632</v>
      </c>
      <c r="E198">
        <v>955</v>
      </c>
      <c r="F198">
        <v>35</v>
      </c>
      <c r="G198">
        <v>920</v>
      </c>
      <c r="H198">
        <v>0.92518029033714677</v>
      </c>
      <c r="I198">
        <v>993078.515625</v>
      </c>
      <c r="J198">
        <v>81597483.161557838</v>
      </c>
    </row>
    <row r="199" spans="1:10" x14ac:dyDescent="0.3">
      <c r="A199" t="s">
        <v>1212</v>
      </c>
      <c r="B199" t="s">
        <v>749</v>
      </c>
      <c r="C199" t="s">
        <v>759</v>
      </c>
      <c r="D199" t="s">
        <v>759</v>
      </c>
      <c r="E199">
        <v>1883</v>
      </c>
      <c r="F199">
        <v>1167</v>
      </c>
      <c r="G199">
        <v>716</v>
      </c>
      <c r="H199">
        <v>0.79779016942915981</v>
      </c>
      <c r="I199">
        <v>859620.42941176472</v>
      </c>
      <c r="J199">
        <v>370631471.37880713</v>
      </c>
    </row>
    <row r="200" spans="1:10" x14ac:dyDescent="0.3">
      <c r="A200" t="s">
        <v>1213</v>
      </c>
      <c r="B200" t="s">
        <v>749</v>
      </c>
      <c r="C200" t="s">
        <v>763</v>
      </c>
      <c r="D200" t="s">
        <v>763</v>
      </c>
      <c r="E200">
        <v>5687</v>
      </c>
      <c r="F200">
        <v>1084</v>
      </c>
      <c r="G200">
        <v>4603</v>
      </c>
      <c r="H200">
        <v>0.51533368708746219</v>
      </c>
      <c r="I200">
        <v>1489621.5</v>
      </c>
      <c r="J200">
        <v>639353232.6268332</v>
      </c>
    </row>
    <row r="201" spans="1:10" x14ac:dyDescent="0.3">
      <c r="A201" t="s">
        <v>1214</v>
      </c>
      <c r="B201" t="s">
        <v>645</v>
      </c>
      <c r="C201" t="s">
        <v>765</v>
      </c>
      <c r="D201" t="s">
        <v>138</v>
      </c>
      <c r="E201">
        <v>49846</v>
      </c>
      <c r="F201">
        <v>42636</v>
      </c>
      <c r="G201">
        <v>7210</v>
      </c>
      <c r="H201">
        <v>6.5166491842014747</v>
      </c>
      <c r="I201">
        <v>57340996.450551473</v>
      </c>
      <c r="J201">
        <v>111586568.3344398</v>
      </c>
    </row>
    <row r="202" spans="1:10" x14ac:dyDescent="0.3">
      <c r="A202" t="s">
        <v>1215</v>
      </c>
      <c r="B202" t="s">
        <v>13</v>
      </c>
      <c r="C202" t="s">
        <v>14</v>
      </c>
      <c r="D202" t="s">
        <v>30</v>
      </c>
      <c r="E202">
        <v>5039</v>
      </c>
      <c r="F202">
        <v>3582</v>
      </c>
      <c r="G202">
        <v>1457</v>
      </c>
      <c r="H202">
        <v>7.3988976459034141</v>
      </c>
      <c r="I202">
        <v>102130.48995098039</v>
      </c>
      <c r="J202">
        <v>16169106.21656906</v>
      </c>
    </row>
    <row r="203" spans="1:10" x14ac:dyDescent="0.3">
      <c r="A203" t="s">
        <v>1216</v>
      </c>
      <c r="B203" t="s">
        <v>149</v>
      </c>
      <c r="C203" t="s">
        <v>170</v>
      </c>
      <c r="D203" t="s">
        <v>171</v>
      </c>
      <c r="E203">
        <v>2657</v>
      </c>
      <c r="F203">
        <v>830</v>
      </c>
      <c r="G203">
        <v>1827</v>
      </c>
      <c r="H203">
        <v>0.7941511402866589</v>
      </c>
      <c r="I203">
        <v>649509.52751225489</v>
      </c>
      <c r="J203">
        <v>149179127.0093492</v>
      </c>
    </row>
    <row r="204" spans="1:10" x14ac:dyDescent="0.3">
      <c r="A204" t="s">
        <v>1217</v>
      </c>
      <c r="B204" t="s">
        <v>280</v>
      </c>
      <c r="C204" t="s">
        <v>329</v>
      </c>
      <c r="D204" t="s">
        <v>335</v>
      </c>
      <c r="E204">
        <v>963</v>
      </c>
      <c r="F204">
        <v>540</v>
      </c>
      <c r="G204">
        <v>423</v>
      </c>
      <c r="H204">
        <v>4.0383612816169494</v>
      </c>
      <c r="I204">
        <v>96218.330514705885</v>
      </c>
      <c r="J204">
        <v>10263463.69740502</v>
      </c>
    </row>
    <row r="205" spans="1:10" x14ac:dyDescent="0.3">
      <c r="A205" t="s">
        <v>1218</v>
      </c>
      <c r="B205" t="s">
        <v>605</v>
      </c>
      <c r="C205" t="s">
        <v>661</v>
      </c>
      <c r="D205" t="s">
        <v>662</v>
      </c>
      <c r="E205">
        <v>6301</v>
      </c>
      <c r="F205">
        <v>1698</v>
      </c>
      <c r="G205">
        <v>4603</v>
      </c>
      <c r="H205">
        <v>0.94042103350561157</v>
      </c>
      <c r="I205">
        <v>3608842.4644607841</v>
      </c>
      <c r="J205">
        <v>137100260.83522949</v>
      </c>
    </row>
    <row r="206" spans="1:10" x14ac:dyDescent="0.3">
      <c r="A206" t="s">
        <v>1219</v>
      </c>
      <c r="B206" t="s">
        <v>13</v>
      </c>
      <c r="C206" t="s">
        <v>39</v>
      </c>
      <c r="D206" t="s">
        <v>45</v>
      </c>
      <c r="E206">
        <v>3045</v>
      </c>
      <c r="F206">
        <v>1094</v>
      </c>
      <c r="G206">
        <v>1951</v>
      </c>
      <c r="H206">
        <v>2.153131758478279</v>
      </c>
      <c r="I206">
        <v>250925.4317401961</v>
      </c>
      <c r="J206">
        <v>41905784.037630983</v>
      </c>
    </row>
    <row r="207" spans="1:10" x14ac:dyDescent="0.3">
      <c r="A207" t="s">
        <v>1220</v>
      </c>
      <c r="B207" t="s">
        <v>933</v>
      </c>
      <c r="C207" t="s">
        <v>933</v>
      </c>
      <c r="D207" t="s">
        <v>933</v>
      </c>
      <c r="E207">
        <v>72545</v>
      </c>
      <c r="F207">
        <v>42058</v>
      </c>
      <c r="G207">
        <v>30487</v>
      </c>
      <c r="H207">
        <v>4.2419589232432164</v>
      </c>
      <c r="I207">
        <v>24223062.226286761</v>
      </c>
      <c r="J207">
        <v>537478977.03875327</v>
      </c>
    </row>
    <row r="208" spans="1:10" x14ac:dyDescent="0.3">
      <c r="A208" t="s">
        <v>1221</v>
      </c>
      <c r="B208" t="s">
        <v>90</v>
      </c>
      <c r="C208" t="s">
        <v>102</v>
      </c>
      <c r="D208" t="s">
        <v>104</v>
      </c>
      <c r="E208">
        <v>2745</v>
      </c>
      <c r="F208">
        <v>865</v>
      </c>
      <c r="G208">
        <v>1880</v>
      </c>
      <c r="H208">
        <v>1.939486299550194</v>
      </c>
      <c r="I208">
        <v>40883.757352941167</v>
      </c>
      <c r="J208">
        <v>34892792.724922404</v>
      </c>
    </row>
    <row r="209" spans="1:10" x14ac:dyDescent="0.3">
      <c r="A209" t="s">
        <v>1222</v>
      </c>
      <c r="B209" t="s">
        <v>823</v>
      </c>
      <c r="C209" t="s">
        <v>824</v>
      </c>
      <c r="D209" t="s">
        <v>397</v>
      </c>
      <c r="E209">
        <v>6187</v>
      </c>
      <c r="F209">
        <v>4549</v>
      </c>
      <c r="G209">
        <v>1638</v>
      </c>
      <c r="H209">
        <v>13.36331437080068</v>
      </c>
      <c r="I209">
        <v>5745079.1718137264</v>
      </c>
      <c r="J209">
        <v>10447145.66877198</v>
      </c>
    </row>
    <row r="210" spans="1:10" x14ac:dyDescent="0.3">
      <c r="A210" t="s">
        <v>1223</v>
      </c>
      <c r="B210" t="s">
        <v>823</v>
      </c>
      <c r="C210" t="s">
        <v>850</v>
      </c>
      <c r="D210" t="s">
        <v>856</v>
      </c>
      <c r="E210">
        <v>6288</v>
      </c>
      <c r="F210">
        <v>1801</v>
      </c>
      <c r="G210">
        <v>4487</v>
      </c>
      <c r="H210">
        <v>14.19498901039873</v>
      </c>
      <c r="I210">
        <v>5324504.5558823533</v>
      </c>
      <c r="J210">
        <v>12502053.017602229</v>
      </c>
    </row>
    <row r="211" spans="1:10" x14ac:dyDescent="0.3">
      <c r="A211" t="s">
        <v>1224</v>
      </c>
      <c r="B211" t="s">
        <v>823</v>
      </c>
      <c r="C211" t="s">
        <v>824</v>
      </c>
      <c r="D211" t="s">
        <v>838</v>
      </c>
      <c r="E211">
        <v>6141</v>
      </c>
      <c r="F211">
        <v>3603</v>
      </c>
      <c r="G211">
        <v>2538</v>
      </c>
      <c r="H211">
        <v>8.5011116666974278</v>
      </c>
      <c r="I211">
        <v>1650299.4102328429</v>
      </c>
      <c r="J211">
        <v>15439738.97499867</v>
      </c>
    </row>
    <row r="212" spans="1:10" x14ac:dyDescent="0.3">
      <c r="A212" t="s">
        <v>1225</v>
      </c>
      <c r="B212" t="s">
        <v>492</v>
      </c>
      <c r="C212" t="s">
        <v>543</v>
      </c>
      <c r="D212" t="s">
        <v>544</v>
      </c>
      <c r="E212">
        <v>8983</v>
      </c>
      <c r="F212">
        <v>5659</v>
      </c>
      <c r="G212">
        <v>3324</v>
      </c>
      <c r="H212">
        <v>1.007591329415048</v>
      </c>
      <c r="I212">
        <v>1734124.1875</v>
      </c>
      <c r="J212">
        <v>241196700.2914764</v>
      </c>
    </row>
    <row r="213" spans="1:10" x14ac:dyDescent="0.3">
      <c r="A213" t="s">
        <v>1226</v>
      </c>
      <c r="B213" t="s">
        <v>399</v>
      </c>
      <c r="C213" t="s">
        <v>434</v>
      </c>
      <c r="D213" t="s">
        <v>434</v>
      </c>
      <c r="E213">
        <v>43691</v>
      </c>
      <c r="F213">
        <v>11273</v>
      </c>
      <c r="G213">
        <v>32418</v>
      </c>
      <c r="H213">
        <v>2.1710890531756011</v>
      </c>
      <c r="I213">
        <v>2233966.078125</v>
      </c>
      <c r="J213">
        <v>365005095.08058041</v>
      </c>
    </row>
    <row r="214" spans="1:10" x14ac:dyDescent="0.3">
      <c r="A214" t="s">
        <v>1227</v>
      </c>
      <c r="B214" t="s">
        <v>823</v>
      </c>
      <c r="C214" t="s">
        <v>824</v>
      </c>
      <c r="D214" t="s">
        <v>825</v>
      </c>
      <c r="E214">
        <v>5281</v>
      </c>
      <c r="F214">
        <v>2647</v>
      </c>
      <c r="G214">
        <v>2634</v>
      </c>
      <c r="H214">
        <v>9.8510331513224365</v>
      </c>
      <c r="I214">
        <v>5883512.7572916681</v>
      </c>
      <c r="J214">
        <v>12790115.22673128</v>
      </c>
    </row>
    <row r="215" spans="1:10" x14ac:dyDescent="0.3">
      <c r="A215" t="s">
        <v>1228</v>
      </c>
      <c r="B215" t="s">
        <v>823</v>
      </c>
      <c r="C215" t="s">
        <v>824</v>
      </c>
      <c r="D215" t="s">
        <v>827</v>
      </c>
      <c r="E215">
        <v>3931</v>
      </c>
      <c r="F215">
        <v>1558</v>
      </c>
      <c r="G215">
        <v>2373</v>
      </c>
      <c r="H215">
        <v>5.338210639583445</v>
      </c>
      <c r="I215">
        <v>4082386.286825981</v>
      </c>
      <c r="J215">
        <v>19649343.485476971</v>
      </c>
    </row>
    <row r="216" spans="1:10" x14ac:dyDescent="0.3">
      <c r="A216" t="s">
        <v>1229</v>
      </c>
      <c r="B216" t="s">
        <v>605</v>
      </c>
      <c r="C216" t="s">
        <v>620</v>
      </c>
      <c r="D216" t="s">
        <v>624</v>
      </c>
      <c r="E216">
        <v>11953</v>
      </c>
      <c r="F216">
        <v>1213</v>
      </c>
      <c r="G216">
        <v>10740</v>
      </c>
      <c r="H216">
        <v>1.1259569595567831</v>
      </c>
      <c r="I216">
        <v>1241568.609375</v>
      </c>
      <c r="J216">
        <v>167267276.2756061</v>
      </c>
    </row>
    <row r="217" spans="1:10" x14ac:dyDescent="0.3">
      <c r="A217" t="s">
        <v>1230</v>
      </c>
      <c r="B217" t="s">
        <v>399</v>
      </c>
      <c r="C217" t="s">
        <v>427</v>
      </c>
      <c r="D217" t="s">
        <v>427</v>
      </c>
      <c r="E217">
        <v>44130</v>
      </c>
      <c r="F217">
        <v>24248</v>
      </c>
      <c r="G217">
        <v>19882</v>
      </c>
      <c r="H217">
        <v>2.5249725091008481</v>
      </c>
      <c r="I217">
        <v>6451971.875</v>
      </c>
      <c r="J217">
        <v>231000959.7363514</v>
      </c>
    </row>
    <row r="218" spans="1:10" x14ac:dyDescent="0.3">
      <c r="A218" t="s">
        <v>1231</v>
      </c>
      <c r="B218" t="s">
        <v>225</v>
      </c>
      <c r="C218" t="s">
        <v>253</v>
      </c>
      <c r="D218" t="s">
        <v>253</v>
      </c>
      <c r="E218">
        <v>13399</v>
      </c>
      <c r="F218">
        <v>8401</v>
      </c>
      <c r="G218">
        <v>4998</v>
      </c>
      <c r="H218">
        <v>1.9583491269941959</v>
      </c>
      <c r="I218">
        <v>5509436.9285539212</v>
      </c>
      <c r="J218">
        <v>166186430.71365979</v>
      </c>
    </row>
    <row r="219" spans="1:10" x14ac:dyDescent="0.3">
      <c r="A219" t="s">
        <v>1232</v>
      </c>
      <c r="B219" t="s">
        <v>184</v>
      </c>
      <c r="C219" t="s">
        <v>211</v>
      </c>
      <c r="D219" t="s">
        <v>214</v>
      </c>
      <c r="E219">
        <v>7254</v>
      </c>
      <c r="F219">
        <v>2480</v>
      </c>
      <c r="G219">
        <v>4774</v>
      </c>
      <c r="H219">
        <v>2.1752577208042192</v>
      </c>
      <c r="I219">
        <v>1111916.7229779409</v>
      </c>
      <c r="J219">
        <v>41286252.545430802</v>
      </c>
    </row>
    <row r="220" spans="1:10" x14ac:dyDescent="0.3">
      <c r="A220" t="s">
        <v>1233</v>
      </c>
      <c r="B220" t="s">
        <v>184</v>
      </c>
      <c r="C220" t="s">
        <v>211</v>
      </c>
      <c r="D220" t="s">
        <v>213</v>
      </c>
      <c r="E220">
        <v>5949</v>
      </c>
      <c r="F220">
        <v>507</v>
      </c>
      <c r="G220">
        <v>5442</v>
      </c>
      <c r="H220">
        <v>0.80200736137056561</v>
      </c>
      <c r="I220">
        <v>3567507.7468137252</v>
      </c>
      <c r="J220">
        <v>161759411.74461561</v>
      </c>
    </row>
    <row r="221" spans="1:10" x14ac:dyDescent="0.3">
      <c r="A221" t="s">
        <v>1234</v>
      </c>
      <c r="B221" t="s">
        <v>867</v>
      </c>
      <c r="C221" t="s">
        <v>888</v>
      </c>
      <c r="D221" t="s">
        <v>890</v>
      </c>
      <c r="E221">
        <v>4131</v>
      </c>
      <c r="F221">
        <v>1614</v>
      </c>
      <c r="G221">
        <v>2517</v>
      </c>
      <c r="H221">
        <v>0.95480554471251444</v>
      </c>
      <c r="I221">
        <v>991225.1875</v>
      </c>
      <c r="J221">
        <v>475489741.38388002</v>
      </c>
    </row>
    <row r="222" spans="1:10" x14ac:dyDescent="0.3">
      <c r="A222" t="s">
        <v>1235</v>
      </c>
      <c r="B222" t="s">
        <v>823</v>
      </c>
      <c r="C222" t="s">
        <v>824</v>
      </c>
      <c r="D222" t="s">
        <v>828</v>
      </c>
      <c r="E222">
        <v>15766</v>
      </c>
      <c r="F222">
        <v>11800</v>
      </c>
      <c r="G222">
        <v>3966</v>
      </c>
      <c r="H222">
        <v>22.061761723525851</v>
      </c>
      <c r="I222">
        <v>9716365.3017156832</v>
      </c>
      <c r="J222">
        <v>14155062.69249242</v>
      </c>
    </row>
    <row r="223" spans="1:10" x14ac:dyDescent="0.3">
      <c r="A223" t="s">
        <v>1236</v>
      </c>
      <c r="B223" t="s">
        <v>90</v>
      </c>
      <c r="C223" t="s">
        <v>91</v>
      </c>
      <c r="D223" t="s">
        <v>97</v>
      </c>
      <c r="E223">
        <v>1896</v>
      </c>
      <c r="F223">
        <v>746</v>
      </c>
      <c r="G223">
        <v>1150</v>
      </c>
      <c r="H223">
        <v>2.2816317558860431</v>
      </c>
      <c r="I223">
        <v>525669.01629901957</v>
      </c>
      <c r="J223">
        <v>26005119.154226061</v>
      </c>
    </row>
    <row r="224" spans="1:10" x14ac:dyDescent="0.3">
      <c r="A224" t="s">
        <v>1237</v>
      </c>
      <c r="B224" t="s">
        <v>823</v>
      </c>
      <c r="C224" t="s">
        <v>824</v>
      </c>
      <c r="D224" t="s">
        <v>832</v>
      </c>
      <c r="E224">
        <v>10382</v>
      </c>
      <c r="F224">
        <v>6721</v>
      </c>
      <c r="G224">
        <v>3661</v>
      </c>
      <c r="H224">
        <v>17.529422483712949</v>
      </c>
      <c r="I224">
        <v>10035801.80085784</v>
      </c>
      <c r="J224">
        <v>15974194.674766939</v>
      </c>
    </row>
    <row r="225" spans="1:10" x14ac:dyDescent="0.3">
      <c r="A225" t="s">
        <v>1238</v>
      </c>
      <c r="B225" t="s">
        <v>399</v>
      </c>
      <c r="C225" t="s">
        <v>422</v>
      </c>
      <c r="D225" t="s">
        <v>426</v>
      </c>
      <c r="E225">
        <v>9450</v>
      </c>
      <c r="F225">
        <v>1050</v>
      </c>
      <c r="G225">
        <v>8400</v>
      </c>
      <c r="H225">
        <v>1.0751381583574739</v>
      </c>
      <c r="I225">
        <v>442740.72028186283</v>
      </c>
      <c r="J225">
        <v>757967400.82402956</v>
      </c>
    </row>
    <row r="226" spans="1:10" x14ac:dyDescent="0.3">
      <c r="A226" t="s">
        <v>1239</v>
      </c>
      <c r="B226" t="s">
        <v>667</v>
      </c>
      <c r="C226" t="s">
        <v>691</v>
      </c>
      <c r="D226" t="s">
        <v>692</v>
      </c>
      <c r="E226">
        <v>974</v>
      </c>
      <c r="F226">
        <v>126</v>
      </c>
      <c r="G226">
        <v>848</v>
      </c>
      <c r="H226">
        <v>0.52484877405899777</v>
      </c>
      <c r="I226">
        <v>36987.842524509811</v>
      </c>
      <c r="J226">
        <v>213729903.17201859</v>
      </c>
    </row>
    <row r="227" spans="1:10" x14ac:dyDescent="0.3">
      <c r="A227" t="s">
        <v>1240</v>
      </c>
      <c r="B227" t="s">
        <v>117</v>
      </c>
      <c r="C227" t="s">
        <v>142</v>
      </c>
      <c r="D227" t="s">
        <v>142</v>
      </c>
      <c r="E227">
        <v>46421</v>
      </c>
      <c r="F227">
        <v>28236</v>
      </c>
      <c r="G227">
        <v>18185</v>
      </c>
      <c r="H227">
        <v>3.4592324114335979</v>
      </c>
      <c r="I227">
        <v>7443280.515625</v>
      </c>
      <c r="J227">
        <v>157002863.47131059</v>
      </c>
    </row>
    <row r="228" spans="1:10" x14ac:dyDescent="0.3">
      <c r="A228" t="s">
        <v>1241</v>
      </c>
      <c r="B228" t="s">
        <v>823</v>
      </c>
      <c r="C228" t="s">
        <v>857</v>
      </c>
      <c r="D228" t="s">
        <v>266</v>
      </c>
      <c r="E228">
        <v>12231</v>
      </c>
      <c r="F228">
        <v>3505</v>
      </c>
      <c r="G228">
        <v>8726</v>
      </c>
      <c r="H228">
        <v>4.8170942469660849</v>
      </c>
      <c r="I228">
        <v>786721.13186274515</v>
      </c>
      <c r="J228">
        <v>53161077.592306837</v>
      </c>
    </row>
    <row r="229" spans="1:10" x14ac:dyDescent="0.3">
      <c r="A229" t="s">
        <v>1242</v>
      </c>
      <c r="B229" t="s">
        <v>723</v>
      </c>
      <c r="C229" t="s">
        <v>724</v>
      </c>
      <c r="D229" t="s">
        <v>728</v>
      </c>
      <c r="E229">
        <v>4865</v>
      </c>
      <c r="F229">
        <v>428</v>
      </c>
      <c r="G229">
        <v>4437</v>
      </c>
      <c r="H229">
        <v>0.81331189495001899</v>
      </c>
      <c r="I229">
        <v>1489720.6875</v>
      </c>
      <c r="J229">
        <v>335707111.87046021</v>
      </c>
    </row>
    <row r="230" spans="1:10" x14ac:dyDescent="0.3">
      <c r="A230" t="s">
        <v>1243</v>
      </c>
      <c r="B230" t="s">
        <v>915</v>
      </c>
      <c r="C230" t="s">
        <v>935</v>
      </c>
      <c r="D230" t="s">
        <v>935</v>
      </c>
      <c r="E230">
        <v>30729</v>
      </c>
      <c r="F230">
        <v>14484</v>
      </c>
      <c r="G230">
        <v>16245</v>
      </c>
      <c r="H230">
        <v>20.710219305651201</v>
      </c>
      <c r="I230">
        <v>6953101.75</v>
      </c>
      <c r="J230">
        <v>487434041.32720202</v>
      </c>
    </row>
    <row r="231" spans="1:10" x14ac:dyDescent="0.3">
      <c r="A231" t="s">
        <v>1244</v>
      </c>
      <c r="B231" t="s">
        <v>492</v>
      </c>
      <c r="C231" t="s">
        <v>492</v>
      </c>
      <c r="D231" t="s">
        <v>498</v>
      </c>
      <c r="E231">
        <v>8605</v>
      </c>
      <c r="F231">
        <v>5282</v>
      </c>
      <c r="G231">
        <v>3323</v>
      </c>
      <c r="H231">
        <v>1.3229422189762621</v>
      </c>
      <c r="I231">
        <v>743010.6875</v>
      </c>
      <c r="J231">
        <v>205925701.72379389</v>
      </c>
    </row>
    <row r="232" spans="1:10" x14ac:dyDescent="0.3">
      <c r="A232" t="s">
        <v>1245</v>
      </c>
      <c r="B232" t="s">
        <v>225</v>
      </c>
      <c r="C232" t="s">
        <v>262</v>
      </c>
      <c r="D232" t="s">
        <v>266</v>
      </c>
      <c r="E232">
        <v>13154</v>
      </c>
      <c r="F232">
        <v>5893</v>
      </c>
      <c r="G232">
        <v>7261</v>
      </c>
      <c r="H232">
        <v>1.719116731010945</v>
      </c>
      <c r="I232">
        <v>11978390.730759799</v>
      </c>
      <c r="J232">
        <v>163992468.0199872</v>
      </c>
    </row>
    <row r="233" spans="1:10" x14ac:dyDescent="0.3">
      <c r="A233" t="s">
        <v>1246</v>
      </c>
      <c r="B233" t="s">
        <v>280</v>
      </c>
      <c r="C233" t="s">
        <v>319</v>
      </c>
      <c r="D233" t="s">
        <v>319</v>
      </c>
      <c r="E233">
        <v>11376</v>
      </c>
      <c r="F233">
        <v>8590</v>
      </c>
      <c r="G233">
        <v>2786</v>
      </c>
      <c r="H233">
        <v>5.8955254151152756</v>
      </c>
      <c r="I233">
        <v>991269.6875</v>
      </c>
      <c r="J233">
        <v>36527610.270019338</v>
      </c>
    </row>
    <row r="234" spans="1:10" x14ac:dyDescent="0.3">
      <c r="A234" t="s">
        <v>1247</v>
      </c>
      <c r="B234" t="s">
        <v>280</v>
      </c>
      <c r="C234" t="s">
        <v>283</v>
      </c>
      <c r="D234" t="s">
        <v>285</v>
      </c>
      <c r="E234">
        <v>3382</v>
      </c>
      <c r="F234">
        <v>1307</v>
      </c>
      <c r="G234">
        <v>2075</v>
      </c>
      <c r="H234">
        <v>0.86068795019469813</v>
      </c>
      <c r="I234">
        <v>991328.25</v>
      </c>
      <c r="J234">
        <v>211041371.69183719</v>
      </c>
    </row>
    <row r="235" spans="1:10" x14ac:dyDescent="0.3">
      <c r="A235" t="s">
        <v>1248</v>
      </c>
      <c r="B235" t="s">
        <v>823</v>
      </c>
      <c r="C235" t="s">
        <v>824</v>
      </c>
      <c r="D235" t="s">
        <v>836</v>
      </c>
      <c r="E235">
        <v>9674</v>
      </c>
      <c r="F235">
        <v>7065</v>
      </c>
      <c r="G235">
        <v>2609</v>
      </c>
      <c r="H235">
        <v>23.32528865840391</v>
      </c>
      <c r="I235">
        <v>5039269.777144609</v>
      </c>
      <c r="J235">
        <v>7656488.6111119296</v>
      </c>
    </row>
    <row r="236" spans="1:10" x14ac:dyDescent="0.3">
      <c r="A236" t="s">
        <v>1249</v>
      </c>
      <c r="B236" t="s">
        <v>579</v>
      </c>
      <c r="C236" t="s">
        <v>599</v>
      </c>
      <c r="D236" t="s">
        <v>601</v>
      </c>
      <c r="E236">
        <v>14851</v>
      </c>
      <c r="F236">
        <v>4492</v>
      </c>
      <c r="G236">
        <v>10359</v>
      </c>
      <c r="H236">
        <v>1.2713710423530249</v>
      </c>
      <c r="I236">
        <v>1241570.890625</v>
      </c>
      <c r="J236">
        <v>166254382.22524861</v>
      </c>
    </row>
    <row r="237" spans="1:10" x14ac:dyDescent="0.3">
      <c r="A237" t="s">
        <v>1250</v>
      </c>
      <c r="B237" t="s">
        <v>645</v>
      </c>
      <c r="C237" t="s">
        <v>765</v>
      </c>
      <c r="D237" t="s">
        <v>775</v>
      </c>
      <c r="E237">
        <v>4336</v>
      </c>
      <c r="F237">
        <v>2936</v>
      </c>
      <c r="G237">
        <v>1400</v>
      </c>
      <c r="H237">
        <v>8.9033807144219992</v>
      </c>
      <c r="I237">
        <v>85696.276470588229</v>
      </c>
      <c r="J237">
        <v>10160370.493792349</v>
      </c>
    </row>
    <row r="238" spans="1:10" x14ac:dyDescent="0.3">
      <c r="A238" t="s">
        <v>1251</v>
      </c>
      <c r="B238" t="s">
        <v>645</v>
      </c>
      <c r="C238" t="s">
        <v>765</v>
      </c>
      <c r="D238" t="s">
        <v>770</v>
      </c>
      <c r="E238">
        <v>127486</v>
      </c>
      <c r="F238">
        <v>115000</v>
      </c>
      <c r="G238">
        <v>12486</v>
      </c>
      <c r="H238">
        <v>30.717545014308151</v>
      </c>
      <c r="I238">
        <v>28580557.175306369</v>
      </c>
      <c r="J238">
        <v>44701744.771988273</v>
      </c>
    </row>
    <row r="239" spans="1:10" x14ac:dyDescent="0.3">
      <c r="A239" t="s">
        <v>1252</v>
      </c>
      <c r="B239" t="s">
        <v>823</v>
      </c>
      <c r="C239" t="s">
        <v>824</v>
      </c>
      <c r="D239" t="s">
        <v>288</v>
      </c>
      <c r="E239">
        <v>14226</v>
      </c>
      <c r="F239">
        <v>11601</v>
      </c>
      <c r="G239">
        <v>2625</v>
      </c>
      <c r="H239">
        <v>19.5293425197682</v>
      </c>
      <c r="I239">
        <v>9206544.3256740198</v>
      </c>
      <c r="J239">
        <v>9452615.873898102</v>
      </c>
    </row>
    <row r="240" spans="1:10" x14ac:dyDescent="0.3">
      <c r="A240" t="s">
        <v>1253</v>
      </c>
      <c r="B240" t="s">
        <v>867</v>
      </c>
      <c r="C240" t="s">
        <v>888</v>
      </c>
      <c r="D240" t="s">
        <v>888</v>
      </c>
      <c r="E240">
        <v>16346</v>
      </c>
      <c r="F240">
        <v>9907</v>
      </c>
      <c r="G240">
        <v>6439</v>
      </c>
      <c r="H240">
        <v>1.7328974862001709</v>
      </c>
      <c r="I240">
        <v>1625718.057291667</v>
      </c>
      <c r="J240">
        <v>273102781.81838459</v>
      </c>
    </row>
    <row r="241" spans="1:10" x14ac:dyDescent="0.3">
      <c r="A241" t="s">
        <v>1254</v>
      </c>
      <c r="B241" t="s">
        <v>823</v>
      </c>
      <c r="C241" t="s">
        <v>844</v>
      </c>
      <c r="D241" t="s">
        <v>844</v>
      </c>
      <c r="E241">
        <v>10404</v>
      </c>
      <c r="F241">
        <v>7981</v>
      </c>
      <c r="G241">
        <v>2423</v>
      </c>
      <c r="H241">
        <v>14.465367507216589</v>
      </c>
      <c r="I241">
        <v>3613874.9346813732</v>
      </c>
      <c r="J241">
        <v>18781520.742969532</v>
      </c>
    </row>
    <row r="242" spans="1:10" x14ac:dyDescent="0.3">
      <c r="A242" t="s">
        <v>1255</v>
      </c>
      <c r="B242" t="s">
        <v>225</v>
      </c>
      <c r="C242" t="s">
        <v>259</v>
      </c>
      <c r="D242" t="s">
        <v>259</v>
      </c>
      <c r="E242">
        <v>19374</v>
      </c>
      <c r="F242">
        <v>2965</v>
      </c>
      <c r="G242">
        <v>16409</v>
      </c>
      <c r="H242">
        <v>1.2858811518155251</v>
      </c>
      <c r="I242">
        <v>8245770.0241421573</v>
      </c>
      <c r="J242">
        <v>385819395.18948752</v>
      </c>
    </row>
    <row r="243" spans="1:10" x14ac:dyDescent="0.3">
      <c r="A243" t="s">
        <v>1256</v>
      </c>
      <c r="B243" t="s">
        <v>117</v>
      </c>
      <c r="C243" t="s">
        <v>126</v>
      </c>
      <c r="D243" t="s">
        <v>127</v>
      </c>
      <c r="E243">
        <v>2232</v>
      </c>
      <c r="F243">
        <v>850</v>
      </c>
      <c r="G243">
        <v>1382</v>
      </c>
      <c r="H243">
        <v>1.4945792341256059</v>
      </c>
      <c r="I243">
        <v>47666.002022058827</v>
      </c>
      <c r="J243">
        <v>50841437.593450531</v>
      </c>
    </row>
    <row r="244" spans="1:10" x14ac:dyDescent="0.3">
      <c r="A244" t="s">
        <v>1257</v>
      </c>
      <c r="B244" t="s">
        <v>823</v>
      </c>
      <c r="C244" t="s">
        <v>824</v>
      </c>
      <c r="D244" t="s">
        <v>835</v>
      </c>
      <c r="E244">
        <v>10229</v>
      </c>
      <c r="F244">
        <v>7844</v>
      </c>
      <c r="G244">
        <v>2385</v>
      </c>
      <c r="H244">
        <v>12.2768105077899</v>
      </c>
      <c r="I244">
        <v>4711304.5744485306</v>
      </c>
      <c r="J244">
        <v>11075381.59496396</v>
      </c>
    </row>
    <row r="245" spans="1:10" x14ac:dyDescent="0.3">
      <c r="A245" t="s">
        <v>1258</v>
      </c>
      <c r="B245" t="s">
        <v>453</v>
      </c>
      <c r="C245" t="s">
        <v>474</v>
      </c>
      <c r="D245" t="s">
        <v>474</v>
      </c>
      <c r="E245">
        <v>55515</v>
      </c>
      <c r="F245">
        <v>37054</v>
      </c>
      <c r="G245">
        <v>18461</v>
      </c>
      <c r="H245">
        <v>8.9649537953749103</v>
      </c>
      <c r="I245">
        <v>12066614.977573531</v>
      </c>
      <c r="J245">
        <v>79288584.856689513</v>
      </c>
    </row>
    <row r="246" spans="1:10" x14ac:dyDescent="0.3">
      <c r="A246" t="s">
        <v>1259</v>
      </c>
      <c r="B246" t="s">
        <v>225</v>
      </c>
      <c r="C246" t="s">
        <v>226</v>
      </c>
      <c r="D246" t="s">
        <v>44</v>
      </c>
      <c r="E246">
        <v>6306</v>
      </c>
      <c r="F246">
        <v>2104</v>
      </c>
      <c r="G246">
        <v>4202</v>
      </c>
      <c r="H246">
        <v>1.0324493441852609</v>
      </c>
      <c r="I246">
        <v>1001672.359865196</v>
      </c>
      <c r="J246">
        <v>221126876.45093009</v>
      </c>
    </row>
    <row r="247" spans="1:10" x14ac:dyDescent="0.3">
      <c r="A247" t="s">
        <v>1260</v>
      </c>
      <c r="B247" t="s">
        <v>399</v>
      </c>
      <c r="C247" t="s">
        <v>366</v>
      </c>
      <c r="D247" t="s">
        <v>366</v>
      </c>
      <c r="E247">
        <v>183206</v>
      </c>
      <c r="F247">
        <v>139978</v>
      </c>
      <c r="G247">
        <v>43228</v>
      </c>
      <c r="H247">
        <v>17.075037376022092</v>
      </c>
      <c r="I247">
        <v>16764321.89601716</v>
      </c>
      <c r="J247">
        <v>229108018.8142013</v>
      </c>
    </row>
    <row r="248" spans="1:10" x14ac:dyDescent="0.3">
      <c r="A248" t="s">
        <v>1261</v>
      </c>
      <c r="B248" t="s">
        <v>823</v>
      </c>
      <c r="C248" t="s">
        <v>824</v>
      </c>
      <c r="D248" t="s">
        <v>829</v>
      </c>
      <c r="E248">
        <v>21352</v>
      </c>
      <c r="F248">
        <v>16262</v>
      </c>
      <c r="G248">
        <v>5090</v>
      </c>
      <c r="H248">
        <v>16.517442296054959</v>
      </c>
      <c r="I248">
        <v>19771185.55306372</v>
      </c>
      <c r="J248">
        <v>29452886.481208421</v>
      </c>
    </row>
    <row r="249" spans="1:10" x14ac:dyDescent="0.3">
      <c r="A249" t="s">
        <v>1262</v>
      </c>
      <c r="B249" t="s">
        <v>90</v>
      </c>
      <c r="C249" t="s">
        <v>109</v>
      </c>
      <c r="D249" t="s">
        <v>109</v>
      </c>
      <c r="E249">
        <v>13944</v>
      </c>
      <c r="F249">
        <v>8753</v>
      </c>
      <c r="G249">
        <v>5191</v>
      </c>
      <c r="H249">
        <v>2.4767195462691221</v>
      </c>
      <c r="I249">
        <v>3404012.213480392</v>
      </c>
      <c r="J249">
        <v>93836983.935420319</v>
      </c>
    </row>
    <row r="250" spans="1:10" x14ac:dyDescent="0.3">
      <c r="A250" t="s">
        <v>1263</v>
      </c>
      <c r="B250" t="s">
        <v>645</v>
      </c>
      <c r="C250" t="s">
        <v>765</v>
      </c>
      <c r="D250" t="s">
        <v>767</v>
      </c>
      <c r="E250">
        <v>34434</v>
      </c>
      <c r="F250">
        <v>29620</v>
      </c>
      <c r="G250">
        <v>4814</v>
      </c>
      <c r="H250">
        <v>19.955117457670589</v>
      </c>
      <c r="I250">
        <v>6415500.2468137257</v>
      </c>
      <c r="J250">
        <v>29394530.38000286</v>
      </c>
    </row>
    <row r="251" spans="1:10" x14ac:dyDescent="0.3">
      <c r="A251" t="s">
        <v>1264</v>
      </c>
      <c r="B251" t="s">
        <v>605</v>
      </c>
      <c r="C251" t="s">
        <v>628</v>
      </c>
      <c r="D251" t="s">
        <v>633</v>
      </c>
      <c r="E251">
        <v>4067</v>
      </c>
      <c r="F251">
        <v>530</v>
      </c>
      <c r="G251">
        <v>3537</v>
      </c>
      <c r="H251">
        <v>0.73371817703079756</v>
      </c>
      <c r="I251">
        <v>744686.46875</v>
      </c>
      <c r="J251">
        <v>272828086.36882478</v>
      </c>
    </row>
    <row r="252" spans="1:10" x14ac:dyDescent="0.3">
      <c r="A252" t="s">
        <v>1265</v>
      </c>
      <c r="B252" t="s">
        <v>723</v>
      </c>
      <c r="C252" t="s">
        <v>724</v>
      </c>
      <c r="D252" t="s">
        <v>724</v>
      </c>
      <c r="E252">
        <v>39535</v>
      </c>
      <c r="F252">
        <v>25136</v>
      </c>
      <c r="G252">
        <v>14399</v>
      </c>
      <c r="H252">
        <v>8.2928221442633063</v>
      </c>
      <c r="I252">
        <v>9616115.0240808818</v>
      </c>
      <c r="J252">
        <v>81430209.228363737</v>
      </c>
    </row>
    <row r="253" spans="1:10" x14ac:dyDescent="0.3">
      <c r="A253" t="s">
        <v>1266</v>
      </c>
      <c r="B253" t="s">
        <v>492</v>
      </c>
      <c r="C253" t="s">
        <v>527</v>
      </c>
      <c r="D253" t="s">
        <v>527</v>
      </c>
      <c r="E253">
        <v>2883</v>
      </c>
      <c r="F253">
        <v>1886</v>
      </c>
      <c r="G253">
        <v>997</v>
      </c>
      <c r="H253">
        <v>1.295565168900267</v>
      </c>
      <c r="I253">
        <v>743000.90625</v>
      </c>
      <c r="J253">
        <v>72178485.213530794</v>
      </c>
    </row>
    <row r="254" spans="1:10" x14ac:dyDescent="0.3">
      <c r="A254" t="s">
        <v>1267</v>
      </c>
      <c r="B254" t="s">
        <v>749</v>
      </c>
      <c r="C254" t="s">
        <v>749</v>
      </c>
      <c r="D254" t="s">
        <v>750</v>
      </c>
      <c r="E254">
        <v>39372</v>
      </c>
      <c r="F254">
        <v>29999</v>
      </c>
      <c r="G254">
        <v>9373</v>
      </c>
      <c r="H254">
        <v>6.5129309553828003</v>
      </c>
      <c r="I254">
        <v>9768192.5518382359</v>
      </c>
      <c r="J254">
        <v>91800946.660527661</v>
      </c>
    </row>
    <row r="255" spans="1:10" x14ac:dyDescent="0.3">
      <c r="A255" t="s">
        <v>1268</v>
      </c>
      <c r="B255" t="s">
        <v>749</v>
      </c>
      <c r="C255" t="s">
        <v>749</v>
      </c>
      <c r="D255" t="s">
        <v>32</v>
      </c>
      <c r="E255">
        <v>14209</v>
      </c>
      <c r="F255">
        <v>8245</v>
      </c>
      <c r="G255">
        <v>5964</v>
      </c>
      <c r="H255">
        <v>2.548711434804372</v>
      </c>
      <c r="I255">
        <v>1151655.5889705881</v>
      </c>
      <c r="J255">
        <v>93047778.322954193</v>
      </c>
    </row>
    <row r="256" spans="1:10" x14ac:dyDescent="0.3">
      <c r="A256" t="s">
        <v>1269</v>
      </c>
      <c r="B256" t="s">
        <v>13</v>
      </c>
      <c r="C256" t="s">
        <v>14</v>
      </c>
      <c r="D256" t="s">
        <v>33</v>
      </c>
      <c r="E256">
        <v>12690</v>
      </c>
      <c r="F256">
        <v>7851</v>
      </c>
      <c r="G256">
        <v>4839</v>
      </c>
      <c r="H256">
        <v>16.162808412996021</v>
      </c>
      <c r="I256">
        <v>5598236.4409313733</v>
      </c>
      <c r="J256">
        <v>25952391.98584478</v>
      </c>
    </row>
    <row r="257" spans="1:10" x14ac:dyDescent="0.3">
      <c r="A257" t="s">
        <v>1270</v>
      </c>
      <c r="B257" t="s">
        <v>579</v>
      </c>
      <c r="C257" t="s">
        <v>596</v>
      </c>
      <c r="D257" t="s">
        <v>596</v>
      </c>
      <c r="E257">
        <v>63515</v>
      </c>
      <c r="F257">
        <v>22204</v>
      </c>
      <c r="G257">
        <v>41311</v>
      </c>
      <c r="H257">
        <v>1.779192426735378</v>
      </c>
      <c r="I257">
        <v>3723552.546875</v>
      </c>
      <c r="J257">
        <v>572941469.03626692</v>
      </c>
    </row>
    <row r="258" spans="1:10" x14ac:dyDescent="0.3">
      <c r="A258" t="s">
        <v>1271</v>
      </c>
      <c r="B258" t="s">
        <v>823</v>
      </c>
      <c r="C258" t="s">
        <v>850</v>
      </c>
      <c r="D258" t="s">
        <v>851</v>
      </c>
      <c r="E258">
        <v>28061</v>
      </c>
      <c r="F258">
        <v>18143</v>
      </c>
      <c r="G258">
        <v>9918</v>
      </c>
      <c r="H258">
        <v>10.046804602102879</v>
      </c>
      <c r="I258">
        <v>7192747.8152573537</v>
      </c>
      <c r="J258">
        <v>57600675.690009631</v>
      </c>
    </row>
    <row r="259" spans="1:10" x14ac:dyDescent="0.3">
      <c r="A259" t="s">
        <v>1272</v>
      </c>
      <c r="B259" t="s">
        <v>399</v>
      </c>
      <c r="C259" t="s">
        <v>291</v>
      </c>
      <c r="D259" t="s">
        <v>291</v>
      </c>
      <c r="E259">
        <v>173358</v>
      </c>
      <c r="F259">
        <v>104397</v>
      </c>
      <c r="G259">
        <v>68961</v>
      </c>
      <c r="H259">
        <v>9.5699383778185521</v>
      </c>
      <c r="I259">
        <v>17061683.1875</v>
      </c>
      <c r="J259">
        <v>223474337.4164575</v>
      </c>
    </row>
    <row r="260" spans="1:10" x14ac:dyDescent="0.3">
      <c r="A260" t="s">
        <v>1273</v>
      </c>
      <c r="B260" t="s">
        <v>280</v>
      </c>
      <c r="C260" t="s">
        <v>281</v>
      </c>
      <c r="D260" t="s">
        <v>281</v>
      </c>
      <c r="E260">
        <v>300360</v>
      </c>
      <c r="F260">
        <v>201126</v>
      </c>
      <c r="G260">
        <v>99234</v>
      </c>
      <c r="H260">
        <v>13.66215698296271</v>
      </c>
      <c r="I260">
        <v>32727454.640625</v>
      </c>
      <c r="J260">
        <v>245861792.4419826</v>
      </c>
    </row>
    <row r="261" spans="1:10" x14ac:dyDescent="0.3">
      <c r="A261" t="s">
        <v>1274</v>
      </c>
      <c r="B261" t="s">
        <v>645</v>
      </c>
      <c r="C261" t="s">
        <v>765</v>
      </c>
      <c r="D261" t="s">
        <v>381</v>
      </c>
      <c r="E261">
        <v>250775</v>
      </c>
      <c r="F261">
        <v>215660</v>
      </c>
      <c r="G261">
        <v>35115</v>
      </c>
      <c r="H261">
        <v>24.684079462905942</v>
      </c>
      <c r="I261">
        <v>58981829.970894612</v>
      </c>
      <c r="J261">
        <v>78110143.296175897</v>
      </c>
    </row>
    <row r="262" spans="1:10" x14ac:dyDescent="0.3">
      <c r="A262" t="s">
        <v>1275</v>
      </c>
      <c r="B262" t="s">
        <v>184</v>
      </c>
      <c r="C262" t="s">
        <v>217</v>
      </c>
      <c r="D262" t="s">
        <v>217</v>
      </c>
      <c r="E262">
        <v>16156</v>
      </c>
      <c r="F262">
        <v>9000</v>
      </c>
      <c r="G262">
        <v>7156</v>
      </c>
      <c r="H262">
        <v>5.4092496864889803</v>
      </c>
      <c r="I262">
        <v>15310904.0944853</v>
      </c>
      <c r="J262">
        <v>41345691.544748858</v>
      </c>
    </row>
    <row r="263" spans="1:10" x14ac:dyDescent="0.3">
      <c r="A263" t="s">
        <v>1276</v>
      </c>
      <c r="B263" t="s">
        <v>823</v>
      </c>
      <c r="C263" t="s">
        <v>824</v>
      </c>
      <c r="D263" t="s">
        <v>826</v>
      </c>
      <c r="E263">
        <v>8469</v>
      </c>
      <c r="F263">
        <v>5359</v>
      </c>
      <c r="G263">
        <v>3110</v>
      </c>
      <c r="H263">
        <v>6.3848381645317387</v>
      </c>
      <c r="I263">
        <v>6584581.3886642167</v>
      </c>
      <c r="J263">
        <v>30733147.761573199</v>
      </c>
    </row>
    <row r="264" spans="1:10" x14ac:dyDescent="0.3">
      <c r="A264" t="s">
        <v>1277</v>
      </c>
      <c r="B264" t="s">
        <v>605</v>
      </c>
      <c r="C264" t="s">
        <v>661</v>
      </c>
      <c r="D264" t="s">
        <v>661</v>
      </c>
      <c r="E264">
        <v>13411</v>
      </c>
      <c r="F264">
        <v>3286</v>
      </c>
      <c r="G264">
        <v>10125</v>
      </c>
      <c r="H264">
        <v>1.183393137174318</v>
      </c>
      <c r="I264">
        <v>4390385.5268382346</v>
      </c>
      <c r="J264">
        <v>205254283.36826971</v>
      </c>
    </row>
    <row r="265" spans="1:10" x14ac:dyDescent="0.3">
      <c r="A265" t="s">
        <v>1278</v>
      </c>
      <c r="B265" t="s">
        <v>399</v>
      </c>
      <c r="C265" t="s">
        <v>419</v>
      </c>
      <c r="D265" t="s">
        <v>419</v>
      </c>
      <c r="E265">
        <v>60262</v>
      </c>
      <c r="F265">
        <v>26462</v>
      </c>
      <c r="G265">
        <v>33800</v>
      </c>
      <c r="H265">
        <v>1.7360318561436161</v>
      </c>
      <c r="I265">
        <v>3245104.8569240202</v>
      </c>
      <c r="J265">
        <v>559912283.6789434</v>
      </c>
    </row>
    <row r="266" spans="1:10" x14ac:dyDescent="0.3">
      <c r="A266" t="s">
        <v>1279</v>
      </c>
      <c r="B266" t="s">
        <v>823</v>
      </c>
      <c r="C266" t="s">
        <v>857</v>
      </c>
      <c r="D266" t="s">
        <v>858</v>
      </c>
      <c r="E266">
        <v>15975</v>
      </c>
      <c r="F266">
        <v>12125</v>
      </c>
      <c r="G266">
        <v>3850</v>
      </c>
      <c r="H266">
        <v>7.4755490697838667</v>
      </c>
      <c r="I266">
        <v>5435777.9581495104</v>
      </c>
      <c r="J266">
        <v>49346322.685064137</v>
      </c>
    </row>
    <row r="267" spans="1:10" x14ac:dyDescent="0.3">
      <c r="A267" t="s">
        <v>1280</v>
      </c>
      <c r="B267" t="s">
        <v>399</v>
      </c>
      <c r="C267" t="s">
        <v>408</v>
      </c>
      <c r="D267" t="s">
        <v>408</v>
      </c>
      <c r="E267">
        <v>57806</v>
      </c>
      <c r="F267">
        <v>11946</v>
      </c>
      <c r="G267">
        <v>45860</v>
      </c>
      <c r="H267">
        <v>1.1649539303418741</v>
      </c>
      <c r="I267">
        <v>4716902</v>
      </c>
      <c r="J267">
        <v>1176326741.0155871</v>
      </c>
    </row>
    <row r="268" spans="1:10" x14ac:dyDescent="0.3">
      <c r="A268" t="s">
        <v>1281</v>
      </c>
      <c r="B268" t="s">
        <v>723</v>
      </c>
      <c r="C268" t="s">
        <v>748</v>
      </c>
      <c r="D268" t="s">
        <v>748</v>
      </c>
      <c r="E268">
        <v>4646</v>
      </c>
      <c r="F268">
        <v>2147</v>
      </c>
      <c r="G268">
        <v>2499</v>
      </c>
      <c r="H268">
        <v>0.72238651644642071</v>
      </c>
      <c r="I268">
        <v>496551.640625</v>
      </c>
      <c r="J268">
        <v>500609345.83800173</v>
      </c>
    </row>
    <row r="269" spans="1:10" x14ac:dyDescent="0.3">
      <c r="A269" t="s">
        <v>1282</v>
      </c>
      <c r="B269" t="s">
        <v>492</v>
      </c>
      <c r="C269" t="s">
        <v>570</v>
      </c>
      <c r="D269" t="s">
        <v>570</v>
      </c>
      <c r="E269">
        <v>4392</v>
      </c>
      <c r="F269">
        <v>2276</v>
      </c>
      <c r="G269">
        <v>2116</v>
      </c>
      <c r="H269">
        <v>1.5969857871579149</v>
      </c>
      <c r="I269">
        <v>495407.046875</v>
      </c>
      <c r="J269">
        <v>49557473.5510628</v>
      </c>
    </row>
    <row r="270" spans="1:10" x14ac:dyDescent="0.3">
      <c r="A270" t="s">
        <v>1283</v>
      </c>
      <c r="B270" t="s">
        <v>579</v>
      </c>
      <c r="C270" t="s">
        <v>588</v>
      </c>
      <c r="D270" t="s">
        <v>44</v>
      </c>
      <c r="E270">
        <v>20763</v>
      </c>
      <c r="F270">
        <v>8979</v>
      </c>
      <c r="G270">
        <v>11784</v>
      </c>
      <c r="H270">
        <v>2.4456131413908779</v>
      </c>
      <c r="I270">
        <v>3226974.71875</v>
      </c>
      <c r="J270">
        <v>102186887.6678635</v>
      </c>
    </row>
    <row r="271" spans="1:10" x14ac:dyDescent="0.3">
      <c r="A271" t="s">
        <v>1284</v>
      </c>
      <c r="B271" t="s">
        <v>184</v>
      </c>
      <c r="C271" t="s">
        <v>211</v>
      </c>
      <c r="D271" t="s">
        <v>109</v>
      </c>
      <c r="E271">
        <v>39069</v>
      </c>
      <c r="F271">
        <v>23833</v>
      </c>
      <c r="G271">
        <v>15236</v>
      </c>
      <c r="H271">
        <v>3.1682736595729888</v>
      </c>
      <c r="I271">
        <v>21212444.372732852</v>
      </c>
      <c r="J271">
        <v>193167865.30951881</v>
      </c>
    </row>
    <row r="272" spans="1:10" x14ac:dyDescent="0.3">
      <c r="A272" t="s">
        <v>1285</v>
      </c>
      <c r="B272" t="s">
        <v>225</v>
      </c>
      <c r="C272" t="s">
        <v>262</v>
      </c>
      <c r="D272" t="s">
        <v>267</v>
      </c>
      <c r="E272">
        <v>4472</v>
      </c>
      <c r="F272">
        <v>952</v>
      </c>
      <c r="G272">
        <v>3520</v>
      </c>
      <c r="H272">
        <v>1.3838025137991761</v>
      </c>
      <c r="I272">
        <v>5034771.5400735289</v>
      </c>
      <c r="J272">
        <v>77596639.048872709</v>
      </c>
    </row>
    <row r="273" spans="1:10" x14ac:dyDescent="0.3">
      <c r="A273" t="s">
        <v>1286</v>
      </c>
      <c r="B273" t="s">
        <v>645</v>
      </c>
      <c r="C273" t="s">
        <v>765</v>
      </c>
      <c r="D273" t="s">
        <v>783</v>
      </c>
      <c r="E273">
        <v>2935</v>
      </c>
      <c r="F273">
        <v>899</v>
      </c>
      <c r="G273">
        <v>2036</v>
      </c>
      <c r="H273">
        <v>1.060275934851779</v>
      </c>
      <c r="I273">
        <v>1277663.090747549</v>
      </c>
      <c r="J273">
        <v>212678930.96104649</v>
      </c>
    </row>
    <row r="274" spans="1:10" x14ac:dyDescent="0.3">
      <c r="A274" t="s">
        <v>1287</v>
      </c>
      <c r="B274" t="s">
        <v>645</v>
      </c>
      <c r="C274" t="s">
        <v>810</v>
      </c>
      <c r="D274" t="s">
        <v>811</v>
      </c>
      <c r="E274">
        <v>21006</v>
      </c>
      <c r="F274">
        <v>14126</v>
      </c>
      <c r="G274">
        <v>6880</v>
      </c>
      <c r="H274">
        <v>7.0945757415788071</v>
      </c>
      <c r="I274">
        <v>7924045.1606617644</v>
      </c>
      <c r="J274">
        <v>71273888.404395893</v>
      </c>
    </row>
    <row r="275" spans="1:10" x14ac:dyDescent="0.3">
      <c r="A275" t="s">
        <v>1288</v>
      </c>
      <c r="B275" t="s">
        <v>915</v>
      </c>
      <c r="C275" t="s">
        <v>949</v>
      </c>
      <c r="D275" t="s">
        <v>951</v>
      </c>
      <c r="E275">
        <v>1678</v>
      </c>
      <c r="F275">
        <v>425</v>
      </c>
      <c r="G275">
        <v>1253</v>
      </c>
      <c r="H275">
        <v>1.164271322655702</v>
      </c>
      <c r="I275">
        <v>496652.3125</v>
      </c>
      <c r="J275">
        <v>488736709.69895238</v>
      </c>
    </row>
    <row r="276" spans="1:10" x14ac:dyDescent="0.3">
      <c r="A276" t="s">
        <v>1289</v>
      </c>
      <c r="B276" t="s">
        <v>645</v>
      </c>
      <c r="C276" t="s">
        <v>815</v>
      </c>
      <c r="D276" t="s">
        <v>816</v>
      </c>
      <c r="E276">
        <v>102748</v>
      </c>
      <c r="F276">
        <v>91569</v>
      </c>
      <c r="G276">
        <v>11179</v>
      </c>
      <c r="H276">
        <v>24.874504055072698</v>
      </c>
      <c r="I276">
        <v>21736483.12132353</v>
      </c>
      <c r="J276">
        <v>57307870.599606529</v>
      </c>
    </row>
    <row r="277" spans="1:10" x14ac:dyDescent="0.3">
      <c r="A277" t="s">
        <v>1290</v>
      </c>
      <c r="B277" t="s">
        <v>149</v>
      </c>
      <c r="C277" t="s">
        <v>170</v>
      </c>
      <c r="D277" t="s">
        <v>173</v>
      </c>
      <c r="E277">
        <v>1380</v>
      </c>
      <c r="F277">
        <v>587</v>
      </c>
      <c r="G277">
        <v>793</v>
      </c>
      <c r="H277">
        <v>1.506536115458937</v>
      </c>
      <c r="I277">
        <v>342769.78829656867</v>
      </c>
      <c r="J277">
        <v>52984851.918050207</v>
      </c>
    </row>
    <row r="278" spans="1:10" x14ac:dyDescent="0.3">
      <c r="A278" t="s">
        <v>1291</v>
      </c>
      <c r="B278" t="s">
        <v>579</v>
      </c>
      <c r="C278" t="s">
        <v>580</v>
      </c>
      <c r="D278" t="s">
        <v>580</v>
      </c>
      <c r="E278">
        <v>111724</v>
      </c>
      <c r="F278">
        <v>66058</v>
      </c>
      <c r="G278">
        <v>45666</v>
      </c>
      <c r="H278">
        <v>7.4932649972069836</v>
      </c>
      <c r="I278">
        <v>5216234.3754289215</v>
      </c>
      <c r="J278">
        <v>169213011.9846586</v>
      </c>
    </row>
    <row r="279" spans="1:10" x14ac:dyDescent="0.3">
      <c r="A279" t="s">
        <v>1292</v>
      </c>
      <c r="B279" t="s">
        <v>667</v>
      </c>
      <c r="C279" t="s">
        <v>705</v>
      </c>
      <c r="D279" t="s">
        <v>705</v>
      </c>
      <c r="E279">
        <v>4061</v>
      </c>
      <c r="F279">
        <v>970</v>
      </c>
      <c r="G279">
        <v>3091</v>
      </c>
      <c r="H279">
        <v>0.78168348780518115</v>
      </c>
      <c r="I279">
        <v>1489121.15625</v>
      </c>
      <c r="J279">
        <v>184143121.49518359</v>
      </c>
    </row>
    <row r="280" spans="1:10" x14ac:dyDescent="0.3">
      <c r="A280" t="s">
        <v>1293</v>
      </c>
      <c r="B280" t="s">
        <v>983</v>
      </c>
      <c r="C280" t="s">
        <v>993</v>
      </c>
      <c r="D280" t="s">
        <v>993</v>
      </c>
      <c r="E280">
        <v>37172</v>
      </c>
      <c r="F280">
        <v>17261</v>
      </c>
      <c r="G280">
        <v>19911</v>
      </c>
      <c r="H280">
        <v>7.1933306160609831</v>
      </c>
      <c r="I280">
        <v>2234937.65625</v>
      </c>
      <c r="J280">
        <v>80894619.346610248</v>
      </c>
    </row>
    <row r="281" spans="1:10" x14ac:dyDescent="0.3">
      <c r="A281" t="s">
        <v>1294</v>
      </c>
      <c r="B281" t="s">
        <v>280</v>
      </c>
      <c r="C281" t="s">
        <v>297</v>
      </c>
      <c r="D281" t="s">
        <v>297</v>
      </c>
      <c r="E281">
        <v>35307</v>
      </c>
      <c r="F281">
        <v>17967</v>
      </c>
      <c r="G281">
        <v>17340</v>
      </c>
      <c r="H281">
        <v>2.4262356064952111</v>
      </c>
      <c r="I281">
        <v>1239695.265625</v>
      </c>
      <c r="J281">
        <v>236123943.21606791</v>
      </c>
    </row>
    <row r="282" spans="1:10" x14ac:dyDescent="0.3">
      <c r="A282" t="s">
        <v>1295</v>
      </c>
      <c r="B282" t="s">
        <v>90</v>
      </c>
      <c r="C282" t="s">
        <v>91</v>
      </c>
      <c r="D282" t="s">
        <v>98</v>
      </c>
      <c r="E282">
        <v>9406</v>
      </c>
      <c r="F282">
        <v>418</v>
      </c>
      <c r="G282">
        <v>8988</v>
      </c>
      <c r="H282">
        <v>0.66417439465542216</v>
      </c>
      <c r="I282">
        <v>1737856.875</v>
      </c>
      <c r="J282">
        <v>296546676.9941268</v>
      </c>
    </row>
    <row r="283" spans="1:10" x14ac:dyDescent="0.3">
      <c r="A283" t="s">
        <v>1296</v>
      </c>
      <c r="B283" t="s">
        <v>823</v>
      </c>
      <c r="C283" t="s">
        <v>824</v>
      </c>
      <c r="D283" t="s">
        <v>831</v>
      </c>
      <c r="E283">
        <v>4228</v>
      </c>
      <c r="F283">
        <v>914</v>
      </c>
      <c r="G283">
        <v>3314</v>
      </c>
      <c r="H283">
        <v>3.3384631245613852</v>
      </c>
      <c r="I283">
        <v>4380201.3213848043</v>
      </c>
      <c r="J283">
        <v>48126764.259551682</v>
      </c>
    </row>
    <row r="284" spans="1:10" x14ac:dyDescent="0.3">
      <c r="A284" t="s">
        <v>1297</v>
      </c>
      <c r="B284" t="s">
        <v>13</v>
      </c>
      <c r="C284" t="s">
        <v>48</v>
      </c>
      <c r="D284" t="s">
        <v>48</v>
      </c>
      <c r="E284">
        <v>9079</v>
      </c>
      <c r="F284">
        <v>2266</v>
      </c>
      <c r="G284">
        <v>6813</v>
      </c>
      <c r="H284">
        <v>1.308498413242646</v>
      </c>
      <c r="I284">
        <v>991661.71875</v>
      </c>
      <c r="J284">
        <v>242751217.1784364</v>
      </c>
    </row>
    <row r="285" spans="1:10" x14ac:dyDescent="0.3">
      <c r="A285" t="s">
        <v>1298</v>
      </c>
      <c r="B285" t="s">
        <v>823</v>
      </c>
      <c r="C285" t="s">
        <v>847</v>
      </c>
      <c r="D285" t="s">
        <v>847</v>
      </c>
      <c r="E285">
        <v>8680</v>
      </c>
      <c r="F285">
        <v>4484</v>
      </c>
      <c r="G285">
        <v>4196</v>
      </c>
      <c r="H285">
        <v>3.875119563064239</v>
      </c>
      <c r="I285">
        <v>2234368.453125</v>
      </c>
      <c r="J285">
        <v>79391258.135633707</v>
      </c>
    </row>
    <row r="286" spans="1:10" x14ac:dyDescent="0.3">
      <c r="A286" t="s">
        <v>1299</v>
      </c>
      <c r="B286" t="s">
        <v>184</v>
      </c>
      <c r="C286" t="s">
        <v>185</v>
      </c>
      <c r="D286" t="s">
        <v>194</v>
      </c>
      <c r="E286">
        <v>15502</v>
      </c>
      <c r="F286">
        <v>8584</v>
      </c>
      <c r="G286">
        <v>6918</v>
      </c>
      <c r="H286">
        <v>5.055854276777028</v>
      </c>
      <c r="I286">
        <v>3814158.490134804</v>
      </c>
      <c r="J286">
        <v>53312786.896659389</v>
      </c>
    </row>
    <row r="287" spans="1:10" x14ac:dyDescent="0.3">
      <c r="A287" t="s">
        <v>1300</v>
      </c>
      <c r="B287" t="s">
        <v>579</v>
      </c>
      <c r="C287" t="s">
        <v>590</v>
      </c>
      <c r="D287" t="s">
        <v>424</v>
      </c>
      <c r="E287">
        <v>12037</v>
      </c>
      <c r="F287">
        <v>3339</v>
      </c>
      <c r="G287">
        <v>8698</v>
      </c>
      <c r="H287">
        <v>2.7332588626107972</v>
      </c>
      <c r="I287">
        <v>744840.53125</v>
      </c>
      <c r="J287">
        <v>83819607.616770893</v>
      </c>
    </row>
    <row r="288" spans="1:10" x14ac:dyDescent="0.3">
      <c r="A288" t="s">
        <v>1301</v>
      </c>
      <c r="B288" t="s">
        <v>952</v>
      </c>
      <c r="C288" t="s">
        <v>977</v>
      </c>
      <c r="D288" t="s">
        <v>977</v>
      </c>
      <c r="E288">
        <v>7677</v>
      </c>
      <c r="F288">
        <v>3020</v>
      </c>
      <c r="G288">
        <v>4657</v>
      </c>
      <c r="H288">
        <v>1.7595791978011139</v>
      </c>
      <c r="I288">
        <v>1293154.0189950981</v>
      </c>
      <c r="J288">
        <v>94948986.097855777</v>
      </c>
    </row>
    <row r="289" spans="1:10" x14ac:dyDescent="0.3">
      <c r="A289" t="s">
        <v>1302</v>
      </c>
      <c r="B289" t="s">
        <v>645</v>
      </c>
      <c r="C289" t="s">
        <v>765</v>
      </c>
      <c r="D289" t="s">
        <v>771</v>
      </c>
      <c r="E289">
        <v>41752</v>
      </c>
      <c r="F289">
        <v>37789</v>
      </c>
      <c r="G289">
        <v>3963</v>
      </c>
      <c r="H289">
        <v>40.580541240053918</v>
      </c>
      <c r="I289">
        <v>10110229.077083331</v>
      </c>
      <c r="J289">
        <v>20972578.280250851</v>
      </c>
    </row>
    <row r="290" spans="1:10" x14ac:dyDescent="0.3">
      <c r="A290" t="s">
        <v>1303</v>
      </c>
      <c r="B290" t="s">
        <v>13</v>
      </c>
      <c r="C290" t="s">
        <v>14</v>
      </c>
      <c r="D290" t="s">
        <v>22</v>
      </c>
      <c r="E290">
        <v>6707</v>
      </c>
      <c r="F290">
        <v>4985</v>
      </c>
      <c r="G290">
        <v>1722</v>
      </c>
      <c r="H290">
        <v>8.2424059786776134</v>
      </c>
      <c r="I290">
        <v>4465453.3512254898</v>
      </c>
      <c r="J290">
        <v>27049159.86207464</v>
      </c>
    </row>
    <row r="291" spans="1:10" x14ac:dyDescent="0.3">
      <c r="A291" t="s">
        <v>1304</v>
      </c>
      <c r="B291" t="s">
        <v>867</v>
      </c>
      <c r="C291" t="s">
        <v>891</v>
      </c>
      <c r="D291" t="s">
        <v>891</v>
      </c>
      <c r="E291">
        <v>8312</v>
      </c>
      <c r="F291">
        <v>4653</v>
      </c>
      <c r="G291">
        <v>3659</v>
      </c>
      <c r="H291">
        <v>1.4439988554253049</v>
      </c>
      <c r="I291">
        <v>1487057.4375</v>
      </c>
      <c r="J291">
        <v>154682359.9331246</v>
      </c>
    </row>
    <row r="292" spans="1:10" x14ac:dyDescent="0.3">
      <c r="A292" t="s">
        <v>1305</v>
      </c>
      <c r="B292" t="s">
        <v>823</v>
      </c>
      <c r="C292" t="s">
        <v>845</v>
      </c>
      <c r="D292" t="s">
        <v>845</v>
      </c>
      <c r="E292">
        <v>5817</v>
      </c>
      <c r="F292">
        <v>4158</v>
      </c>
      <c r="G292">
        <v>1659</v>
      </c>
      <c r="H292">
        <v>3.4401679237728748</v>
      </c>
      <c r="I292">
        <v>1006647.741727941</v>
      </c>
      <c r="J292">
        <v>79323846.301362291</v>
      </c>
    </row>
    <row r="293" spans="1:10" x14ac:dyDescent="0.3">
      <c r="A293" t="s">
        <v>1306</v>
      </c>
      <c r="B293" t="s">
        <v>225</v>
      </c>
      <c r="C293" t="s">
        <v>247</v>
      </c>
      <c r="D293" t="s">
        <v>250</v>
      </c>
      <c r="E293">
        <v>9130</v>
      </c>
      <c r="F293">
        <v>654</v>
      </c>
      <c r="G293">
        <v>8476</v>
      </c>
      <c r="H293">
        <v>1.057762495207027</v>
      </c>
      <c r="I293">
        <v>230670.6584558824</v>
      </c>
      <c r="J293">
        <v>167441700.38252559</v>
      </c>
    </row>
    <row r="294" spans="1:10" x14ac:dyDescent="0.3">
      <c r="A294" t="s">
        <v>1307</v>
      </c>
      <c r="B294" t="s">
        <v>13</v>
      </c>
      <c r="C294" t="s">
        <v>39</v>
      </c>
      <c r="D294" t="s">
        <v>39</v>
      </c>
      <c r="E294">
        <v>22004</v>
      </c>
      <c r="F294">
        <v>16698</v>
      </c>
      <c r="G294">
        <v>5306</v>
      </c>
      <c r="H294">
        <v>7.8229034811895177</v>
      </c>
      <c r="I294">
        <v>6394056.7438112739</v>
      </c>
      <c r="J294">
        <v>41417525.132723033</v>
      </c>
    </row>
    <row r="295" spans="1:10" x14ac:dyDescent="0.3">
      <c r="A295" t="s">
        <v>1308</v>
      </c>
      <c r="B295" t="s">
        <v>399</v>
      </c>
      <c r="C295" t="s">
        <v>432</v>
      </c>
      <c r="D295" t="s">
        <v>432</v>
      </c>
      <c r="E295">
        <v>81835</v>
      </c>
      <c r="F295">
        <v>60781</v>
      </c>
      <c r="G295">
        <v>21054</v>
      </c>
      <c r="H295">
        <v>14.83782306090151</v>
      </c>
      <c r="I295">
        <v>9460471.2720588222</v>
      </c>
      <c r="J295">
        <v>250682479.94449389</v>
      </c>
    </row>
    <row r="296" spans="1:10" x14ac:dyDescent="0.3">
      <c r="A296" t="s">
        <v>1309</v>
      </c>
      <c r="B296" t="s">
        <v>399</v>
      </c>
      <c r="C296" t="s">
        <v>443</v>
      </c>
      <c r="D296" t="s">
        <v>444</v>
      </c>
      <c r="E296">
        <v>58635</v>
      </c>
      <c r="F296">
        <v>30423</v>
      </c>
      <c r="G296">
        <v>28212</v>
      </c>
      <c r="H296">
        <v>3.8667516500499501</v>
      </c>
      <c r="I296">
        <v>6777840.7346813735</v>
      </c>
      <c r="J296">
        <v>269999150.67391771</v>
      </c>
    </row>
    <row r="297" spans="1:10" x14ac:dyDescent="0.3">
      <c r="A297" t="s">
        <v>1310</v>
      </c>
      <c r="B297" t="s">
        <v>492</v>
      </c>
      <c r="C297" t="s">
        <v>550</v>
      </c>
      <c r="D297" t="s">
        <v>550</v>
      </c>
      <c r="E297">
        <v>9675</v>
      </c>
      <c r="F297">
        <v>4770</v>
      </c>
      <c r="G297">
        <v>4905</v>
      </c>
      <c r="H297">
        <v>1.794384344855662</v>
      </c>
      <c r="I297">
        <v>1239215.125</v>
      </c>
      <c r="J297">
        <v>75862496.110385194</v>
      </c>
    </row>
    <row r="298" spans="1:10" x14ac:dyDescent="0.3">
      <c r="A298" t="s">
        <v>1311</v>
      </c>
      <c r="B298" t="s">
        <v>645</v>
      </c>
      <c r="C298" t="s">
        <v>765</v>
      </c>
      <c r="D298" t="s">
        <v>769</v>
      </c>
      <c r="E298">
        <v>4963</v>
      </c>
      <c r="F298">
        <v>3554</v>
      </c>
      <c r="G298">
        <v>1409</v>
      </c>
      <c r="H298">
        <v>1.493780886381459</v>
      </c>
      <c r="I298">
        <v>2085941.8062499999</v>
      </c>
      <c r="J298">
        <v>189671236.37262151</v>
      </c>
    </row>
    <row r="299" spans="1:10" x14ac:dyDescent="0.3">
      <c r="A299" t="s">
        <v>1312</v>
      </c>
      <c r="B299" t="s">
        <v>453</v>
      </c>
      <c r="C299" t="s">
        <v>454</v>
      </c>
      <c r="D299" t="s">
        <v>459</v>
      </c>
      <c r="E299">
        <v>8589</v>
      </c>
      <c r="F299">
        <v>3615</v>
      </c>
      <c r="G299">
        <v>4974</v>
      </c>
      <c r="H299">
        <v>5.1693349353218441</v>
      </c>
      <c r="I299">
        <v>498594.34950980393</v>
      </c>
      <c r="J299">
        <v>34975892.397380337</v>
      </c>
    </row>
    <row r="300" spans="1:10" x14ac:dyDescent="0.3">
      <c r="A300" t="s">
        <v>1313</v>
      </c>
      <c r="B300" t="s">
        <v>645</v>
      </c>
      <c r="C300" t="s">
        <v>802</v>
      </c>
      <c r="D300" t="s">
        <v>804</v>
      </c>
      <c r="E300">
        <v>10289</v>
      </c>
      <c r="F300">
        <v>7657</v>
      </c>
      <c r="G300">
        <v>2632</v>
      </c>
      <c r="H300">
        <v>1.8428031940315639</v>
      </c>
      <c r="I300">
        <v>2867832.2000612752</v>
      </c>
      <c r="J300">
        <v>212750742.69489959</v>
      </c>
    </row>
    <row r="301" spans="1:10" x14ac:dyDescent="0.3">
      <c r="A301" t="s">
        <v>1314</v>
      </c>
      <c r="B301" t="s">
        <v>667</v>
      </c>
      <c r="C301" t="s">
        <v>677</v>
      </c>
      <c r="D301" t="s">
        <v>677</v>
      </c>
      <c r="E301">
        <v>12319</v>
      </c>
      <c r="F301">
        <v>7907</v>
      </c>
      <c r="G301">
        <v>4412</v>
      </c>
      <c r="H301">
        <v>1.091534916268587</v>
      </c>
      <c r="I301">
        <v>4462182.203125</v>
      </c>
      <c r="J301">
        <v>365550223.90494168</v>
      </c>
    </row>
    <row r="302" spans="1:10" x14ac:dyDescent="0.3">
      <c r="A302" t="s">
        <v>1315</v>
      </c>
      <c r="B302" t="s">
        <v>225</v>
      </c>
      <c r="C302" t="s">
        <v>262</v>
      </c>
      <c r="D302" t="s">
        <v>262</v>
      </c>
      <c r="E302">
        <v>22688</v>
      </c>
      <c r="F302">
        <v>15029</v>
      </c>
      <c r="G302">
        <v>7659</v>
      </c>
      <c r="H302">
        <v>5.7204971307445938</v>
      </c>
      <c r="I302">
        <v>47702283.798651963</v>
      </c>
      <c r="J302">
        <v>93553158.818909362</v>
      </c>
    </row>
    <row r="303" spans="1:10" x14ac:dyDescent="0.3">
      <c r="A303" t="s">
        <v>1316</v>
      </c>
      <c r="B303" t="s">
        <v>605</v>
      </c>
      <c r="C303" t="s">
        <v>655</v>
      </c>
      <c r="D303" t="s">
        <v>649</v>
      </c>
      <c r="E303">
        <v>15640</v>
      </c>
      <c r="F303">
        <v>3991</v>
      </c>
      <c r="G303">
        <v>11649</v>
      </c>
      <c r="H303">
        <v>1.5050906770692269</v>
      </c>
      <c r="I303">
        <v>744797.625</v>
      </c>
      <c r="J303">
        <v>202847396.40764591</v>
      </c>
    </row>
    <row r="304" spans="1:10" x14ac:dyDescent="0.3">
      <c r="A304" t="s">
        <v>1317</v>
      </c>
      <c r="B304" t="s">
        <v>645</v>
      </c>
      <c r="C304" t="s">
        <v>765</v>
      </c>
      <c r="D304" t="s">
        <v>793</v>
      </c>
      <c r="E304">
        <v>79011</v>
      </c>
      <c r="F304">
        <v>65170</v>
      </c>
      <c r="G304">
        <v>13841</v>
      </c>
      <c r="H304">
        <v>15.556064012463599</v>
      </c>
      <c r="I304">
        <v>10100487.615441181</v>
      </c>
      <c r="J304">
        <v>65536270.233098507</v>
      </c>
    </row>
    <row r="305" spans="1:10" x14ac:dyDescent="0.3">
      <c r="A305" t="s">
        <v>1318</v>
      </c>
      <c r="B305" t="s">
        <v>645</v>
      </c>
      <c r="C305" t="s">
        <v>802</v>
      </c>
      <c r="D305" t="s">
        <v>806</v>
      </c>
      <c r="E305">
        <v>25418</v>
      </c>
      <c r="F305">
        <v>17219</v>
      </c>
      <c r="G305">
        <v>8199</v>
      </c>
      <c r="H305">
        <v>10.38890114063296</v>
      </c>
      <c r="I305">
        <v>496642.9375</v>
      </c>
      <c r="J305">
        <v>32455613.836844601</v>
      </c>
    </row>
    <row r="306" spans="1:10" x14ac:dyDescent="0.3">
      <c r="A306" t="s">
        <v>1319</v>
      </c>
      <c r="B306" t="s">
        <v>117</v>
      </c>
      <c r="C306" t="s">
        <v>146</v>
      </c>
      <c r="D306" t="s">
        <v>146</v>
      </c>
      <c r="E306">
        <v>4273</v>
      </c>
      <c r="F306">
        <v>2464</v>
      </c>
      <c r="G306">
        <v>1809</v>
      </c>
      <c r="H306">
        <v>2.6870946216819269</v>
      </c>
      <c r="I306">
        <v>496085.65625</v>
      </c>
      <c r="J306">
        <v>56643774.2824618</v>
      </c>
    </row>
    <row r="307" spans="1:10" x14ac:dyDescent="0.3">
      <c r="A307" t="s">
        <v>1320</v>
      </c>
      <c r="B307" t="s">
        <v>184</v>
      </c>
      <c r="C307" t="s">
        <v>185</v>
      </c>
      <c r="D307" t="s">
        <v>195</v>
      </c>
      <c r="E307">
        <v>11035</v>
      </c>
      <c r="F307">
        <v>2308</v>
      </c>
      <c r="G307">
        <v>8727</v>
      </c>
      <c r="H307">
        <v>0.84230297976118518</v>
      </c>
      <c r="I307">
        <v>1489831.4375</v>
      </c>
      <c r="J307">
        <v>213055518.90293911</v>
      </c>
    </row>
    <row r="308" spans="1:10" x14ac:dyDescent="0.3">
      <c r="A308" t="s">
        <v>1321</v>
      </c>
      <c r="B308" t="s">
        <v>823</v>
      </c>
      <c r="C308" t="s">
        <v>824</v>
      </c>
      <c r="D308" t="s">
        <v>833</v>
      </c>
      <c r="E308">
        <v>11440</v>
      </c>
      <c r="F308">
        <v>1900</v>
      </c>
      <c r="G308">
        <v>9540</v>
      </c>
      <c r="H308">
        <v>0.98222621805106225</v>
      </c>
      <c r="I308">
        <v>3412277.5444240202</v>
      </c>
      <c r="J308">
        <v>425969588.21785402</v>
      </c>
    </row>
    <row r="309" spans="1:10" x14ac:dyDescent="0.3">
      <c r="A309" t="s">
        <v>1322</v>
      </c>
      <c r="B309" t="s">
        <v>399</v>
      </c>
      <c r="C309" t="s">
        <v>407</v>
      </c>
      <c r="D309" t="s">
        <v>407</v>
      </c>
      <c r="E309">
        <v>25649</v>
      </c>
      <c r="F309">
        <v>13669</v>
      </c>
      <c r="G309">
        <v>11980</v>
      </c>
      <c r="H309">
        <v>1.1969348419292321</v>
      </c>
      <c r="I309">
        <v>744041.5</v>
      </c>
      <c r="J309">
        <v>441158068.57069111</v>
      </c>
    </row>
    <row r="310" spans="1:10" x14ac:dyDescent="0.3">
      <c r="A310" t="s">
        <v>1323</v>
      </c>
      <c r="B310" t="s">
        <v>184</v>
      </c>
      <c r="C310" t="s">
        <v>211</v>
      </c>
      <c r="D310" t="s">
        <v>215</v>
      </c>
      <c r="E310">
        <v>7632</v>
      </c>
      <c r="F310">
        <v>2988</v>
      </c>
      <c r="G310">
        <v>4644</v>
      </c>
      <c r="H310">
        <v>2.57407011084051</v>
      </c>
      <c r="I310">
        <v>2405952.4161764709</v>
      </c>
      <c r="J310">
        <v>48566501.492106646</v>
      </c>
    </row>
    <row r="311" spans="1:10" x14ac:dyDescent="0.3">
      <c r="A311" t="s">
        <v>1324</v>
      </c>
      <c r="B311" t="s">
        <v>280</v>
      </c>
      <c r="C311" t="s">
        <v>305</v>
      </c>
      <c r="D311" t="s">
        <v>305</v>
      </c>
      <c r="E311">
        <v>60886</v>
      </c>
      <c r="F311">
        <v>41703</v>
      </c>
      <c r="G311">
        <v>19183</v>
      </c>
      <c r="H311">
        <v>4.0481426706573123</v>
      </c>
      <c r="I311">
        <v>3470861.28125</v>
      </c>
      <c r="J311">
        <v>131183913.48321611</v>
      </c>
    </row>
    <row r="312" spans="1:10" x14ac:dyDescent="0.3">
      <c r="A312" t="s">
        <v>1325</v>
      </c>
      <c r="B312" t="s">
        <v>13</v>
      </c>
      <c r="C312" t="s">
        <v>75</v>
      </c>
      <c r="D312" t="s">
        <v>76</v>
      </c>
      <c r="E312">
        <v>2453</v>
      </c>
      <c r="F312">
        <v>967</v>
      </c>
      <c r="G312">
        <v>1486</v>
      </c>
      <c r="H312">
        <v>1.1924918408113261</v>
      </c>
      <c r="I312">
        <v>197334.59136029409</v>
      </c>
      <c r="J312">
        <v>217743036.29094949</v>
      </c>
    </row>
    <row r="313" spans="1:10" x14ac:dyDescent="0.3">
      <c r="A313" t="s">
        <v>1326</v>
      </c>
      <c r="B313" t="s">
        <v>453</v>
      </c>
      <c r="C313" t="s">
        <v>481</v>
      </c>
      <c r="D313" t="s">
        <v>481</v>
      </c>
      <c r="E313">
        <v>10064</v>
      </c>
      <c r="F313">
        <v>6912</v>
      </c>
      <c r="G313">
        <v>3152</v>
      </c>
      <c r="H313">
        <v>3.040239485123875</v>
      </c>
      <c r="I313">
        <v>1470446.3416053921</v>
      </c>
      <c r="J313">
        <v>92824682.754684165</v>
      </c>
    </row>
    <row r="314" spans="1:10" x14ac:dyDescent="0.3">
      <c r="A314" t="s">
        <v>1327</v>
      </c>
      <c r="B314" t="s">
        <v>823</v>
      </c>
      <c r="C314" t="s">
        <v>824</v>
      </c>
      <c r="D314" t="s">
        <v>323</v>
      </c>
      <c r="E314">
        <v>28200</v>
      </c>
      <c r="F314">
        <v>15008</v>
      </c>
      <c r="G314">
        <v>13192</v>
      </c>
      <c r="H314">
        <v>10.66770088783203</v>
      </c>
      <c r="I314">
        <v>16279414.07843137</v>
      </c>
      <c r="J314">
        <v>39729112.251014113</v>
      </c>
    </row>
    <row r="315" spans="1:10" x14ac:dyDescent="0.3">
      <c r="A315" t="s">
        <v>1328</v>
      </c>
      <c r="B315" t="s">
        <v>492</v>
      </c>
      <c r="C315" t="s">
        <v>563</v>
      </c>
      <c r="D315" t="s">
        <v>563</v>
      </c>
      <c r="E315">
        <v>5835</v>
      </c>
      <c r="F315">
        <v>3652</v>
      </c>
      <c r="G315">
        <v>2183</v>
      </c>
      <c r="H315">
        <v>0.91736546644671924</v>
      </c>
      <c r="I315">
        <v>314619.38602941181</v>
      </c>
      <c r="J315">
        <v>194639052.21483409</v>
      </c>
    </row>
    <row r="316" spans="1:10" x14ac:dyDescent="0.3">
      <c r="A316" t="s">
        <v>1329</v>
      </c>
      <c r="B316" t="s">
        <v>605</v>
      </c>
      <c r="C316" t="s">
        <v>661</v>
      </c>
      <c r="D316" t="s">
        <v>663</v>
      </c>
      <c r="E316">
        <v>5824</v>
      </c>
      <c r="F316">
        <v>1912</v>
      </c>
      <c r="G316">
        <v>3912</v>
      </c>
      <c r="H316">
        <v>1.302064579884374</v>
      </c>
      <c r="I316">
        <v>1909901.3946691181</v>
      </c>
      <c r="J316">
        <v>86825227.609895259</v>
      </c>
    </row>
    <row r="317" spans="1:10" x14ac:dyDescent="0.3">
      <c r="A317" t="s">
        <v>1330</v>
      </c>
      <c r="B317" t="s">
        <v>184</v>
      </c>
      <c r="C317" t="s">
        <v>220</v>
      </c>
      <c r="D317" t="s">
        <v>221</v>
      </c>
      <c r="E317">
        <v>6064</v>
      </c>
      <c r="F317">
        <v>281</v>
      </c>
      <c r="G317">
        <v>5783</v>
      </c>
      <c r="H317">
        <v>0.65783114777453444</v>
      </c>
      <c r="I317">
        <v>2123700.1075367639</v>
      </c>
      <c r="J317">
        <v>248956753.65372089</v>
      </c>
    </row>
    <row r="318" spans="1:10" x14ac:dyDescent="0.3">
      <c r="A318" t="s">
        <v>1331</v>
      </c>
      <c r="B318" t="s">
        <v>823</v>
      </c>
      <c r="C318" t="s">
        <v>824</v>
      </c>
      <c r="D318" t="s">
        <v>837</v>
      </c>
      <c r="E318">
        <v>5546</v>
      </c>
      <c r="F318">
        <v>3466</v>
      </c>
      <c r="G318">
        <v>2080</v>
      </c>
      <c r="H318">
        <v>6.6142426169050399</v>
      </c>
      <c r="I318">
        <v>744835.6875</v>
      </c>
      <c r="J318">
        <v>20106564.46169718</v>
      </c>
    </row>
    <row r="319" spans="1:10" x14ac:dyDescent="0.3">
      <c r="A319" t="s">
        <v>1332</v>
      </c>
      <c r="B319" t="s">
        <v>645</v>
      </c>
      <c r="C319" t="s">
        <v>765</v>
      </c>
      <c r="D319" t="s">
        <v>794</v>
      </c>
      <c r="E319">
        <v>26527</v>
      </c>
      <c r="F319">
        <v>18894</v>
      </c>
      <c r="G319">
        <v>7633</v>
      </c>
      <c r="H319">
        <v>8.0614271444482171</v>
      </c>
      <c r="I319">
        <v>3579784.25502451</v>
      </c>
      <c r="J319">
        <v>72947885.993240178</v>
      </c>
    </row>
    <row r="320" spans="1:10" x14ac:dyDescent="0.3">
      <c r="A320" t="s">
        <v>1333</v>
      </c>
      <c r="B320" t="s">
        <v>645</v>
      </c>
      <c r="C320" t="s">
        <v>765</v>
      </c>
      <c r="D320" t="s">
        <v>777</v>
      </c>
      <c r="E320">
        <v>11436</v>
      </c>
      <c r="F320">
        <v>8278</v>
      </c>
      <c r="G320">
        <v>3158</v>
      </c>
      <c r="H320">
        <v>7.2180076697126747</v>
      </c>
      <c r="I320">
        <v>496646.140625</v>
      </c>
      <c r="J320">
        <v>31572431.173402559</v>
      </c>
    </row>
    <row r="321" spans="1:10" x14ac:dyDescent="0.3">
      <c r="A321" t="s">
        <v>1334</v>
      </c>
      <c r="B321" t="s">
        <v>13</v>
      </c>
      <c r="C321" t="s">
        <v>14</v>
      </c>
      <c r="D321" t="s">
        <v>14</v>
      </c>
      <c r="E321">
        <v>360524</v>
      </c>
      <c r="F321">
        <v>324820</v>
      </c>
      <c r="G321">
        <v>35704</v>
      </c>
      <c r="H321">
        <v>66.805288387192547</v>
      </c>
      <c r="I321">
        <v>59784170.367892161</v>
      </c>
      <c r="J321">
        <v>71484341.036941305</v>
      </c>
    </row>
    <row r="322" spans="1:10" x14ac:dyDescent="0.3">
      <c r="A322" t="s">
        <v>1335</v>
      </c>
      <c r="B322" t="s">
        <v>453</v>
      </c>
      <c r="C322" t="s">
        <v>485</v>
      </c>
      <c r="D322" t="s">
        <v>486</v>
      </c>
      <c r="E322">
        <v>6548</v>
      </c>
      <c r="F322">
        <v>4384</v>
      </c>
      <c r="G322">
        <v>2164</v>
      </c>
      <c r="H322">
        <v>3.5079063733303739</v>
      </c>
      <c r="I322">
        <v>496639.671875</v>
      </c>
      <c r="J322">
        <v>60042916.894151293</v>
      </c>
    </row>
    <row r="323" spans="1:10" x14ac:dyDescent="0.3">
      <c r="A323" t="s">
        <v>1336</v>
      </c>
      <c r="B323" t="s">
        <v>184</v>
      </c>
      <c r="C323" t="s">
        <v>185</v>
      </c>
      <c r="D323" t="s">
        <v>188</v>
      </c>
      <c r="E323">
        <v>11013</v>
      </c>
      <c r="F323">
        <v>7249</v>
      </c>
      <c r="G323">
        <v>3764</v>
      </c>
      <c r="H323">
        <v>6.9874430440091784</v>
      </c>
      <c r="I323">
        <v>3432409.760477941</v>
      </c>
      <c r="J323">
        <v>26660543.008029629</v>
      </c>
    </row>
    <row r="324" spans="1:10" x14ac:dyDescent="0.3">
      <c r="A324" t="s">
        <v>1337</v>
      </c>
      <c r="B324" t="s">
        <v>645</v>
      </c>
      <c r="C324" t="s">
        <v>796</v>
      </c>
      <c r="D324" t="s">
        <v>798</v>
      </c>
      <c r="E324">
        <v>18031</v>
      </c>
      <c r="F324">
        <v>5157</v>
      </c>
      <c r="G324">
        <v>12874</v>
      </c>
      <c r="H324">
        <v>1.5799725852698761</v>
      </c>
      <c r="I324">
        <v>6643461.6333333338</v>
      </c>
      <c r="J324">
        <v>335625081.94941652</v>
      </c>
    </row>
    <row r="325" spans="1:10" x14ac:dyDescent="0.3">
      <c r="A325" t="s">
        <v>1338</v>
      </c>
      <c r="B325" t="s">
        <v>184</v>
      </c>
      <c r="C325" t="s">
        <v>196</v>
      </c>
      <c r="D325" t="s">
        <v>196</v>
      </c>
      <c r="E325">
        <v>47939</v>
      </c>
      <c r="F325">
        <v>27005</v>
      </c>
      <c r="G325">
        <v>20934</v>
      </c>
      <c r="H325">
        <v>2.0569136281915621</v>
      </c>
      <c r="I325">
        <v>3724403.4375</v>
      </c>
      <c r="J325">
        <v>230993395.79596609</v>
      </c>
    </row>
    <row r="326" spans="1:10" x14ac:dyDescent="0.3">
      <c r="A326" t="s">
        <v>1339</v>
      </c>
      <c r="B326" t="s">
        <v>399</v>
      </c>
      <c r="C326" t="s">
        <v>452</v>
      </c>
      <c r="D326" t="s">
        <v>452</v>
      </c>
      <c r="E326">
        <v>14305</v>
      </c>
      <c r="F326">
        <v>3222</v>
      </c>
      <c r="G326">
        <v>11083</v>
      </c>
      <c r="H326">
        <v>1.751745005150861</v>
      </c>
      <c r="I326">
        <v>1489179.984375</v>
      </c>
      <c r="J326">
        <v>491749748.25217068</v>
      </c>
    </row>
    <row r="327" spans="1:10" x14ac:dyDescent="0.3">
      <c r="A327" t="s">
        <v>1340</v>
      </c>
      <c r="B327" t="s">
        <v>867</v>
      </c>
      <c r="C327" t="s">
        <v>874</v>
      </c>
      <c r="D327" t="s">
        <v>875</v>
      </c>
      <c r="E327">
        <v>7876</v>
      </c>
      <c r="F327">
        <v>3572</v>
      </c>
      <c r="G327">
        <v>4304</v>
      </c>
      <c r="H327">
        <v>0.74858129420357133</v>
      </c>
      <c r="I327">
        <v>742366.609375</v>
      </c>
      <c r="J327">
        <v>424954334.29311907</v>
      </c>
    </row>
    <row r="328" spans="1:10" x14ac:dyDescent="0.3">
      <c r="A328" t="s">
        <v>1341</v>
      </c>
      <c r="B328" t="s">
        <v>399</v>
      </c>
      <c r="C328" t="s">
        <v>415</v>
      </c>
      <c r="D328" t="s">
        <v>350</v>
      </c>
      <c r="E328">
        <v>303831</v>
      </c>
      <c r="F328">
        <v>105221</v>
      </c>
      <c r="G328">
        <v>198610</v>
      </c>
      <c r="H328">
        <v>15.882304036606159</v>
      </c>
      <c r="I328">
        <v>31655425.207414221</v>
      </c>
      <c r="J328">
        <v>341882967.24813831</v>
      </c>
    </row>
    <row r="329" spans="1:10" x14ac:dyDescent="0.3">
      <c r="A329" t="s">
        <v>1342</v>
      </c>
      <c r="B329" t="s">
        <v>933</v>
      </c>
      <c r="C329" t="s">
        <v>933</v>
      </c>
      <c r="D329" t="s">
        <v>997</v>
      </c>
      <c r="E329">
        <v>39988</v>
      </c>
      <c r="F329">
        <v>15668</v>
      </c>
      <c r="G329">
        <v>24320</v>
      </c>
      <c r="H329">
        <v>1.0302968521028379</v>
      </c>
      <c r="I329">
        <v>8989954.5601715688</v>
      </c>
      <c r="J329">
        <v>1146704835.1027229</v>
      </c>
    </row>
    <row r="330" spans="1:10" x14ac:dyDescent="0.3">
      <c r="A330" t="s">
        <v>1343</v>
      </c>
      <c r="B330" t="s">
        <v>13</v>
      </c>
      <c r="C330" t="s">
        <v>14</v>
      </c>
      <c r="D330" t="s">
        <v>21</v>
      </c>
      <c r="E330">
        <v>6882</v>
      </c>
      <c r="F330">
        <v>2536</v>
      </c>
      <c r="G330">
        <v>4346</v>
      </c>
      <c r="H330">
        <v>0.77041289200961049</v>
      </c>
      <c r="I330">
        <v>496077.375</v>
      </c>
      <c r="J330">
        <v>983900796.22209716</v>
      </c>
    </row>
    <row r="331" spans="1:10" x14ac:dyDescent="0.3">
      <c r="A331" t="s">
        <v>1344</v>
      </c>
      <c r="B331" t="s">
        <v>13</v>
      </c>
      <c r="C331" t="s">
        <v>14</v>
      </c>
      <c r="D331" t="s">
        <v>24</v>
      </c>
      <c r="E331">
        <v>8497</v>
      </c>
      <c r="F331">
        <v>5549</v>
      </c>
      <c r="G331">
        <v>2948</v>
      </c>
      <c r="H331">
        <v>10.8171784735146</v>
      </c>
      <c r="I331">
        <v>2152399.911458333</v>
      </c>
      <c r="J331">
        <v>25331206.106013741</v>
      </c>
    </row>
    <row r="332" spans="1:10" x14ac:dyDescent="0.3">
      <c r="A332" t="s">
        <v>1345</v>
      </c>
      <c r="B332" t="s">
        <v>579</v>
      </c>
      <c r="C332" t="s">
        <v>588</v>
      </c>
      <c r="D332" t="s">
        <v>588</v>
      </c>
      <c r="E332">
        <v>14960</v>
      </c>
      <c r="F332">
        <v>5368</v>
      </c>
      <c r="G332">
        <v>9592</v>
      </c>
      <c r="H332">
        <v>1.51746163297514</v>
      </c>
      <c r="I332">
        <v>2234143.453125</v>
      </c>
      <c r="J332">
        <v>150404831.13606629</v>
      </c>
    </row>
    <row r="333" spans="1:10" x14ac:dyDescent="0.3">
      <c r="A333" t="s">
        <v>1346</v>
      </c>
      <c r="B333" t="s">
        <v>492</v>
      </c>
      <c r="C333" t="s">
        <v>532</v>
      </c>
      <c r="D333" t="s">
        <v>532</v>
      </c>
      <c r="E333">
        <v>15167</v>
      </c>
      <c r="F333">
        <v>9237</v>
      </c>
      <c r="G333">
        <v>5930</v>
      </c>
      <c r="H333">
        <v>0.94507366674189164</v>
      </c>
      <c r="I333">
        <v>4442588.5762867648</v>
      </c>
      <c r="J333">
        <v>369578754.24179113</v>
      </c>
    </row>
    <row r="334" spans="1:10" x14ac:dyDescent="0.3">
      <c r="A334" t="s">
        <v>1347</v>
      </c>
      <c r="B334" t="s">
        <v>184</v>
      </c>
      <c r="C334" t="s">
        <v>220</v>
      </c>
      <c r="D334" t="s">
        <v>220</v>
      </c>
      <c r="E334">
        <v>7540</v>
      </c>
      <c r="F334">
        <v>2305</v>
      </c>
      <c r="G334">
        <v>5235</v>
      </c>
      <c r="H334">
        <v>0.70213250571384811</v>
      </c>
      <c r="I334">
        <v>744924.421875</v>
      </c>
      <c r="J334">
        <v>775930877.00557804</v>
      </c>
    </row>
    <row r="335" spans="1:10" x14ac:dyDescent="0.3">
      <c r="A335" t="s">
        <v>1348</v>
      </c>
      <c r="B335" t="s">
        <v>667</v>
      </c>
      <c r="C335" t="s">
        <v>707</v>
      </c>
      <c r="D335" t="s">
        <v>707</v>
      </c>
      <c r="E335">
        <v>2535</v>
      </c>
      <c r="F335">
        <v>1463</v>
      </c>
      <c r="G335">
        <v>1072</v>
      </c>
      <c r="H335">
        <v>1.114998263110573</v>
      </c>
      <c r="I335">
        <v>743906.9375</v>
      </c>
      <c r="J335">
        <v>128951230.37179869</v>
      </c>
    </row>
    <row r="336" spans="1:10" x14ac:dyDescent="0.3">
      <c r="A336" t="s">
        <v>1349</v>
      </c>
      <c r="B336" t="s">
        <v>605</v>
      </c>
      <c r="C336" t="s">
        <v>636</v>
      </c>
      <c r="D336" t="s">
        <v>637</v>
      </c>
      <c r="E336">
        <v>3830</v>
      </c>
      <c r="F336">
        <v>579</v>
      </c>
      <c r="G336">
        <v>3251</v>
      </c>
      <c r="H336">
        <v>2.5614508212117681</v>
      </c>
      <c r="I336">
        <v>2182033.1556372549</v>
      </c>
      <c r="J336">
        <v>37826360.466780372</v>
      </c>
    </row>
    <row r="337" spans="1:10" x14ac:dyDescent="0.3">
      <c r="A337" t="s">
        <v>1350</v>
      </c>
      <c r="B337" t="s">
        <v>667</v>
      </c>
      <c r="C337" t="s">
        <v>668</v>
      </c>
      <c r="D337" t="s">
        <v>669</v>
      </c>
      <c r="E337">
        <v>22193</v>
      </c>
      <c r="F337">
        <v>17362</v>
      </c>
      <c r="G337">
        <v>4831</v>
      </c>
      <c r="H337">
        <v>7.5093485201931287</v>
      </c>
      <c r="I337">
        <v>496260.453125</v>
      </c>
      <c r="J337">
        <v>49300232.450722598</v>
      </c>
    </row>
    <row r="338" spans="1:10" x14ac:dyDescent="0.3">
      <c r="A338" t="s">
        <v>1351</v>
      </c>
      <c r="B338" t="s">
        <v>225</v>
      </c>
      <c r="C338" t="s">
        <v>226</v>
      </c>
      <c r="D338" t="s">
        <v>226</v>
      </c>
      <c r="E338">
        <v>188664</v>
      </c>
      <c r="F338">
        <v>165953</v>
      </c>
      <c r="G338">
        <v>22711</v>
      </c>
      <c r="H338">
        <v>26.7511045047053</v>
      </c>
      <c r="I338">
        <v>61173051.714522026</v>
      </c>
      <c r="J338">
        <v>61940420.657532647</v>
      </c>
    </row>
    <row r="339" spans="1:10" x14ac:dyDescent="0.3">
      <c r="A339" t="s">
        <v>1352</v>
      </c>
      <c r="B339" t="s">
        <v>453</v>
      </c>
      <c r="C339" t="s">
        <v>454</v>
      </c>
      <c r="D339" t="s">
        <v>455</v>
      </c>
      <c r="E339">
        <v>167180</v>
      </c>
      <c r="F339">
        <v>143530</v>
      </c>
      <c r="G339">
        <v>23650</v>
      </c>
      <c r="H339">
        <v>10.64862767927748</v>
      </c>
      <c r="I339">
        <v>32341220.518075991</v>
      </c>
      <c r="J339">
        <v>243330442.4585571</v>
      </c>
    </row>
    <row r="340" spans="1:10" x14ac:dyDescent="0.3">
      <c r="A340" t="s">
        <v>1353</v>
      </c>
      <c r="B340" t="s">
        <v>823</v>
      </c>
      <c r="C340" t="s">
        <v>824</v>
      </c>
      <c r="D340" t="s">
        <v>830</v>
      </c>
      <c r="E340">
        <v>7520</v>
      </c>
      <c r="F340">
        <v>2718</v>
      </c>
      <c r="G340">
        <v>4802</v>
      </c>
      <c r="H340">
        <v>4.4754281741223263</v>
      </c>
      <c r="I340">
        <v>1560658.036335784</v>
      </c>
      <c r="J340">
        <v>36327238.314407893</v>
      </c>
    </row>
    <row r="341" spans="1:10" x14ac:dyDescent="0.3">
      <c r="A341" t="s">
        <v>1354</v>
      </c>
      <c r="B341" t="s">
        <v>280</v>
      </c>
      <c r="C341" t="s">
        <v>323</v>
      </c>
      <c r="D341" t="s">
        <v>324</v>
      </c>
      <c r="E341">
        <v>5047</v>
      </c>
      <c r="F341">
        <v>3414</v>
      </c>
      <c r="G341">
        <v>1633</v>
      </c>
      <c r="H341">
        <v>3.85062534719453</v>
      </c>
      <c r="I341">
        <v>1944.165196078432</v>
      </c>
      <c r="J341">
        <v>52207767.948683813</v>
      </c>
    </row>
    <row r="342" spans="1:10" x14ac:dyDescent="0.3">
      <c r="A342" t="s">
        <v>1355</v>
      </c>
      <c r="B342" t="s">
        <v>90</v>
      </c>
      <c r="C342" t="s">
        <v>91</v>
      </c>
      <c r="D342" t="s">
        <v>91</v>
      </c>
      <c r="E342">
        <v>62268</v>
      </c>
      <c r="F342">
        <v>29538</v>
      </c>
      <c r="G342">
        <v>32730</v>
      </c>
      <c r="H342">
        <v>2.0640041873349619</v>
      </c>
      <c r="I342">
        <v>8565660.0443627462</v>
      </c>
      <c r="J342">
        <v>508072175.42837429</v>
      </c>
    </row>
    <row r="343" spans="1:10" x14ac:dyDescent="0.3">
      <c r="A343" t="s">
        <v>1356</v>
      </c>
      <c r="B343" t="s">
        <v>184</v>
      </c>
      <c r="C343" t="s">
        <v>204</v>
      </c>
      <c r="D343" t="s">
        <v>204</v>
      </c>
      <c r="E343">
        <v>42545</v>
      </c>
      <c r="F343">
        <v>20568</v>
      </c>
      <c r="G343">
        <v>21977</v>
      </c>
      <c r="H343">
        <v>2.057593178477251</v>
      </c>
      <c r="I343">
        <v>73412045.510968134</v>
      </c>
      <c r="J343">
        <v>294979973.72974533</v>
      </c>
    </row>
    <row r="344" spans="1:10" x14ac:dyDescent="0.3">
      <c r="A344" t="s">
        <v>1357</v>
      </c>
      <c r="B344" t="s">
        <v>823</v>
      </c>
      <c r="C344" t="s">
        <v>857</v>
      </c>
      <c r="D344" t="s">
        <v>861</v>
      </c>
      <c r="E344">
        <v>2266</v>
      </c>
      <c r="F344">
        <v>1115</v>
      </c>
      <c r="G344">
        <v>1151</v>
      </c>
      <c r="H344">
        <v>1.193110509562834</v>
      </c>
      <c r="I344">
        <v>147991.75888480389</v>
      </c>
      <c r="J344">
        <v>126340622.855841</v>
      </c>
    </row>
    <row r="345" spans="1:10" x14ac:dyDescent="0.3">
      <c r="A345" t="s">
        <v>1358</v>
      </c>
      <c r="B345" t="s">
        <v>823</v>
      </c>
      <c r="C345" t="s">
        <v>857</v>
      </c>
      <c r="D345" t="s">
        <v>862</v>
      </c>
      <c r="E345">
        <v>3264</v>
      </c>
      <c r="F345">
        <v>1967</v>
      </c>
      <c r="G345">
        <v>1297</v>
      </c>
      <c r="H345">
        <v>8.1256181078399443</v>
      </c>
      <c r="I345">
        <v>152860.6020833333</v>
      </c>
      <c r="J345">
        <v>12578332.529853599</v>
      </c>
    </row>
    <row r="346" spans="1:10" x14ac:dyDescent="0.3">
      <c r="A346" t="s">
        <v>1359</v>
      </c>
      <c r="B346" t="s">
        <v>983</v>
      </c>
      <c r="C346" t="s">
        <v>984</v>
      </c>
      <c r="D346" t="s">
        <v>987</v>
      </c>
      <c r="E346">
        <v>11628</v>
      </c>
      <c r="F346">
        <v>1649</v>
      </c>
      <c r="G346">
        <v>9979</v>
      </c>
      <c r="H346">
        <v>1.4616461688726139</v>
      </c>
      <c r="I346">
        <v>496641.5625</v>
      </c>
      <c r="J346">
        <v>244341791.58672729</v>
      </c>
    </row>
    <row r="347" spans="1:10" x14ac:dyDescent="0.3">
      <c r="A347" t="s">
        <v>1360</v>
      </c>
      <c r="B347" t="s">
        <v>492</v>
      </c>
      <c r="C347" t="s">
        <v>492</v>
      </c>
      <c r="D347" t="s">
        <v>492</v>
      </c>
      <c r="E347">
        <v>213130</v>
      </c>
      <c r="F347">
        <v>173785</v>
      </c>
      <c r="G347">
        <v>39345</v>
      </c>
      <c r="H347">
        <v>7.137780994102199</v>
      </c>
      <c r="I347">
        <v>28242327.796875</v>
      </c>
      <c r="J347">
        <v>284771384.55177629</v>
      </c>
    </row>
    <row r="348" spans="1:10" x14ac:dyDescent="0.3">
      <c r="A348" t="s">
        <v>1361</v>
      </c>
      <c r="B348" t="s">
        <v>605</v>
      </c>
      <c r="C348" t="s">
        <v>628</v>
      </c>
      <c r="D348" t="s">
        <v>628</v>
      </c>
      <c r="E348">
        <v>54438</v>
      </c>
      <c r="F348">
        <v>19431</v>
      </c>
      <c r="G348">
        <v>35007</v>
      </c>
      <c r="H348">
        <v>2.1727678819841301</v>
      </c>
      <c r="I348">
        <v>7447765.609375</v>
      </c>
      <c r="J348">
        <v>384915169.30222178</v>
      </c>
    </row>
    <row r="349" spans="1:10" x14ac:dyDescent="0.3">
      <c r="A349" t="s">
        <v>1362</v>
      </c>
      <c r="B349" t="s">
        <v>184</v>
      </c>
      <c r="C349" t="s">
        <v>185</v>
      </c>
      <c r="D349" t="s">
        <v>187</v>
      </c>
      <c r="E349">
        <v>7269</v>
      </c>
      <c r="F349">
        <v>4123</v>
      </c>
      <c r="G349">
        <v>3146</v>
      </c>
      <c r="H349">
        <v>5.3463921036745878</v>
      </c>
      <c r="I349">
        <v>3228755.4239583332</v>
      </c>
      <c r="J349">
        <v>37927340.137363829</v>
      </c>
    </row>
    <row r="350" spans="1:10" x14ac:dyDescent="0.3">
      <c r="A350" t="s">
        <v>1363</v>
      </c>
      <c r="B350" t="s">
        <v>645</v>
      </c>
      <c r="C350" t="s">
        <v>796</v>
      </c>
      <c r="D350" t="s">
        <v>796</v>
      </c>
      <c r="E350">
        <v>49187</v>
      </c>
      <c r="F350">
        <v>38664</v>
      </c>
      <c r="G350">
        <v>10523</v>
      </c>
      <c r="H350">
        <v>3.7388634666211189</v>
      </c>
      <c r="I350">
        <v>8707977.406740196</v>
      </c>
      <c r="J350">
        <v>254845272.22283539</v>
      </c>
    </row>
    <row r="351" spans="1:10" x14ac:dyDescent="0.3">
      <c r="A351" t="s">
        <v>1364</v>
      </c>
      <c r="B351" t="s">
        <v>579</v>
      </c>
      <c r="C351" t="s">
        <v>596</v>
      </c>
      <c r="D351" t="s">
        <v>597</v>
      </c>
      <c r="E351">
        <v>17378</v>
      </c>
      <c r="F351">
        <v>3328</v>
      </c>
      <c r="G351">
        <v>14050</v>
      </c>
      <c r="H351">
        <v>1.5181792447094391</v>
      </c>
      <c r="I351">
        <v>496453.859375</v>
      </c>
      <c r="J351">
        <v>138363257.0630697</v>
      </c>
    </row>
    <row r="352" spans="1:10" x14ac:dyDescent="0.3">
      <c r="A352" t="s">
        <v>1365</v>
      </c>
      <c r="B352" t="s">
        <v>184</v>
      </c>
      <c r="C352" t="s">
        <v>220</v>
      </c>
      <c r="D352" t="s">
        <v>222</v>
      </c>
      <c r="E352">
        <v>1941</v>
      </c>
      <c r="F352">
        <v>114</v>
      </c>
      <c r="G352">
        <v>1827</v>
      </c>
      <c r="H352">
        <v>0.83285142787500288</v>
      </c>
      <c r="I352">
        <v>150928.25723039219</v>
      </c>
      <c r="J352">
        <v>84817419.47465466</v>
      </c>
    </row>
    <row r="353" spans="1:10" x14ac:dyDescent="0.3">
      <c r="A353" t="s">
        <v>1366</v>
      </c>
      <c r="B353" t="s">
        <v>13</v>
      </c>
      <c r="C353" t="s">
        <v>48</v>
      </c>
      <c r="D353" t="s">
        <v>50</v>
      </c>
      <c r="E353">
        <v>1388</v>
      </c>
      <c r="F353">
        <v>397</v>
      </c>
      <c r="G353">
        <v>991</v>
      </c>
      <c r="H353">
        <v>0.87060322900523635</v>
      </c>
      <c r="I353">
        <v>1944.1741421568629</v>
      </c>
      <c r="J353">
        <v>154489740.52742019</v>
      </c>
    </row>
    <row r="354" spans="1:10" x14ac:dyDescent="0.3">
      <c r="A354" t="s">
        <v>1367</v>
      </c>
      <c r="B354" t="s">
        <v>723</v>
      </c>
      <c r="C354" t="s">
        <v>732</v>
      </c>
      <c r="D354" t="s">
        <v>732</v>
      </c>
      <c r="E354">
        <v>14873</v>
      </c>
      <c r="F354">
        <v>5634</v>
      </c>
      <c r="G354">
        <v>9239</v>
      </c>
      <c r="H354">
        <v>0.79098112599467751</v>
      </c>
      <c r="I354">
        <v>1986366.109375</v>
      </c>
      <c r="J354">
        <v>979326879.88451958</v>
      </c>
    </row>
    <row r="355" spans="1:10" x14ac:dyDescent="0.3">
      <c r="A355" t="s">
        <v>1368</v>
      </c>
      <c r="B355" t="s">
        <v>915</v>
      </c>
      <c r="C355" t="s">
        <v>949</v>
      </c>
      <c r="D355" t="s">
        <v>950</v>
      </c>
      <c r="E355">
        <v>6739</v>
      </c>
      <c r="F355">
        <v>1513</v>
      </c>
      <c r="G355">
        <v>5226</v>
      </c>
      <c r="H355">
        <v>0.90336429884032021</v>
      </c>
      <c r="I355">
        <v>496651.59375</v>
      </c>
      <c r="J355">
        <v>1108590008.749454</v>
      </c>
    </row>
    <row r="356" spans="1:10" x14ac:dyDescent="0.3">
      <c r="A356" t="s">
        <v>1369</v>
      </c>
      <c r="B356" t="s">
        <v>823</v>
      </c>
      <c r="C356" t="s">
        <v>824</v>
      </c>
      <c r="D356" t="s">
        <v>824</v>
      </c>
      <c r="E356">
        <v>187137</v>
      </c>
      <c r="F356">
        <v>164186</v>
      </c>
      <c r="G356">
        <v>22951</v>
      </c>
      <c r="H356">
        <v>49.79970432839248</v>
      </c>
      <c r="I356">
        <v>46779558.402696073</v>
      </c>
      <c r="J356">
        <v>47034175.994357944</v>
      </c>
    </row>
    <row r="357" spans="1:10" x14ac:dyDescent="0.3">
      <c r="A357" t="s">
        <v>1370</v>
      </c>
      <c r="B357" t="s">
        <v>341</v>
      </c>
      <c r="C357" t="s">
        <v>341</v>
      </c>
      <c r="D357" t="s">
        <v>348</v>
      </c>
      <c r="E357">
        <v>6395</v>
      </c>
      <c r="F357">
        <v>2948</v>
      </c>
      <c r="G357">
        <v>3447</v>
      </c>
      <c r="H357">
        <v>5.5079910488289752</v>
      </c>
      <c r="I357">
        <v>1986337.265625</v>
      </c>
      <c r="J357">
        <v>73037283.394602761</v>
      </c>
    </row>
    <row r="358" spans="1:10" x14ac:dyDescent="0.3">
      <c r="A358" t="s">
        <v>1371</v>
      </c>
      <c r="B358" t="s">
        <v>280</v>
      </c>
      <c r="C358" t="s">
        <v>339</v>
      </c>
      <c r="D358" t="s">
        <v>207</v>
      </c>
      <c r="E358">
        <v>3275</v>
      </c>
      <c r="F358">
        <v>2322</v>
      </c>
      <c r="G358">
        <v>953</v>
      </c>
      <c r="H358">
        <v>1.018952407026809</v>
      </c>
      <c r="I358">
        <v>991195.25</v>
      </c>
      <c r="J358">
        <v>108149666.15886401</v>
      </c>
    </row>
    <row r="359" spans="1:10" x14ac:dyDescent="0.3">
      <c r="A359" t="s">
        <v>1372</v>
      </c>
      <c r="B359" t="s">
        <v>645</v>
      </c>
      <c r="C359" t="s">
        <v>802</v>
      </c>
      <c r="D359" t="s">
        <v>803</v>
      </c>
      <c r="E359">
        <v>32808</v>
      </c>
      <c r="F359">
        <v>26241</v>
      </c>
      <c r="G359">
        <v>6567</v>
      </c>
      <c r="H359">
        <v>1.9380196765538229</v>
      </c>
      <c r="I359">
        <v>2940849.994240196</v>
      </c>
      <c r="J359">
        <v>392909735.18197</v>
      </c>
    </row>
    <row r="360" spans="1:10" x14ac:dyDescent="0.3">
      <c r="A360" t="s">
        <v>1373</v>
      </c>
      <c r="B360" t="s">
        <v>645</v>
      </c>
      <c r="C360" t="s">
        <v>765</v>
      </c>
      <c r="D360" t="s">
        <v>786</v>
      </c>
      <c r="E360">
        <v>23142</v>
      </c>
      <c r="F360">
        <v>17585</v>
      </c>
      <c r="G360">
        <v>5557</v>
      </c>
      <c r="H360">
        <v>3.238849884199285</v>
      </c>
      <c r="I360">
        <v>5418343.115196079</v>
      </c>
      <c r="J360">
        <v>254315779.3372232</v>
      </c>
    </row>
    <row r="361" spans="1:10" x14ac:dyDescent="0.3">
      <c r="A361" t="s">
        <v>1374</v>
      </c>
      <c r="B361" t="s">
        <v>13</v>
      </c>
      <c r="C361" t="s">
        <v>14</v>
      </c>
      <c r="D361" t="s">
        <v>27</v>
      </c>
      <c r="E361">
        <v>10728</v>
      </c>
      <c r="F361">
        <v>7651</v>
      </c>
      <c r="G361">
        <v>3077</v>
      </c>
      <c r="H361">
        <v>2.1640428207633762</v>
      </c>
      <c r="I361">
        <v>3214508.7770220591</v>
      </c>
      <c r="J361">
        <v>204188873.02618241</v>
      </c>
    </row>
    <row r="362" spans="1:10" x14ac:dyDescent="0.3">
      <c r="A362" t="s">
        <v>1375</v>
      </c>
      <c r="B362" t="s">
        <v>645</v>
      </c>
      <c r="C362" t="s">
        <v>815</v>
      </c>
      <c r="D362" t="s">
        <v>817</v>
      </c>
      <c r="E362">
        <v>4384</v>
      </c>
      <c r="F362">
        <v>3494</v>
      </c>
      <c r="G362">
        <v>890</v>
      </c>
      <c r="H362">
        <v>3.5039059611286971</v>
      </c>
      <c r="I362">
        <v>25319.07720588236</v>
      </c>
      <c r="J362">
        <v>35987760.846254677</v>
      </c>
    </row>
    <row r="363" spans="1:10" x14ac:dyDescent="0.3">
      <c r="A363" t="s">
        <v>1376</v>
      </c>
      <c r="B363" t="s">
        <v>823</v>
      </c>
      <c r="C363" t="s">
        <v>848</v>
      </c>
      <c r="D363" t="s">
        <v>848</v>
      </c>
      <c r="E363">
        <v>14399</v>
      </c>
      <c r="F363">
        <v>6207</v>
      </c>
      <c r="G363">
        <v>8192</v>
      </c>
      <c r="H363">
        <v>4.3358789573094354</v>
      </c>
      <c r="I363">
        <v>2336527.9207107839</v>
      </c>
      <c r="J363">
        <v>94450644.164688259</v>
      </c>
    </row>
    <row r="364" spans="1:10" x14ac:dyDescent="0.3">
      <c r="A364" t="s">
        <v>1377</v>
      </c>
      <c r="B364" t="s">
        <v>823</v>
      </c>
      <c r="C364" t="s">
        <v>824</v>
      </c>
      <c r="D364" t="s">
        <v>834</v>
      </c>
      <c r="E364">
        <v>10766</v>
      </c>
      <c r="F364">
        <v>4723</v>
      </c>
      <c r="G364">
        <v>6043</v>
      </c>
      <c r="H364">
        <v>2.2791094880266121</v>
      </c>
      <c r="I364">
        <v>7931972.7018995089</v>
      </c>
      <c r="J364">
        <v>122148437.3872254</v>
      </c>
    </row>
    <row r="365" spans="1:10" x14ac:dyDescent="0.3">
      <c r="A365" t="s">
        <v>1378</v>
      </c>
      <c r="B365" t="s">
        <v>399</v>
      </c>
      <c r="C365" t="s">
        <v>422</v>
      </c>
      <c r="D365" t="s">
        <v>422</v>
      </c>
      <c r="E365">
        <v>51986</v>
      </c>
      <c r="F365">
        <v>30277</v>
      </c>
      <c r="G365">
        <v>21709</v>
      </c>
      <c r="H365">
        <v>1.6705284114522021</v>
      </c>
      <c r="I365">
        <v>1488378.59375</v>
      </c>
      <c r="J365">
        <v>601867837.41078603</v>
      </c>
    </row>
    <row r="366" spans="1:10" x14ac:dyDescent="0.3">
      <c r="A366" t="s">
        <v>1379</v>
      </c>
      <c r="B366" t="s">
        <v>823</v>
      </c>
      <c r="C366" t="s">
        <v>865</v>
      </c>
      <c r="D366" t="s">
        <v>865</v>
      </c>
      <c r="E366">
        <v>12674</v>
      </c>
      <c r="F366">
        <v>7551</v>
      </c>
      <c r="G366">
        <v>5123</v>
      </c>
      <c r="H366">
        <v>6.813210583023027</v>
      </c>
      <c r="I366">
        <v>2116540.1432598042</v>
      </c>
      <c r="J366">
        <v>48380459.52806621</v>
      </c>
    </row>
    <row r="367" spans="1:10" x14ac:dyDescent="0.3">
      <c r="A367" t="s">
        <v>1380</v>
      </c>
      <c r="B367" t="s">
        <v>867</v>
      </c>
      <c r="C367" t="s">
        <v>868</v>
      </c>
      <c r="D367" t="s">
        <v>868</v>
      </c>
      <c r="E367">
        <v>17741</v>
      </c>
      <c r="F367">
        <v>14274</v>
      </c>
      <c r="G367">
        <v>3467</v>
      </c>
      <c r="H367">
        <v>1.1850249453966</v>
      </c>
      <c r="I367">
        <v>1734026.71875</v>
      </c>
      <c r="J367">
        <v>395551253.34086227</v>
      </c>
    </row>
    <row r="368" spans="1:10" x14ac:dyDescent="0.3">
      <c r="A368" t="s">
        <v>1381</v>
      </c>
      <c r="B368" t="s">
        <v>13</v>
      </c>
      <c r="C368" t="s">
        <v>75</v>
      </c>
      <c r="D368" t="s">
        <v>77</v>
      </c>
      <c r="E368">
        <v>966</v>
      </c>
      <c r="F368">
        <v>522</v>
      </c>
      <c r="G368">
        <v>444</v>
      </c>
      <c r="H368">
        <v>1.1682915738395609</v>
      </c>
      <c r="I368">
        <v>4860.4129901960787</v>
      </c>
      <c r="J368">
        <v>72153206.242964998</v>
      </c>
    </row>
    <row r="369" spans="1:10" x14ac:dyDescent="0.3">
      <c r="A369" t="s">
        <v>1382</v>
      </c>
      <c r="B369" t="s">
        <v>399</v>
      </c>
      <c r="C369" t="s">
        <v>416</v>
      </c>
      <c r="D369" t="s">
        <v>417</v>
      </c>
      <c r="E369">
        <v>50926</v>
      </c>
      <c r="F369">
        <v>20067</v>
      </c>
      <c r="G369">
        <v>30859</v>
      </c>
      <c r="H369">
        <v>3.5865226379132169</v>
      </c>
      <c r="I369">
        <v>5710582.28125</v>
      </c>
      <c r="J369">
        <v>147977706.3676658</v>
      </c>
    </row>
    <row r="370" spans="1:10" x14ac:dyDescent="0.3">
      <c r="A370" t="s">
        <v>1383</v>
      </c>
      <c r="B370" t="s">
        <v>225</v>
      </c>
      <c r="C370" t="s">
        <v>226</v>
      </c>
      <c r="D370" t="s">
        <v>232</v>
      </c>
      <c r="E370">
        <v>6776</v>
      </c>
      <c r="F370">
        <v>1368</v>
      </c>
      <c r="G370">
        <v>5408</v>
      </c>
      <c r="H370">
        <v>2.1451965195115799</v>
      </c>
      <c r="I370">
        <v>3115738.479656863</v>
      </c>
      <c r="J370">
        <v>60036570.93130374</v>
      </c>
    </row>
    <row r="371" spans="1:10" x14ac:dyDescent="0.3">
      <c r="A371" t="s">
        <v>1384</v>
      </c>
      <c r="B371" t="s">
        <v>605</v>
      </c>
      <c r="C371" t="s">
        <v>90</v>
      </c>
      <c r="D371" t="s">
        <v>471</v>
      </c>
      <c r="E371">
        <v>3552</v>
      </c>
      <c r="F371">
        <v>740</v>
      </c>
      <c r="G371">
        <v>2812</v>
      </c>
      <c r="H371">
        <v>0.87128715065324525</v>
      </c>
      <c r="I371">
        <v>951290.42457107839</v>
      </c>
      <c r="J371">
        <v>97656972.936622113</v>
      </c>
    </row>
    <row r="372" spans="1:10" x14ac:dyDescent="0.3">
      <c r="A372" t="s">
        <v>1385</v>
      </c>
      <c r="B372" t="s">
        <v>605</v>
      </c>
      <c r="C372" t="s">
        <v>665</v>
      </c>
      <c r="D372" t="s">
        <v>665</v>
      </c>
      <c r="E372">
        <v>29754</v>
      </c>
      <c r="F372">
        <v>13078</v>
      </c>
      <c r="G372">
        <v>16676</v>
      </c>
      <c r="H372">
        <v>9.7994597641732248</v>
      </c>
      <c r="I372">
        <v>9108909.3975490164</v>
      </c>
      <c r="J372">
        <v>96508042.56701228</v>
      </c>
    </row>
    <row r="373" spans="1:10" x14ac:dyDescent="0.3">
      <c r="A373" t="s">
        <v>1386</v>
      </c>
      <c r="B373" t="s">
        <v>399</v>
      </c>
      <c r="C373" t="s">
        <v>400</v>
      </c>
      <c r="D373" t="s">
        <v>404</v>
      </c>
      <c r="E373">
        <v>15244</v>
      </c>
      <c r="F373">
        <v>1035</v>
      </c>
      <c r="G373">
        <v>14209</v>
      </c>
      <c r="H373">
        <v>1.0303865884803911</v>
      </c>
      <c r="I373">
        <v>3549562.2768995101</v>
      </c>
      <c r="J373">
        <v>2212268439.9646978</v>
      </c>
    </row>
    <row r="374" spans="1:10" x14ac:dyDescent="0.3">
      <c r="A374" t="s">
        <v>1387</v>
      </c>
      <c r="B374" t="s">
        <v>13</v>
      </c>
      <c r="C374" t="s">
        <v>14</v>
      </c>
      <c r="D374" t="s">
        <v>15</v>
      </c>
      <c r="E374">
        <v>21783</v>
      </c>
      <c r="F374">
        <v>15591</v>
      </c>
      <c r="G374">
        <v>6192</v>
      </c>
      <c r="H374">
        <v>2.126416818619846</v>
      </c>
      <c r="I374">
        <v>2371198.6125612748</v>
      </c>
      <c r="J374">
        <v>251442841.82870281</v>
      </c>
    </row>
    <row r="375" spans="1:10" x14ac:dyDescent="0.3">
      <c r="A375" t="s">
        <v>1388</v>
      </c>
      <c r="B375" t="s">
        <v>605</v>
      </c>
      <c r="C375" t="s">
        <v>638</v>
      </c>
      <c r="D375" t="s">
        <v>639</v>
      </c>
      <c r="E375">
        <v>3079</v>
      </c>
      <c r="F375">
        <v>35</v>
      </c>
      <c r="G375">
        <v>3044</v>
      </c>
      <c r="H375">
        <v>1.7019203166136421</v>
      </c>
      <c r="I375">
        <v>993125.140625</v>
      </c>
      <c r="J375">
        <v>106422326.7346554</v>
      </c>
    </row>
    <row r="376" spans="1:10" x14ac:dyDescent="0.3">
      <c r="A376" t="s">
        <v>1389</v>
      </c>
      <c r="B376" t="s">
        <v>13</v>
      </c>
      <c r="C376" t="s">
        <v>64</v>
      </c>
      <c r="D376" t="s">
        <v>65</v>
      </c>
      <c r="E376">
        <v>4194</v>
      </c>
      <c r="F376">
        <v>3149</v>
      </c>
      <c r="G376">
        <v>1045</v>
      </c>
      <c r="H376">
        <v>3.4603094491336139</v>
      </c>
      <c r="I376">
        <v>56395.636029411769</v>
      </c>
      <c r="J376">
        <v>62429820.4129299</v>
      </c>
    </row>
    <row r="377" spans="1:10" x14ac:dyDescent="0.3">
      <c r="A377" t="s">
        <v>1390</v>
      </c>
      <c r="B377" t="s">
        <v>399</v>
      </c>
      <c r="C377" t="s">
        <v>439</v>
      </c>
      <c r="D377" t="s">
        <v>439</v>
      </c>
      <c r="E377">
        <v>32913</v>
      </c>
      <c r="F377">
        <v>16685</v>
      </c>
      <c r="G377">
        <v>16228</v>
      </c>
      <c r="H377">
        <v>4.444080250514622</v>
      </c>
      <c r="I377">
        <v>1737150.9375</v>
      </c>
      <c r="J377">
        <v>277261853.80029571</v>
      </c>
    </row>
    <row r="378" spans="1:10" x14ac:dyDescent="0.3">
      <c r="A378" t="s">
        <v>1391</v>
      </c>
      <c r="B378" t="s">
        <v>225</v>
      </c>
      <c r="C378" t="s">
        <v>271</v>
      </c>
      <c r="D378" t="s">
        <v>271</v>
      </c>
      <c r="E378">
        <v>11732</v>
      </c>
      <c r="F378">
        <v>4128</v>
      </c>
      <c r="G378">
        <v>7604</v>
      </c>
      <c r="H378">
        <v>0.94451939504351756</v>
      </c>
      <c r="I378">
        <v>992716.125</v>
      </c>
      <c r="J378">
        <v>380092591.19016892</v>
      </c>
    </row>
    <row r="379" spans="1:10" x14ac:dyDescent="0.3">
      <c r="A379" t="s">
        <v>1392</v>
      </c>
      <c r="B379" t="s">
        <v>453</v>
      </c>
      <c r="C379" t="s">
        <v>466</v>
      </c>
      <c r="D379" t="s">
        <v>468</v>
      </c>
      <c r="E379">
        <v>5476</v>
      </c>
      <c r="F379">
        <v>1916</v>
      </c>
      <c r="G379">
        <v>3560</v>
      </c>
      <c r="H379">
        <v>1.076770976649071</v>
      </c>
      <c r="I379">
        <v>169443.51360294121</v>
      </c>
      <c r="J379">
        <v>229476508.38396201</v>
      </c>
    </row>
    <row r="380" spans="1:10" x14ac:dyDescent="0.3">
      <c r="A380" t="s">
        <v>1393</v>
      </c>
      <c r="B380" t="s">
        <v>13</v>
      </c>
      <c r="C380" t="s">
        <v>14</v>
      </c>
      <c r="D380" t="s">
        <v>29</v>
      </c>
      <c r="E380">
        <v>10351</v>
      </c>
      <c r="F380">
        <v>7347</v>
      </c>
      <c r="G380">
        <v>3004</v>
      </c>
      <c r="H380">
        <v>1.4067100174317291</v>
      </c>
      <c r="I380">
        <v>213006.96838235299</v>
      </c>
      <c r="J380">
        <v>279737882.7429893</v>
      </c>
    </row>
    <row r="381" spans="1:10" x14ac:dyDescent="0.3">
      <c r="A381" t="s">
        <v>1394</v>
      </c>
      <c r="B381" t="s">
        <v>667</v>
      </c>
      <c r="C381" t="s">
        <v>702</v>
      </c>
      <c r="D381" t="s">
        <v>702</v>
      </c>
      <c r="E381">
        <v>16277</v>
      </c>
      <c r="F381">
        <v>9056</v>
      </c>
      <c r="G381">
        <v>7221</v>
      </c>
      <c r="H381">
        <v>1.0853586620093709</v>
      </c>
      <c r="I381">
        <v>496208.46875</v>
      </c>
      <c r="J381">
        <v>718958547.49397612</v>
      </c>
    </row>
    <row r="382" spans="1:10" x14ac:dyDescent="0.3">
      <c r="A382" t="s">
        <v>1395</v>
      </c>
      <c r="B382" t="s">
        <v>184</v>
      </c>
      <c r="C382" t="s">
        <v>185</v>
      </c>
      <c r="D382" t="s">
        <v>186</v>
      </c>
      <c r="E382">
        <v>7957</v>
      </c>
      <c r="F382">
        <v>4451</v>
      </c>
      <c r="G382">
        <v>3506</v>
      </c>
      <c r="H382">
        <v>1.673266408127752</v>
      </c>
      <c r="I382">
        <v>3470340.9033088242</v>
      </c>
      <c r="J382">
        <v>144180861.38840449</v>
      </c>
    </row>
    <row r="383" spans="1:10" x14ac:dyDescent="0.3">
      <c r="A383" t="s">
        <v>1396</v>
      </c>
      <c r="B383" t="s">
        <v>341</v>
      </c>
      <c r="C383" t="s">
        <v>95</v>
      </c>
      <c r="D383" t="s">
        <v>95</v>
      </c>
      <c r="E383">
        <v>32117</v>
      </c>
      <c r="F383">
        <v>10318</v>
      </c>
      <c r="G383">
        <v>21799</v>
      </c>
      <c r="H383">
        <v>2.11494034330387</v>
      </c>
      <c r="I383">
        <v>1241324.703125</v>
      </c>
      <c r="J383">
        <v>248304339.2913247</v>
      </c>
    </row>
    <row r="384" spans="1:10" x14ac:dyDescent="0.3">
      <c r="A384" t="s">
        <v>1397</v>
      </c>
      <c r="B384" t="s">
        <v>605</v>
      </c>
      <c r="C384" t="s">
        <v>28</v>
      </c>
      <c r="D384" t="s">
        <v>647</v>
      </c>
      <c r="E384">
        <v>24500</v>
      </c>
      <c r="F384">
        <v>10080</v>
      </c>
      <c r="G384">
        <v>14420</v>
      </c>
      <c r="H384">
        <v>1.769240191146489</v>
      </c>
      <c r="I384">
        <v>3227541.28125</v>
      </c>
      <c r="J384">
        <v>293020483.75270581</v>
      </c>
    </row>
    <row r="385" spans="1:10" x14ac:dyDescent="0.3">
      <c r="A385" t="s">
        <v>1398</v>
      </c>
      <c r="B385" t="s">
        <v>723</v>
      </c>
      <c r="C385" t="s">
        <v>736</v>
      </c>
      <c r="D385" t="s">
        <v>737</v>
      </c>
      <c r="E385">
        <v>519</v>
      </c>
      <c r="F385">
        <v>70</v>
      </c>
      <c r="G385">
        <v>449</v>
      </c>
      <c r="H385">
        <v>0.55338181985514523</v>
      </c>
      <c r="I385">
        <v>417770.14632352942</v>
      </c>
      <c r="J385">
        <v>1929913701.823293</v>
      </c>
    </row>
    <row r="386" spans="1:10" x14ac:dyDescent="0.3">
      <c r="A386" t="s">
        <v>1399</v>
      </c>
      <c r="B386" t="s">
        <v>605</v>
      </c>
      <c r="C386" t="s">
        <v>636</v>
      </c>
      <c r="D386" t="s">
        <v>95</v>
      </c>
      <c r="E386">
        <v>5438</v>
      </c>
      <c r="F386">
        <v>628</v>
      </c>
      <c r="G386">
        <v>4810</v>
      </c>
      <c r="H386">
        <v>1.6230173958176961</v>
      </c>
      <c r="I386">
        <v>3503254.8737745099</v>
      </c>
      <c r="J386">
        <v>162043794.28649461</v>
      </c>
    </row>
    <row r="387" spans="1:10" x14ac:dyDescent="0.3">
      <c r="A387" t="s">
        <v>1400</v>
      </c>
      <c r="B387" t="s">
        <v>492</v>
      </c>
      <c r="C387" t="s">
        <v>515</v>
      </c>
      <c r="D387" t="s">
        <v>515</v>
      </c>
      <c r="E387">
        <v>6677</v>
      </c>
      <c r="F387">
        <v>4068</v>
      </c>
      <c r="G387">
        <v>2609</v>
      </c>
      <c r="H387">
        <v>0.87844730764429646</v>
      </c>
      <c r="I387">
        <v>1238526.453125</v>
      </c>
      <c r="J387">
        <v>238476582.3791258</v>
      </c>
    </row>
    <row r="388" spans="1:10" x14ac:dyDescent="0.3">
      <c r="A388" t="s">
        <v>1401</v>
      </c>
      <c r="B388" t="s">
        <v>645</v>
      </c>
      <c r="C388" t="s">
        <v>765</v>
      </c>
      <c r="D388" t="s">
        <v>787</v>
      </c>
      <c r="E388">
        <v>23239</v>
      </c>
      <c r="F388">
        <v>14781</v>
      </c>
      <c r="G388">
        <v>8458</v>
      </c>
      <c r="H388">
        <v>1.561792242322096</v>
      </c>
      <c r="I388">
        <v>1489927.984375</v>
      </c>
      <c r="J388">
        <v>486515784.24552959</v>
      </c>
    </row>
    <row r="389" spans="1:10" x14ac:dyDescent="0.3">
      <c r="A389" t="s">
        <v>1402</v>
      </c>
      <c r="B389" t="s">
        <v>184</v>
      </c>
      <c r="C389" t="s">
        <v>185</v>
      </c>
      <c r="D389" t="s">
        <v>192</v>
      </c>
      <c r="E389">
        <v>4960</v>
      </c>
      <c r="F389">
        <v>1166</v>
      </c>
      <c r="G389">
        <v>3794</v>
      </c>
      <c r="H389">
        <v>1.997449787158585</v>
      </c>
      <c r="I389">
        <v>1141196.1680759799</v>
      </c>
      <c r="J389">
        <v>76118779.69844684</v>
      </c>
    </row>
    <row r="390" spans="1:10" x14ac:dyDescent="0.3">
      <c r="A390" t="s">
        <v>1403</v>
      </c>
      <c r="B390" t="s">
        <v>13</v>
      </c>
      <c r="C390" t="s">
        <v>36</v>
      </c>
      <c r="D390" t="s">
        <v>36</v>
      </c>
      <c r="E390">
        <v>8434</v>
      </c>
      <c r="F390">
        <v>5457</v>
      </c>
      <c r="G390">
        <v>2977</v>
      </c>
      <c r="H390">
        <v>1.763335149157611</v>
      </c>
      <c r="I390">
        <v>2231627.4375</v>
      </c>
      <c r="J390">
        <v>239518819.46180749</v>
      </c>
    </row>
    <row r="391" spans="1:10" x14ac:dyDescent="0.3">
      <c r="A391" t="s">
        <v>1404</v>
      </c>
      <c r="B391" t="s">
        <v>341</v>
      </c>
      <c r="C391" t="s">
        <v>373</v>
      </c>
      <c r="D391" t="s">
        <v>374</v>
      </c>
      <c r="E391">
        <v>55614</v>
      </c>
      <c r="F391">
        <v>21446</v>
      </c>
      <c r="G391">
        <v>34168</v>
      </c>
      <c r="H391">
        <v>1.4885544001467641</v>
      </c>
      <c r="I391">
        <v>1241612.0625</v>
      </c>
      <c r="J391">
        <v>1021275146.89344</v>
      </c>
    </row>
    <row r="392" spans="1:10" x14ac:dyDescent="0.3">
      <c r="A392" t="s">
        <v>1405</v>
      </c>
      <c r="B392" t="s">
        <v>645</v>
      </c>
      <c r="C392" t="s">
        <v>765</v>
      </c>
      <c r="D392" t="s">
        <v>768</v>
      </c>
      <c r="E392">
        <v>43150</v>
      </c>
      <c r="F392">
        <v>32488</v>
      </c>
      <c r="G392">
        <v>10662</v>
      </c>
      <c r="H392">
        <v>9.4114939036594745</v>
      </c>
      <c r="I392">
        <v>5163149.6766544124</v>
      </c>
      <c r="J392">
        <v>56377558.010918632</v>
      </c>
    </row>
    <row r="393" spans="1:10" x14ac:dyDescent="0.3">
      <c r="A393" t="s">
        <v>1406</v>
      </c>
      <c r="B393" t="s">
        <v>579</v>
      </c>
      <c r="C393" t="s">
        <v>599</v>
      </c>
      <c r="D393" t="s">
        <v>600</v>
      </c>
      <c r="E393">
        <v>59389</v>
      </c>
      <c r="F393">
        <v>31688</v>
      </c>
      <c r="G393">
        <v>27701</v>
      </c>
      <c r="H393">
        <v>1.842753650841841</v>
      </c>
      <c r="I393">
        <v>7195761.2194852941</v>
      </c>
      <c r="J393">
        <v>414927824.12271118</v>
      </c>
    </row>
    <row r="394" spans="1:10" x14ac:dyDescent="0.3">
      <c r="A394" t="s">
        <v>1407</v>
      </c>
      <c r="B394" t="s">
        <v>915</v>
      </c>
      <c r="C394" t="s">
        <v>924</v>
      </c>
      <c r="D394" t="s">
        <v>926</v>
      </c>
      <c r="E394">
        <v>1063</v>
      </c>
      <c r="F394">
        <v>422</v>
      </c>
      <c r="G394">
        <v>641</v>
      </c>
      <c r="H394">
        <v>0.58634077770451076</v>
      </c>
      <c r="I394">
        <v>993305.28125</v>
      </c>
      <c r="J394">
        <v>985553361.84256399</v>
      </c>
    </row>
    <row r="395" spans="1:10" x14ac:dyDescent="0.3">
      <c r="A395" t="s">
        <v>1408</v>
      </c>
      <c r="B395" t="s">
        <v>952</v>
      </c>
      <c r="C395" t="s">
        <v>977</v>
      </c>
      <c r="D395" t="s">
        <v>978</v>
      </c>
      <c r="E395">
        <v>5863</v>
      </c>
      <c r="F395">
        <v>688</v>
      </c>
      <c r="G395">
        <v>5175</v>
      </c>
      <c r="H395">
        <v>0.70362513376039337</v>
      </c>
      <c r="I395">
        <v>196699.41850490199</v>
      </c>
      <c r="J395">
        <v>331310206.39121151</v>
      </c>
    </row>
    <row r="396" spans="1:10" x14ac:dyDescent="0.3">
      <c r="A396" t="s">
        <v>1409</v>
      </c>
      <c r="B396" t="s">
        <v>952</v>
      </c>
      <c r="C396" t="s">
        <v>964</v>
      </c>
      <c r="D396" t="s">
        <v>965</v>
      </c>
      <c r="E396">
        <v>3659</v>
      </c>
      <c r="F396">
        <v>1098</v>
      </c>
      <c r="G396">
        <v>2561</v>
      </c>
      <c r="H396">
        <v>0.62495055620893825</v>
      </c>
      <c r="I396">
        <v>248303.796875</v>
      </c>
      <c r="J396">
        <v>1741295690.6669919</v>
      </c>
    </row>
    <row r="397" spans="1:10" x14ac:dyDescent="0.3">
      <c r="A397" t="s">
        <v>1410</v>
      </c>
      <c r="B397" t="s">
        <v>184</v>
      </c>
      <c r="C397" t="s">
        <v>185</v>
      </c>
      <c r="D397" t="s">
        <v>185</v>
      </c>
      <c r="E397">
        <v>125524</v>
      </c>
      <c r="F397">
        <v>90652</v>
      </c>
      <c r="G397">
        <v>34872</v>
      </c>
      <c r="H397">
        <v>7.1420456641221044</v>
      </c>
      <c r="I397">
        <v>91977951.313419119</v>
      </c>
      <c r="J397">
        <v>266340098.35864449</v>
      </c>
    </row>
    <row r="398" spans="1:10" x14ac:dyDescent="0.3">
      <c r="A398" t="s">
        <v>1411</v>
      </c>
      <c r="B398" t="s">
        <v>823</v>
      </c>
      <c r="C398" t="s">
        <v>839</v>
      </c>
      <c r="D398" t="s">
        <v>15</v>
      </c>
      <c r="E398">
        <v>15917</v>
      </c>
      <c r="F398">
        <v>13264</v>
      </c>
      <c r="G398">
        <v>2653</v>
      </c>
      <c r="H398">
        <v>3.9245217221942261</v>
      </c>
      <c r="I398">
        <v>2234286.359375</v>
      </c>
      <c r="J398">
        <v>84056930.649310797</v>
      </c>
    </row>
    <row r="399" spans="1:10" x14ac:dyDescent="0.3">
      <c r="A399" t="s">
        <v>1412</v>
      </c>
      <c r="B399" t="s">
        <v>399</v>
      </c>
      <c r="C399" t="s">
        <v>366</v>
      </c>
      <c r="D399" t="s">
        <v>414</v>
      </c>
      <c r="E399">
        <v>9695</v>
      </c>
      <c r="F399">
        <v>252</v>
      </c>
      <c r="G399">
        <v>9443</v>
      </c>
      <c r="H399">
        <v>3.7629199832373179</v>
      </c>
      <c r="I399">
        <v>343558.91348039208</v>
      </c>
      <c r="J399">
        <v>121734914.8096883</v>
      </c>
    </row>
    <row r="400" spans="1:10" x14ac:dyDescent="0.3">
      <c r="A400" t="s">
        <v>1413</v>
      </c>
      <c r="B400" t="s">
        <v>823</v>
      </c>
      <c r="C400" t="s">
        <v>850</v>
      </c>
      <c r="D400" t="s">
        <v>854</v>
      </c>
      <c r="E400">
        <v>2844</v>
      </c>
      <c r="F400">
        <v>309</v>
      </c>
      <c r="G400">
        <v>2535</v>
      </c>
      <c r="H400">
        <v>5.3776237636739159</v>
      </c>
      <c r="I400">
        <v>12656.756188725491</v>
      </c>
      <c r="J400">
        <v>15998355.58944915</v>
      </c>
    </row>
    <row r="401" spans="1:10" x14ac:dyDescent="0.3">
      <c r="A401" t="s">
        <v>1414</v>
      </c>
      <c r="B401" t="s">
        <v>399</v>
      </c>
      <c r="C401" t="s">
        <v>448</v>
      </c>
      <c r="D401" t="s">
        <v>449</v>
      </c>
      <c r="E401">
        <v>23753</v>
      </c>
      <c r="F401">
        <v>12198</v>
      </c>
      <c r="G401">
        <v>11555</v>
      </c>
      <c r="H401">
        <v>4.4334527150109526</v>
      </c>
      <c r="I401">
        <v>1950487.53125</v>
      </c>
      <c r="J401">
        <v>134677621.7439625</v>
      </c>
    </row>
    <row r="402" spans="1:10" x14ac:dyDescent="0.3">
      <c r="A402" t="s">
        <v>1415</v>
      </c>
      <c r="B402" t="s">
        <v>915</v>
      </c>
      <c r="C402" t="s">
        <v>924</v>
      </c>
      <c r="D402" t="s">
        <v>925</v>
      </c>
      <c r="E402">
        <v>4159</v>
      </c>
      <c r="F402">
        <v>2671</v>
      </c>
      <c r="G402">
        <v>1488</v>
      </c>
      <c r="H402">
        <v>0.78094592644511573</v>
      </c>
      <c r="I402">
        <v>744005.18682598043</v>
      </c>
      <c r="J402">
        <v>246794938.88758329</v>
      </c>
    </row>
    <row r="403" spans="1:10" x14ac:dyDescent="0.3">
      <c r="A403" t="s">
        <v>1416</v>
      </c>
      <c r="B403" t="s">
        <v>579</v>
      </c>
      <c r="C403" t="s">
        <v>603</v>
      </c>
      <c r="D403" t="s">
        <v>603</v>
      </c>
      <c r="E403">
        <v>42023</v>
      </c>
      <c r="F403">
        <v>10918</v>
      </c>
      <c r="G403">
        <v>31105</v>
      </c>
      <c r="H403">
        <v>1.4425900576694941</v>
      </c>
      <c r="I403">
        <v>1241372.65625</v>
      </c>
      <c r="J403">
        <v>565602867.36832094</v>
      </c>
    </row>
    <row r="404" spans="1:10" x14ac:dyDescent="0.3">
      <c r="A404" t="s">
        <v>1417</v>
      </c>
      <c r="B404" t="s">
        <v>225</v>
      </c>
      <c r="C404" t="s">
        <v>226</v>
      </c>
      <c r="D404" t="s">
        <v>235</v>
      </c>
      <c r="E404">
        <v>4479</v>
      </c>
      <c r="F404">
        <v>931</v>
      </c>
      <c r="G404">
        <v>3548</v>
      </c>
      <c r="H404">
        <v>1.4493943352846519</v>
      </c>
      <c r="I404">
        <v>502290.59411764698</v>
      </c>
      <c r="J404">
        <v>135922102.73123449</v>
      </c>
    </row>
    <row r="405" spans="1:10" x14ac:dyDescent="0.3">
      <c r="A405" t="s">
        <v>1418</v>
      </c>
      <c r="B405" t="s">
        <v>605</v>
      </c>
      <c r="C405" t="s">
        <v>606</v>
      </c>
      <c r="D405" t="s">
        <v>608</v>
      </c>
      <c r="E405">
        <v>16985</v>
      </c>
      <c r="F405">
        <v>2892</v>
      </c>
      <c r="G405">
        <v>14093</v>
      </c>
      <c r="H405">
        <v>5.4792007814570347</v>
      </c>
      <c r="I405">
        <v>4409977.5375612751</v>
      </c>
      <c r="J405">
        <v>61886853.552497409</v>
      </c>
    </row>
    <row r="406" spans="1:10" x14ac:dyDescent="0.3">
      <c r="A406" t="s">
        <v>1419</v>
      </c>
      <c r="B406" t="s">
        <v>645</v>
      </c>
      <c r="C406" t="s">
        <v>802</v>
      </c>
      <c r="D406" t="s">
        <v>809</v>
      </c>
      <c r="E406">
        <v>6192</v>
      </c>
      <c r="F406">
        <v>4858</v>
      </c>
      <c r="G406">
        <v>1334</v>
      </c>
      <c r="H406">
        <v>9.3223013068664127</v>
      </c>
      <c r="I406">
        <v>18502.357169117651</v>
      </c>
      <c r="J406">
        <v>21076878.140606541</v>
      </c>
    </row>
    <row r="407" spans="1:10" x14ac:dyDescent="0.3">
      <c r="A407" t="s">
        <v>1420</v>
      </c>
      <c r="B407" t="s">
        <v>453</v>
      </c>
      <c r="C407" t="s">
        <v>466</v>
      </c>
      <c r="D407" t="s">
        <v>160</v>
      </c>
      <c r="E407">
        <v>11546</v>
      </c>
      <c r="F407">
        <v>1764</v>
      </c>
      <c r="G407">
        <v>9782</v>
      </c>
      <c r="H407">
        <v>0.67511605727884627</v>
      </c>
      <c r="I407">
        <v>228846.22549019611</v>
      </c>
      <c r="J407">
        <v>886281770.00175893</v>
      </c>
    </row>
    <row r="408" spans="1:10" x14ac:dyDescent="0.3">
      <c r="A408" t="s">
        <v>1421</v>
      </c>
      <c r="B408" t="s">
        <v>184</v>
      </c>
      <c r="C408" t="s">
        <v>204</v>
      </c>
      <c r="D408" t="s">
        <v>210</v>
      </c>
      <c r="E408">
        <v>6934</v>
      </c>
      <c r="F408">
        <v>376</v>
      </c>
      <c r="G408">
        <v>6558</v>
      </c>
      <c r="H408">
        <v>0.93118321249375358</v>
      </c>
      <c r="I408">
        <v>1440112.7147671571</v>
      </c>
      <c r="J408">
        <v>208803427.4539369</v>
      </c>
    </row>
    <row r="409" spans="1:10" x14ac:dyDescent="0.3">
      <c r="A409" t="s">
        <v>1422</v>
      </c>
      <c r="B409" t="s">
        <v>645</v>
      </c>
      <c r="C409" t="s">
        <v>802</v>
      </c>
      <c r="D409" t="s">
        <v>387</v>
      </c>
      <c r="E409">
        <v>9842</v>
      </c>
      <c r="F409">
        <v>7893</v>
      </c>
      <c r="G409">
        <v>1949</v>
      </c>
      <c r="H409">
        <v>3.8591361294807789</v>
      </c>
      <c r="I409">
        <v>1241601.078125</v>
      </c>
      <c r="J409">
        <v>50002336.075365268</v>
      </c>
    </row>
    <row r="410" spans="1:10" x14ac:dyDescent="0.3">
      <c r="A410" t="s">
        <v>1423</v>
      </c>
      <c r="B410" t="s">
        <v>579</v>
      </c>
      <c r="C410" t="s">
        <v>580</v>
      </c>
      <c r="D410" t="s">
        <v>583</v>
      </c>
      <c r="E410">
        <v>28135</v>
      </c>
      <c r="F410">
        <v>5570</v>
      </c>
      <c r="G410">
        <v>22565</v>
      </c>
      <c r="H410">
        <v>2.2217469705135122</v>
      </c>
      <c r="I410">
        <v>747543.18995098048</v>
      </c>
      <c r="J410">
        <v>279333626.444736</v>
      </c>
    </row>
    <row r="411" spans="1:10" x14ac:dyDescent="0.3">
      <c r="A411" t="s">
        <v>1424</v>
      </c>
      <c r="B411" t="s">
        <v>723</v>
      </c>
      <c r="C411" t="s">
        <v>724</v>
      </c>
      <c r="D411" t="s">
        <v>729</v>
      </c>
      <c r="E411">
        <v>7144</v>
      </c>
      <c r="F411">
        <v>1581</v>
      </c>
      <c r="G411">
        <v>5563</v>
      </c>
      <c r="H411">
        <v>1.36340393030343</v>
      </c>
      <c r="I411">
        <v>67183.710294117642</v>
      </c>
      <c r="J411">
        <v>223725852.82066491</v>
      </c>
    </row>
    <row r="412" spans="1:10" x14ac:dyDescent="0.3">
      <c r="A412" t="s">
        <v>1425</v>
      </c>
      <c r="B412" t="s">
        <v>605</v>
      </c>
      <c r="C412" t="s">
        <v>628</v>
      </c>
      <c r="D412" t="s">
        <v>634</v>
      </c>
      <c r="E412">
        <v>4455</v>
      </c>
      <c r="F412">
        <v>848</v>
      </c>
      <c r="G412">
        <v>3607</v>
      </c>
      <c r="H412">
        <v>1.3346522389838511</v>
      </c>
      <c r="I412">
        <v>993038.28125</v>
      </c>
      <c r="J412">
        <v>182887694.85142329</v>
      </c>
    </row>
    <row r="413" spans="1:10" x14ac:dyDescent="0.3">
      <c r="A413" t="s">
        <v>1426</v>
      </c>
      <c r="B413" t="s">
        <v>184</v>
      </c>
      <c r="C413" t="s">
        <v>185</v>
      </c>
      <c r="D413" t="s">
        <v>190</v>
      </c>
      <c r="E413">
        <v>9098</v>
      </c>
      <c r="F413">
        <v>4250</v>
      </c>
      <c r="G413">
        <v>4848</v>
      </c>
      <c r="H413">
        <v>0.93200399497777242</v>
      </c>
      <c r="I413">
        <v>2561910.5442401958</v>
      </c>
      <c r="J413">
        <v>509424857.30415767</v>
      </c>
    </row>
    <row r="414" spans="1:10" x14ac:dyDescent="0.3">
      <c r="A414" t="s">
        <v>1427</v>
      </c>
      <c r="B414" t="s">
        <v>605</v>
      </c>
      <c r="C414" t="s">
        <v>645</v>
      </c>
      <c r="D414" t="s">
        <v>645</v>
      </c>
      <c r="E414">
        <v>17293</v>
      </c>
      <c r="F414">
        <v>3722</v>
      </c>
      <c r="G414">
        <v>13571</v>
      </c>
      <c r="H414">
        <v>0.88332333637123239</v>
      </c>
      <c r="I414">
        <v>1565663.5319852941</v>
      </c>
      <c r="J414">
        <v>500707740.77392417</v>
      </c>
    </row>
    <row r="415" spans="1:10" x14ac:dyDescent="0.3">
      <c r="A415" t="s">
        <v>1428</v>
      </c>
      <c r="B415" t="s">
        <v>933</v>
      </c>
      <c r="C415" t="s">
        <v>933</v>
      </c>
      <c r="D415" t="s">
        <v>999</v>
      </c>
      <c r="E415">
        <v>36849</v>
      </c>
      <c r="F415">
        <v>16383</v>
      </c>
      <c r="G415">
        <v>20466</v>
      </c>
      <c r="H415">
        <v>1.5363705630760769</v>
      </c>
      <c r="I415">
        <v>2384589.9401960778</v>
      </c>
      <c r="J415">
        <v>424701164.87465948</v>
      </c>
    </row>
    <row r="416" spans="1:10" x14ac:dyDescent="0.3">
      <c r="A416" t="s">
        <v>1429</v>
      </c>
      <c r="B416" t="s">
        <v>149</v>
      </c>
      <c r="C416" t="s">
        <v>150</v>
      </c>
      <c r="D416" t="s">
        <v>150</v>
      </c>
      <c r="E416">
        <v>63348</v>
      </c>
      <c r="F416">
        <v>53245</v>
      </c>
      <c r="G416">
        <v>10103</v>
      </c>
      <c r="H416">
        <v>7.2998610692142147</v>
      </c>
      <c r="I416">
        <v>13837731.271691181</v>
      </c>
      <c r="J416">
        <v>135925871.89272779</v>
      </c>
    </row>
    <row r="417" spans="1:10" x14ac:dyDescent="0.3">
      <c r="A417" t="s">
        <v>1430</v>
      </c>
      <c r="B417" t="s">
        <v>579</v>
      </c>
      <c r="C417" t="s">
        <v>590</v>
      </c>
      <c r="D417" t="s">
        <v>590</v>
      </c>
      <c r="E417">
        <v>186215</v>
      </c>
      <c r="F417">
        <v>95171</v>
      </c>
      <c r="G417">
        <v>91044</v>
      </c>
      <c r="H417">
        <v>8.6997776208768762</v>
      </c>
      <c r="I417">
        <v>22097610.578125</v>
      </c>
      <c r="J417">
        <v>255522650.7786729</v>
      </c>
    </row>
    <row r="418" spans="1:10" x14ac:dyDescent="0.3">
      <c r="A418" t="s">
        <v>1431</v>
      </c>
      <c r="B418" t="s">
        <v>225</v>
      </c>
      <c r="C418" t="s">
        <v>237</v>
      </c>
      <c r="D418" t="s">
        <v>238</v>
      </c>
      <c r="E418">
        <v>8111</v>
      </c>
      <c r="F418">
        <v>497</v>
      </c>
      <c r="G418">
        <v>7614</v>
      </c>
      <c r="H418">
        <v>0.65626527486372355</v>
      </c>
      <c r="I418">
        <v>1240692.328125</v>
      </c>
      <c r="J418">
        <v>580991657.03418493</v>
      </c>
    </row>
    <row r="419" spans="1:10" x14ac:dyDescent="0.3">
      <c r="A419" t="s">
        <v>1432</v>
      </c>
      <c r="B419" t="s">
        <v>605</v>
      </c>
      <c r="C419" t="s">
        <v>28</v>
      </c>
      <c r="D419" t="s">
        <v>135</v>
      </c>
      <c r="E419">
        <v>5794</v>
      </c>
      <c r="F419">
        <v>756</v>
      </c>
      <c r="G419">
        <v>5038</v>
      </c>
      <c r="H419">
        <v>0.76903795542761055</v>
      </c>
      <c r="I419">
        <v>993122.9375</v>
      </c>
      <c r="J419">
        <v>160814804.53751159</v>
      </c>
    </row>
    <row r="420" spans="1:10" x14ac:dyDescent="0.3">
      <c r="A420" t="s">
        <v>1433</v>
      </c>
      <c r="B420" t="s">
        <v>605</v>
      </c>
      <c r="C420" t="s">
        <v>620</v>
      </c>
      <c r="D420" t="s">
        <v>620</v>
      </c>
      <c r="E420">
        <v>84123</v>
      </c>
      <c r="F420">
        <v>32247</v>
      </c>
      <c r="G420">
        <v>51876</v>
      </c>
      <c r="H420">
        <v>2.1182447261066608</v>
      </c>
      <c r="I420">
        <v>5479676.8614583332</v>
      </c>
      <c r="J420">
        <v>754816762.66881049</v>
      </c>
    </row>
    <row r="421" spans="1:10" x14ac:dyDescent="0.3">
      <c r="A421" t="s">
        <v>1434</v>
      </c>
      <c r="B421" t="s">
        <v>605</v>
      </c>
      <c r="C421" t="s">
        <v>636</v>
      </c>
      <c r="D421" t="s">
        <v>636</v>
      </c>
      <c r="E421">
        <v>261692</v>
      </c>
      <c r="F421">
        <v>181931</v>
      </c>
      <c r="G421">
        <v>79761</v>
      </c>
      <c r="H421">
        <v>37.0922059122774</v>
      </c>
      <c r="I421">
        <v>54330153.365379907</v>
      </c>
      <c r="J421">
        <v>96215067.576395318</v>
      </c>
    </row>
    <row r="422" spans="1:10" x14ac:dyDescent="0.3">
      <c r="A422" t="s">
        <v>1435</v>
      </c>
      <c r="B422" t="s">
        <v>723</v>
      </c>
      <c r="C422" t="s">
        <v>736</v>
      </c>
      <c r="D422" t="s">
        <v>323</v>
      </c>
      <c r="E422">
        <v>1646</v>
      </c>
      <c r="F422">
        <v>892</v>
      </c>
      <c r="G422">
        <v>754</v>
      </c>
      <c r="H422">
        <v>0.61822957644374565</v>
      </c>
      <c r="I422">
        <v>77905.843137254895</v>
      </c>
      <c r="J422">
        <v>307949316.47968978</v>
      </c>
    </row>
    <row r="423" spans="1:10" x14ac:dyDescent="0.3">
      <c r="A423" t="s">
        <v>1436</v>
      </c>
      <c r="B423" t="s">
        <v>492</v>
      </c>
      <c r="C423" t="s">
        <v>492</v>
      </c>
      <c r="D423" t="s">
        <v>502</v>
      </c>
      <c r="E423">
        <v>5487</v>
      </c>
      <c r="F423">
        <v>3624</v>
      </c>
      <c r="G423">
        <v>1863</v>
      </c>
      <c r="H423">
        <v>0.89191431456403725</v>
      </c>
      <c r="I423">
        <v>1238288.515625</v>
      </c>
      <c r="J423">
        <v>159768511.02759969</v>
      </c>
    </row>
    <row r="424" spans="1:10" x14ac:dyDescent="0.3">
      <c r="A424" t="s">
        <v>1437</v>
      </c>
      <c r="B424" t="s">
        <v>645</v>
      </c>
      <c r="C424" t="s">
        <v>796</v>
      </c>
      <c r="D424" t="s">
        <v>801</v>
      </c>
      <c r="E424">
        <v>14388</v>
      </c>
      <c r="F424">
        <v>9005</v>
      </c>
      <c r="G424">
        <v>5383</v>
      </c>
      <c r="H424">
        <v>2.8448787292289062</v>
      </c>
      <c r="I424">
        <v>1738283.09375</v>
      </c>
      <c r="J424">
        <v>130795071.9694521</v>
      </c>
    </row>
    <row r="425" spans="1:10" x14ac:dyDescent="0.3">
      <c r="A425" t="s">
        <v>1438</v>
      </c>
      <c r="B425" t="s">
        <v>605</v>
      </c>
      <c r="C425" t="s">
        <v>90</v>
      </c>
      <c r="D425" t="s">
        <v>613</v>
      </c>
      <c r="E425">
        <v>34688</v>
      </c>
      <c r="F425">
        <v>8429</v>
      </c>
      <c r="G425">
        <v>26259</v>
      </c>
      <c r="H425">
        <v>1.7420905347949189</v>
      </c>
      <c r="I425">
        <v>3020460.8047794122</v>
      </c>
      <c r="J425">
        <v>304517906.77206689</v>
      </c>
    </row>
    <row r="426" spans="1:10" x14ac:dyDescent="0.3">
      <c r="A426" t="s">
        <v>1439</v>
      </c>
      <c r="B426" t="s">
        <v>280</v>
      </c>
      <c r="C426" t="s">
        <v>302</v>
      </c>
      <c r="D426" t="s">
        <v>302</v>
      </c>
      <c r="E426">
        <v>56267</v>
      </c>
      <c r="F426">
        <v>33009</v>
      </c>
      <c r="G426">
        <v>23258</v>
      </c>
      <c r="H426">
        <v>8.8108912297405091</v>
      </c>
      <c r="I426">
        <v>13361309.084436269</v>
      </c>
      <c r="J426">
        <v>98476770.138014376</v>
      </c>
    </row>
    <row r="427" spans="1:10" x14ac:dyDescent="0.3">
      <c r="A427" t="s">
        <v>1440</v>
      </c>
      <c r="B427" t="s">
        <v>952</v>
      </c>
      <c r="C427" t="s">
        <v>953</v>
      </c>
      <c r="D427" t="s">
        <v>954</v>
      </c>
      <c r="E427">
        <v>59016</v>
      </c>
      <c r="F427">
        <v>35312</v>
      </c>
      <c r="G427">
        <v>23704</v>
      </c>
      <c r="H427">
        <v>8.4638424524671976</v>
      </c>
      <c r="I427">
        <v>12415936.640625</v>
      </c>
      <c r="J427">
        <v>147560059.4418143</v>
      </c>
    </row>
    <row r="428" spans="1:10" x14ac:dyDescent="0.3">
      <c r="A428" t="s">
        <v>1441</v>
      </c>
      <c r="B428" t="s">
        <v>492</v>
      </c>
      <c r="C428" t="s">
        <v>505</v>
      </c>
      <c r="D428" t="s">
        <v>506</v>
      </c>
      <c r="E428">
        <v>19361</v>
      </c>
      <c r="F428">
        <v>11887</v>
      </c>
      <c r="G428">
        <v>7474</v>
      </c>
      <c r="H428">
        <v>1.018702134512508</v>
      </c>
      <c r="I428">
        <v>2476371.265625</v>
      </c>
      <c r="J428">
        <v>349330560.48472393</v>
      </c>
    </row>
    <row r="429" spans="1:10" x14ac:dyDescent="0.3">
      <c r="A429" t="s">
        <v>1442</v>
      </c>
      <c r="B429" t="s">
        <v>605</v>
      </c>
      <c r="C429" t="s">
        <v>577</v>
      </c>
      <c r="D429" t="s">
        <v>577</v>
      </c>
      <c r="E429">
        <v>10085</v>
      </c>
      <c r="F429">
        <v>645</v>
      </c>
      <c r="G429">
        <v>9440</v>
      </c>
      <c r="H429">
        <v>1.159063783443752</v>
      </c>
      <c r="I429">
        <v>993019.234375</v>
      </c>
      <c r="J429">
        <v>256787710.57124299</v>
      </c>
    </row>
    <row r="430" spans="1:10" x14ac:dyDescent="0.3">
      <c r="A430" t="s">
        <v>1443</v>
      </c>
      <c r="B430" t="s">
        <v>645</v>
      </c>
      <c r="C430" t="s">
        <v>765</v>
      </c>
      <c r="D430" t="s">
        <v>766</v>
      </c>
      <c r="E430">
        <v>1772665</v>
      </c>
      <c r="F430">
        <v>1566150</v>
      </c>
      <c r="G430">
        <v>206515</v>
      </c>
      <c r="H430">
        <v>35.634589514387407</v>
      </c>
      <c r="I430">
        <v>204097559.589093</v>
      </c>
      <c r="J430">
        <v>364173136.32824057</v>
      </c>
    </row>
    <row r="431" spans="1:10" x14ac:dyDescent="0.3">
      <c r="A431" t="s">
        <v>1444</v>
      </c>
      <c r="B431" t="s">
        <v>341</v>
      </c>
      <c r="C431" t="s">
        <v>341</v>
      </c>
      <c r="D431" t="s">
        <v>349</v>
      </c>
      <c r="E431">
        <v>8930</v>
      </c>
      <c r="F431">
        <v>3713</v>
      </c>
      <c r="G431">
        <v>5217</v>
      </c>
      <c r="H431">
        <v>8.389404387650659</v>
      </c>
      <c r="I431">
        <v>235638.03541666671</v>
      </c>
      <c r="J431">
        <v>77228122.569014952</v>
      </c>
    </row>
    <row r="432" spans="1:10" x14ac:dyDescent="0.3">
      <c r="A432" t="s">
        <v>1445</v>
      </c>
      <c r="B432" t="s">
        <v>341</v>
      </c>
      <c r="C432" t="s">
        <v>341</v>
      </c>
      <c r="D432" t="s">
        <v>341</v>
      </c>
      <c r="E432">
        <v>168676</v>
      </c>
      <c r="F432">
        <v>119664</v>
      </c>
      <c r="G432">
        <v>49012</v>
      </c>
      <c r="H432">
        <v>34.769514979344542</v>
      </c>
      <c r="I432">
        <v>19478856.363664221</v>
      </c>
      <c r="J432">
        <v>70817049.983287379</v>
      </c>
    </row>
    <row r="433" spans="1:10" x14ac:dyDescent="0.3">
      <c r="A433" t="s">
        <v>1446</v>
      </c>
      <c r="B433" t="s">
        <v>399</v>
      </c>
      <c r="C433" t="s">
        <v>400</v>
      </c>
      <c r="D433" t="s">
        <v>400</v>
      </c>
      <c r="E433">
        <v>2651280</v>
      </c>
      <c r="F433">
        <v>1910806</v>
      </c>
      <c r="G433">
        <v>740474</v>
      </c>
      <c r="H433">
        <v>15.30751365900349</v>
      </c>
      <c r="I433">
        <v>213587821.21654409</v>
      </c>
      <c r="J433">
        <v>1768389286.4875529</v>
      </c>
    </row>
    <row r="434" spans="1:10" x14ac:dyDescent="0.3">
      <c r="A434" t="s">
        <v>1447</v>
      </c>
      <c r="B434" t="s">
        <v>605</v>
      </c>
      <c r="C434" t="s">
        <v>649</v>
      </c>
      <c r="D434" t="s">
        <v>651</v>
      </c>
      <c r="E434">
        <v>23270</v>
      </c>
      <c r="F434">
        <v>3611</v>
      </c>
      <c r="G434">
        <v>19659</v>
      </c>
      <c r="H434">
        <v>2.2874671731043721</v>
      </c>
      <c r="I434">
        <v>6455803.984375</v>
      </c>
      <c r="J434">
        <v>248319342.95368329</v>
      </c>
    </row>
    <row r="435" spans="1:10" x14ac:dyDescent="0.3">
      <c r="A435" t="s">
        <v>1448</v>
      </c>
      <c r="B435" t="s">
        <v>605</v>
      </c>
      <c r="C435" t="s">
        <v>649</v>
      </c>
      <c r="D435" t="s">
        <v>650</v>
      </c>
      <c r="E435">
        <v>26948</v>
      </c>
      <c r="F435">
        <v>14933</v>
      </c>
      <c r="G435">
        <v>12015</v>
      </c>
      <c r="H435">
        <v>3.211736584143261</v>
      </c>
      <c r="I435">
        <v>5702405.5128676472</v>
      </c>
      <c r="J435">
        <v>168504208.790838</v>
      </c>
    </row>
    <row r="436" spans="1:10" x14ac:dyDescent="0.3">
      <c r="A436" t="s">
        <v>1449</v>
      </c>
      <c r="B436" t="s">
        <v>341</v>
      </c>
      <c r="C436" t="s">
        <v>389</v>
      </c>
      <c r="D436" t="s">
        <v>389</v>
      </c>
      <c r="E436">
        <v>21645</v>
      </c>
      <c r="F436">
        <v>6907</v>
      </c>
      <c r="G436">
        <v>14738</v>
      </c>
      <c r="H436">
        <v>5.9134239351128581</v>
      </c>
      <c r="I436">
        <v>1458631.9277573531</v>
      </c>
      <c r="J436">
        <v>104068120.41231801</v>
      </c>
    </row>
    <row r="437" spans="1:10" x14ac:dyDescent="0.3">
      <c r="A437" t="s">
        <v>1450</v>
      </c>
      <c r="B437" t="s">
        <v>341</v>
      </c>
      <c r="C437" t="s">
        <v>365</v>
      </c>
      <c r="D437" t="s">
        <v>370</v>
      </c>
      <c r="E437">
        <v>4992</v>
      </c>
      <c r="F437">
        <v>309</v>
      </c>
      <c r="G437">
        <v>4683</v>
      </c>
      <c r="H437">
        <v>0.82165576702524268</v>
      </c>
      <c r="I437">
        <v>491752.10477941169</v>
      </c>
      <c r="J437">
        <v>191192605.27642411</v>
      </c>
    </row>
    <row r="438" spans="1:10" x14ac:dyDescent="0.3">
      <c r="A438" t="s">
        <v>1451</v>
      </c>
      <c r="B438" t="s">
        <v>605</v>
      </c>
      <c r="C438" t="s">
        <v>638</v>
      </c>
      <c r="D438" t="s">
        <v>638</v>
      </c>
      <c r="E438">
        <v>96831</v>
      </c>
      <c r="F438">
        <v>21148</v>
      </c>
      <c r="G438">
        <v>75683</v>
      </c>
      <c r="H438">
        <v>3.9955812214478108</v>
      </c>
      <c r="I438">
        <v>34165311.471139707</v>
      </c>
      <c r="J438">
        <v>598650570.34879041</v>
      </c>
    </row>
    <row r="439" spans="1:10" x14ac:dyDescent="0.3">
      <c r="A439" t="s">
        <v>1452</v>
      </c>
      <c r="B439" t="s">
        <v>605</v>
      </c>
      <c r="C439" t="s">
        <v>625</v>
      </c>
      <c r="D439" t="s">
        <v>625</v>
      </c>
      <c r="E439">
        <v>20170</v>
      </c>
      <c r="F439">
        <v>3332</v>
      </c>
      <c r="G439">
        <v>16838</v>
      </c>
      <c r="H439">
        <v>0.7608616964339936</v>
      </c>
      <c r="I439">
        <v>1489926.234375</v>
      </c>
      <c r="J439">
        <v>986421810.18037856</v>
      </c>
    </row>
    <row r="440" spans="1:10" x14ac:dyDescent="0.3">
      <c r="A440" t="s">
        <v>1453</v>
      </c>
      <c r="B440" t="s">
        <v>341</v>
      </c>
      <c r="C440" t="s">
        <v>365</v>
      </c>
      <c r="D440" t="s">
        <v>365</v>
      </c>
      <c r="E440">
        <v>8747</v>
      </c>
      <c r="F440">
        <v>1233</v>
      </c>
      <c r="G440">
        <v>7514</v>
      </c>
      <c r="H440">
        <v>1.5082426213611519</v>
      </c>
      <c r="I440">
        <v>496625.328125</v>
      </c>
      <c r="J440">
        <v>142533824.0558745</v>
      </c>
    </row>
    <row r="441" spans="1:10" x14ac:dyDescent="0.3">
      <c r="A441" t="s">
        <v>1454</v>
      </c>
      <c r="B441" t="s">
        <v>605</v>
      </c>
      <c r="C441" t="s">
        <v>398</v>
      </c>
      <c r="D441" t="s">
        <v>398</v>
      </c>
      <c r="E441">
        <v>42684</v>
      </c>
      <c r="F441">
        <v>20555</v>
      </c>
      <c r="G441">
        <v>22129</v>
      </c>
      <c r="H441">
        <v>3.6385017436700848</v>
      </c>
      <c r="I441">
        <v>5263854.6624999996</v>
      </c>
      <c r="J441">
        <v>278587073.38175052</v>
      </c>
    </row>
    <row r="442" spans="1:10" x14ac:dyDescent="0.3">
      <c r="A442" t="s">
        <v>1455</v>
      </c>
      <c r="B442" t="s">
        <v>225</v>
      </c>
      <c r="C442" t="s">
        <v>237</v>
      </c>
      <c r="D442" t="s">
        <v>246</v>
      </c>
      <c r="E442">
        <v>8530</v>
      </c>
      <c r="F442">
        <v>773</v>
      </c>
      <c r="G442">
        <v>7757</v>
      </c>
      <c r="H442">
        <v>0.93935701496553159</v>
      </c>
      <c r="I442">
        <v>1946.39068627451</v>
      </c>
      <c r="J442">
        <v>180906927.25762519</v>
      </c>
    </row>
    <row r="443" spans="1:10" x14ac:dyDescent="0.3">
      <c r="A443" t="s">
        <v>1456</v>
      </c>
      <c r="B443" t="s">
        <v>605</v>
      </c>
      <c r="C443" t="s">
        <v>606</v>
      </c>
      <c r="D443" t="s">
        <v>606</v>
      </c>
      <c r="E443">
        <v>252044</v>
      </c>
      <c r="F443">
        <v>174246</v>
      </c>
      <c r="G443">
        <v>77798</v>
      </c>
      <c r="H443">
        <v>10.303970663473191</v>
      </c>
      <c r="I443">
        <v>43895892.055024512</v>
      </c>
      <c r="J443">
        <v>415361757.8346622</v>
      </c>
    </row>
    <row r="444" spans="1:10" x14ac:dyDescent="0.3">
      <c r="A444" t="s">
        <v>1457</v>
      </c>
      <c r="B444" t="s">
        <v>605</v>
      </c>
      <c r="C444" t="s">
        <v>606</v>
      </c>
      <c r="D444" t="s">
        <v>65</v>
      </c>
      <c r="E444">
        <v>16848</v>
      </c>
      <c r="F444">
        <v>1955</v>
      </c>
      <c r="G444">
        <v>14893</v>
      </c>
      <c r="H444">
        <v>3.062199922562975</v>
      </c>
      <c r="I444">
        <v>993148.828125</v>
      </c>
      <c r="J444">
        <v>120865842.4380302</v>
      </c>
    </row>
    <row r="445" spans="1:10" x14ac:dyDescent="0.3">
      <c r="A445" t="s">
        <v>1458</v>
      </c>
      <c r="B445" t="s">
        <v>605</v>
      </c>
      <c r="C445" t="s">
        <v>606</v>
      </c>
      <c r="D445" t="s">
        <v>611</v>
      </c>
      <c r="E445">
        <v>8180</v>
      </c>
      <c r="F445">
        <v>505</v>
      </c>
      <c r="G445">
        <v>7675</v>
      </c>
      <c r="H445">
        <v>1.202354706970103</v>
      </c>
      <c r="I445">
        <v>496570.09375</v>
      </c>
      <c r="J445">
        <v>139082614.8431758</v>
      </c>
    </row>
    <row r="446" spans="1:10" x14ac:dyDescent="0.3">
      <c r="A446" t="s">
        <v>1459</v>
      </c>
      <c r="B446" t="s">
        <v>184</v>
      </c>
      <c r="C446" t="s">
        <v>185</v>
      </c>
      <c r="D446" t="s">
        <v>189</v>
      </c>
      <c r="E446">
        <v>2467</v>
      </c>
      <c r="F446">
        <v>1481</v>
      </c>
      <c r="G446">
        <v>986</v>
      </c>
      <c r="H446">
        <v>4.2656221073792544</v>
      </c>
      <c r="I446">
        <v>4868.6222426470586</v>
      </c>
      <c r="J446">
        <v>18407692.516123399</v>
      </c>
    </row>
    <row r="447" spans="1:10" x14ac:dyDescent="0.3">
      <c r="A447" t="s">
        <v>1460</v>
      </c>
      <c r="B447" t="s">
        <v>645</v>
      </c>
      <c r="C447" t="s">
        <v>822</v>
      </c>
      <c r="D447" t="s">
        <v>822</v>
      </c>
      <c r="E447">
        <v>25043</v>
      </c>
      <c r="F447">
        <v>8237</v>
      </c>
      <c r="G447">
        <v>16806</v>
      </c>
      <c r="H447">
        <v>1.0046101769521381</v>
      </c>
      <c r="I447">
        <v>18502.46078431372</v>
      </c>
      <c r="J447">
        <v>695708834.03387284</v>
      </c>
    </row>
    <row r="448" spans="1:10" x14ac:dyDescent="0.3">
      <c r="A448" t="s">
        <v>1461</v>
      </c>
      <c r="B448" t="s">
        <v>605</v>
      </c>
      <c r="C448" t="s">
        <v>664</v>
      </c>
      <c r="D448" t="s">
        <v>664</v>
      </c>
      <c r="E448">
        <v>16568</v>
      </c>
      <c r="F448">
        <v>5414</v>
      </c>
      <c r="G448">
        <v>11154</v>
      </c>
      <c r="H448">
        <v>0.99033179907850444</v>
      </c>
      <c r="I448">
        <v>1489949.28125</v>
      </c>
      <c r="J448">
        <v>568072935.45889437</v>
      </c>
    </row>
    <row r="449" spans="1:10" x14ac:dyDescent="0.3">
      <c r="A449" t="s">
        <v>1462</v>
      </c>
      <c r="B449" t="s">
        <v>605</v>
      </c>
      <c r="C449" t="s">
        <v>615</v>
      </c>
      <c r="D449" t="s">
        <v>617</v>
      </c>
      <c r="E449">
        <v>11132</v>
      </c>
      <c r="F449">
        <v>776</v>
      </c>
      <c r="G449">
        <v>10356</v>
      </c>
      <c r="H449">
        <v>0.99404056306395405</v>
      </c>
      <c r="I449">
        <v>744907.984375</v>
      </c>
      <c r="J449">
        <v>206220877.80385321</v>
      </c>
    </row>
    <row r="450" spans="1:10" x14ac:dyDescent="0.3">
      <c r="A450" t="s">
        <v>1463</v>
      </c>
      <c r="B450" t="s">
        <v>605</v>
      </c>
      <c r="C450" t="s">
        <v>658</v>
      </c>
      <c r="D450" t="s">
        <v>660</v>
      </c>
      <c r="E450">
        <v>6135</v>
      </c>
      <c r="F450">
        <v>209</v>
      </c>
      <c r="G450">
        <v>5926</v>
      </c>
      <c r="H450">
        <v>0.69433415758294281</v>
      </c>
      <c r="I450">
        <v>248325.625</v>
      </c>
      <c r="J450">
        <v>231323090.891729</v>
      </c>
    </row>
    <row r="451" spans="1:10" x14ac:dyDescent="0.3">
      <c r="A451" t="s">
        <v>1464</v>
      </c>
      <c r="B451" t="s">
        <v>605</v>
      </c>
      <c r="C451" t="s">
        <v>652</v>
      </c>
      <c r="D451" t="s">
        <v>652</v>
      </c>
      <c r="E451">
        <v>31306</v>
      </c>
      <c r="F451">
        <v>12525</v>
      </c>
      <c r="G451">
        <v>18781</v>
      </c>
      <c r="H451">
        <v>1.996044867653386</v>
      </c>
      <c r="I451">
        <v>2483036.09375</v>
      </c>
      <c r="J451">
        <v>248055289.69217429</v>
      </c>
    </row>
    <row r="452" spans="1:10" x14ac:dyDescent="0.3">
      <c r="A452" t="s">
        <v>1465</v>
      </c>
      <c r="B452" t="s">
        <v>667</v>
      </c>
      <c r="C452" t="s">
        <v>712</v>
      </c>
      <c r="D452" t="s">
        <v>712</v>
      </c>
      <c r="E452">
        <v>7812</v>
      </c>
      <c r="F452">
        <v>796</v>
      </c>
      <c r="G452">
        <v>7016</v>
      </c>
      <c r="H452">
        <v>0.53747005077454224</v>
      </c>
      <c r="I452">
        <v>496233.28125</v>
      </c>
      <c r="J452">
        <v>1326085100.118645</v>
      </c>
    </row>
    <row r="453" spans="1:10" x14ac:dyDescent="0.3">
      <c r="A453" t="s">
        <v>1466</v>
      </c>
      <c r="B453" t="s">
        <v>605</v>
      </c>
      <c r="C453" t="s">
        <v>649</v>
      </c>
      <c r="D453" t="s">
        <v>169</v>
      </c>
      <c r="E453">
        <v>12196</v>
      </c>
      <c r="F453">
        <v>2697</v>
      </c>
      <c r="G453">
        <v>9499</v>
      </c>
      <c r="H453">
        <v>0.87138714119240246</v>
      </c>
      <c r="I453">
        <v>993281.453125</v>
      </c>
      <c r="J453">
        <v>276164275.21635699</v>
      </c>
    </row>
    <row r="454" spans="1:10" x14ac:dyDescent="0.3">
      <c r="A454" t="s">
        <v>1467</v>
      </c>
      <c r="B454" t="s">
        <v>605</v>
      </c>
      <c r="C454" t="s">
        <v>635</v>
      </c>
      <c r="D454" t="s">
        <v>635</v>
      </c>
      <c r="E454">
        <v>22323</v>
      </c>
      <c r="F454">
        <v>5487</v>
      </c>
      <c r="G454">
        <v>16836</v>
      </c>
      <c r="H454">
        <v>1.274496663477785</v>
      </c>
      <c r="I454">
        <v>993178.34375</v>
      </c>
      <c r="J454">
        <v>266969524.63654509</v>
      </c>
    </row>
    <row r="455" spans="1:10" x14ac:dyDescent="0.3">
      <c r="A455" t="s">
        <v>1468</v>
      </c>
      <c r="B455" t="s">
        <v>579</v>
      </c>
      <c r="C455" t="s">
        <v>602</v>
      </c>
      <c r="D455" t="s">
        <v>602</v>
      </c>
      <c r="E455">
        <v>51496</v>
      </c>
      <c r="F455">
        <v>9130</v>
      </c>
      <c r="G455">
        <v>42366</v>
      </c>
      <c r="H455">
        <v>1.23063515622635</v>
      </c>
      <c r="I455">
        <v>252192.4244485294</v>
      </c>
      <c r="J455">
        <v>969553202.89237964</v>
      </c>
    </row>
    <row r="456" spans="1:10" x14ac:dyDescent="0.3">
      <c r="A456" t="s">
        <v>1469</v>
      </c>
      <c r="B456" t="s">
        <v>605</v>
      </c>
      <c r="C456" t="s">
        <v>615</v>
      </c>
      <c r="D456" t="s">
        <v>350</v>
      </c>
      <c r="E456">
        <v>6566</v>
      </c>
      <c r="F456">
        <v>314</v>
      </c>
      <c r="G456">
        <v>6252</v>
      </c>
      <c r="H456">
        <v>0.6638483458178237</v>
      </c>
      <c r="I456">
        <v>496641.046875</v>
      </c>
      <c r="J456">
        <v>335733536.44926882</v>
      </c>
    </row>
    <row r="457" spans="1:10" x14ac:dyDescent="0.3">
      <c r="A457" t="s">
        <v>1470</v>
      </c>
      <c r="B457" t="s">
        <v>605</v>
      </c>
      <c r="C457" t="s">
        <v>615</v>
      </c>
      <c r="D457" t="s">
        <v>615</v>
      </c>
      <c r="E457">
        <v>76186</v>
      </c>
      <c r="F457">
        <v>34704</v>
      </c>
      <c r="G457">
        <v>41482</v>
      </c>
      <c r="H457">
        <v>1.472909187058866</v>
      </c>
      <c r="I457">
        <v>10925573.53125</v>
      </c>
      <c r="J457">
        <v>805939691.99742532</v>
      </c>
    </row>
    <row r="458" spans="1:10" x14ac:dyDescent="0.3">
      <c r="A458" t="s">
        <v>1471</v>
      </c>
      <c r="B458" t="s">
        <v>605</v>
      </c>
      <c r="C458" t="s">
        <v>84</v>
      </c>
      <c r="D458" t="s">
        <v>84</v>
      </c>
      <c r="E458">
        <v>16849</v>
      </c>
      <c r="F458">
        <v>5923</v>
      </c>
      <c r="G458">
        <v>10926</v>
      </c>
      <c r="H458">
        <v>1.5004689620968961</v>
      </c>
      <c r="I458">
        <v>541420.49595588236</v>
      </c>
      <c r="J458">
        <v>337808720.50793481</v>
      </c>
    </row>
    <row r="459" spans="1:10" x14ac:dyDescent="0.3">
      <c r="A459" t="s">
        <v>1472</v>
      </c>
      <c r="B459" t="s">
        <v>605</v>
      </c>
      <c r="C459" t="s">
        <v>658</v>
      </c>
      <c r="D459" t="s">
        <v>658</v>
      </c>
      <c r="E459">
        <v>43002</v>
      </c>
      <c r="F459">
        <v>12239</v>
      </c>
      <c r="G459">
        <v>30763</v>
      </c>
      <c r="H459">
        <v>1.301271010498418</v>
      </c>
      <c r="I459">
        <v>2249543.1831495101</v>
      </c>
      <c r="J459">
        <v>696198926.3387481</v>
      </c>
    </row>
    <row r="460" spans="1:10" x14ac:dyDescent="0.3">
      <c r="A460" t="s">
        <v>1473</v>
      </c>
      <c r="B460" t="s">
        <v>983</v>
      </c>
      <c r="C460" t="s">
        <v>984</v>
      </c>
      <c r="D460" t="s">
        <v>985</v>
      </c>
      <c r="E460">
        <v>371880</v>
      </c>
      <c r="F460">
        <v>228236</v>
      </c>
      <c r="G460">
        <v>143644</v>
      </c>
      <c r="H460">
        <v>4.1175950060035724</v>
      </c>
      <c r="I460">
        <v>727443.44448529417</v>
      </c>
      <c r="J460">
        <v>1072857311.765041</v>
      </c>
    </row>
    <row r="461" spans="1:10" x14ac:dyDescent="0.3">
      <c r="A461" t="s">
        <v>1474</v>
      </c>
      <c r="B461" t="s">
        <v>184</v>
      </c>
      <c r="C461" t="s">
        <v>185</v>
      </c>
      <c r="D461" t="s">
        <v>193</v>
      </c>
      <c r="E461">
        <v>14881</v>
      </c>
      <c r="F461">
        <v>5990</v>
      </c>
      <c r="G461">
        <v>8891</v>
      </c>
      <c r="H461">
        <v>1.673393915534173</v>
      </c>
      <c r="I461">
        <v>8763.7433823529409</v>
      </c>
      <c r="J461">
        <v>139670837.62026519</v>
      </c>
    </row>
    <row r="462" spans="1:10" x14ac:dyDescent="0.3">
      <c r="A462" t="s">
        <v>1475</v>
      </c>
      <c r="B462" t="s">
        <v>915</v>
      </c>
      <c r="C462" t="s">
        <v>924</v>
      </c>
      <c r="D462" t="s">
        <v>924</v>
      </c>
      <c r="E462">
        <v>3542</v>
      </c>
      <c r="F462">
        <v>1005</v>
      </c>
      <c r="G462">
        <v>2537</v>
      </c>
      <c r="H462">
        <v>0.68648751345152881</v>
      </c>
      <c r="I462">
        <v>973.8287990196078</v>
      </c>
      <c r="J462">
        <v>243119461.47969231</v>
      </c>
    </row>
    <row r="463" spans="1:10" x14ac:dyDescent="0.3">
      <c r="A463" t="s">
        <v>1476</v>
      </c>
      <c r="B463" t="s">
        <v>13</v>
      </c>
      <c r="C463" t="s">
        <v>14</v>
      </c>
      <c r="D463" t="s">
        <v>16</v>
      </c>
      <c r="E463">
        <v>6455</v>
      </c>
      <c r="F463">
        <v>2832</v>
      </c>
      <c r="G463">
        <v>3623</v>
      </c>
      <c r="H463">
        <v>3.0602513022400242</v>
      </c>
      <c r="I463">
        <v>0</v>
      </c>
      <c r="J463">
        <v>75087530.547706649</v>
      </c>
    </row>
    <row r="464" spans="1:10" x14ac:dyDescent="0.3">
      <c r="A464" t="s">
        <v>1477</v>
      </c>
      <c r="B464" t="s">
        <v>13</v>
      </c>
      <c r="C464" t="s">
        <v>14</v>
      </c>
      <c r="D464" t="s">
        <v>25</v>
      </c>
      <c r="E464">
        <v>7318</v>
      </c>
      <c r="F464">
        <v>1607</v>
      </c>
      <c r="G464">
        <v>5711</v>
      </c>
      <c r="H464">
        <v>1.570451253403343</v>
      </c>
      <c r="I464">
        <v>0</v>
      </c>
      <c r="J464">
        <v>116932262.59844039</v>
      </c>
    </row>
    <row r="465" spans="1:10" x14ac:dyDescent="0.3">
      <c r="A465" t="s">
        <v>1478</v>
      </c>
      <c r="B465" t="s">
        <v>13</v>
      </c>
      <c r="C465" t="s">
        <v>14</v>
      </c>
      <c r="D465" t="s">
        <v>32</v>
      </c>
      <c r="E465">
        <v>14144</v>
      </c>
      <c r="F465">
        <v>7382</v>
      </c>
      <c r="G465">
        <v>6762</v>
      </c>
      <c r="H465">
        <v>3.099877089127216</v>
      </c>
      <c r="I465">
        <v>0</v>
      </c>
      <c r="J465">
        <v>150843833.19003391</v>
      </c>
    </row>
    <row r="466" spans="1:10" x14ac:dyDescent="0.3">
      <c r="A466" t="s">
        <v>1479</v>
      </c>
      <c r="B466" t="s">
        <v>13</v>
      </c>
      <c r="C466" t="s">
        <v>14</v>
      </c>
      <c r="D466" t="s">
        <v>35</v>
      </c>
      <c r="E466">
        <v>6654</v>
      </c>
      <c r="F466">
        <v>2457</v>
      </c>
      <c r="G466">
        <v>4197</v>
      </c>
      <c r="H466">
        <v>1.453943046269041</v>
      </c>
      <c r="I466">
        <v>0</v>
      </c>
      <c r="J466">
        <v>196096488.2647514</v>
      </c>
    </row>
    <row r="467" spans="1:10" x14ac:dyDescent="0.3">
      <c r="A467" t="s">
        <v>1480</v>
      </c>
      <c r="B467" t="s">
        <v>13</v>
      </c>
      <c r="C467" t="s">
        <v>36</v>
      </c>
      <c r="D467" t="s">
        <v>38</v>
      </c>
      <c r="E467">
        <v>1058</v>
      </c>
      <c r="F467">
        <v>716</v>
      </c>
      <c r="G467">
        <v>342</v>
      </c>
      <c r="H467">
        <v>1.4272838985623779</v>
      </c>
      <c r="I467">
        <v>0</v>
      </c>
      <c r="J467">
        <v>49493657.08358369</v>
      </c>
    </row>
    <row r="468" spans="1:10" x14ac:dyDescent="0.3">
      <c r="A468" t="s">
        <v>1481</v>
      </c>
      <c r="B468" t="s">
        <v>13</v>
      </c>
      <c r="C468" t="s">
        <v>39</v>
      </c>
      <c r="D468" t="s">
        <v>41</v>
      </c>
      <c r="E468">
        <v>4580</v>
      </c>
      <c r="F468">
        <v>1732</v>
      </c>
      <c r="G468">
        <v>2848</v>
      </c>
      <c r="H468">
        <v>2.3588871591661449</v>
      </c>
      <c r="I468">
        <v>0</v>
      </c>
      <c r="J468">
        <v>52563529.797149137</v>
      </c>
    </row>
    <row r="469" spans="1:10" x14ac:dyDescent="0.3">
      <c r="A469" t="s">
        <v>1482</v>
      </c>
      <c r="B469" t="s">
        <v>13</v>
      </c>
      <c r="C469" t="s">
        <v>48</v>
      </c>
      <c r="D469" t="s">
        <v>51</v>
      </c>
      <c r="E469">
        <v>1310</v>
      </c>
      <c r="F469">
        <v>604</v>
      </c>
      <c r="G469">
        <v>706</v>
      </c>
      <c r="H469">
        <v>1.0330303812747961</v>
      </c>
      <c r="I469">
        <v>0</v>
      </c>
      <c r="J469">
        <v>123826751.09540311</v>
      </c>
    </row>
    <row r="470" spans="1:10" x14ac:dyDescent="0.3">
      <c r="A470" t="s">
        <v>1483</v>
      </c>
      <c r="B470" t="s">
        <v>13</v>
      </c>
      <c r="C470" t="s">
        <v>52</v>
      </c>
      <c r="D470" t="s">
        <v>53</v>
      </c>
      <c r="E470">
        <v>1911</v>
      </c>
      <c r="F470">
        <v>1039</v>
      </c>
      <c r="G470">
        <v>872</v>
      </c>
      <c r="H470">
        <v>1.876107921597165</v>
      </c>
      <c r="I470">
        <v>0</v>
      </c>
      <c r="J470">
        <v>38730847.728334107</v>
      </c>
    </row>
    <row r="471" spans="1:10" x14ac:dyDescent="0.3">
      <c r="A471" t="s">
        <v>1484</v>
      </c>
      <c r="B471" t="s">
        <v>13</v>
      </c>
      <c r="C471" t="s">
        <v>60</v>
      </c>
      <c r="D471" t="s">
        <v>60</v>
      </c>
      <c r="E471">
        <v>7976</v>
      </c>
      <c r="F471">
        <v>2677</v>
      </c>
      <c r="G471">
        <v>5299</v>
      </c>
      <c r="H471">
        <v>0.90181085944711936</v>
      </c>
      <c r="I471">
        <v>0</v>
      </c>
      <c r="J471">
        <v>569922043.81420422</v>
      </c>
    </row>
    <row r="472" spans="1:10" x14ac:dyDescent="0.3">
      <c r="A472" t="s">
        <v>1485</v>
      </c>
      <c r="B472" t="s">
        <v>13</v>
      </c>
      <c r="C472" t="s">
        <v>60</v>
      </c>
      <c r="D472" t="s">
        <v>61</v>
      </c>
      <c r="E472">
        <v>1692</v>
      </c>
      <c r="F472">
        <v>754</v>
      </c>
      <c r="G472">
        <v>938</v>
      </c>
      <c r="H472">
        <v>0.92411024115740559</v>
      </c>
      <c r="I472">
        <v>0</v>
      </c>
      <c r="J472">
        <v>68583013.997363567</v>
      </c>
    </row>
    <row r="473" spans="1:10" x14ac:dyDescent="0.3">
      <c r="A473" t="s">
        <v>1486</v>
      </c>
      <c r="B473" t="s">
        <v>13</v>
      </c>
      <c r="C473" t="s">
        <v>64</v>
      </c>
      <c r="D473" t="s">
        <v>67</v>
      </c>
      <c r="E473">
        <v>1849</v>
      </c>
      <c r="F473">
        <v>372</v>
      </c>
      <c r="G473">
        <v>1477</v>
      </c>
      <c r="H473">
        <v>0.7574741417535602</v>
      </c>
      <c r="I473">
        <v>0</v>
      </c>
      <c r="J473">
        <v>279257662.78823411</v>
      </c>
    </row>
    <row r="474" spans="1:10" x14ac:dyDescent="0.3">
      <c r="A474" t="s">
        <v>1487</v>
      </c>
      <c r="B474" t="s">
        <v>13</v>
      </c>
      <c r="C474" t="s">
        <v>64</v>
      </c>
      <c r="D474" t="s">
        <v>68</v>
      </c>
      <c r="E474">
        <v>1618</v>
      </c>
      <c r="F474">
        <v>631</v>
      </c>
      <c r="G474">
        <v>987</v>
      </c>
      <c r="H474">
        <v>0.8877778838993885</v>
      </c>
      <c r="I474">
        <v>0</v>
      </c>
      <c r="J474">
        <v>102407527.6951884</v>
      </c>
    </row>
    <row r="475" spans="1:10" x14ac:dyDescent="0.3">
      <c r="A475" t="s">
        <v>1488</v>
      </c>
      <c r="B475" t="s">
        <v>13</v>
      </c>
      <c r="C475" t="s">
        <v>69</v>
      </c>
      <c r="D475" t="s">
        <v>70</v>
      </c>
      <c r="E475">
        <v>2778</v>
      </c>
      <c r="F475">
        <v>1301</v>
      </c>
      <c r="G475">
        <v>1477</v>
      </c>
      <c r="H475">
        <v>0.89032854753413582</v>
      </c>
      <c r="I475">
        <v>0</v>
      </c>
      <c r="J475">
        <v>232764146.46192491</v>
      </c>
    </row>
    <row r="476" spans="1:10" x14ac:dyDescent="0.3">
      <c r="A476" t="s">
        <v>1489</v>
      </c>
      <c r="B476" t="s">
        <v>13</v>
      </c>
      <c r="C476" t="s">
        <v>69</v>
      </c>
      <c r="D476" t="s">
        <v>73</v>
      </c>
      <c r="E476">
        <v>3367</v>
      </c>
      <c r="F476">
        <v>1317</v>
      </c>
      <c r="G476">
        <v>2050</v>
      </c>
      <c r="H476">
        <v>3.263583287141596</v>
      </c>
      <c r="I476">
        <v>0</v>
      </c>
      <c r="J476">
        <v>35870937.380586907</v>
      </c>
    </row>
    <row r="477" spans="1:10" x14ac:dyDescent="0.3">
      <c r="A477" t="s">
        <v>1490</v>
      </c>
      <c r="B477" t="s">
        <v>13</v>
      </c>
      <c r="C477" t="s">
        <v>78</v>
      </c>
      <c r="D477" t="s">
        <v>81</v>
      </c>
      <c r="E477">
        <v>1237</v>
      </c>
      <c r="F477">
        <v>686</v>
      </c>
      <c r="G477">
        <v>551</v>
      </c>
      <c r="H477">
        <v>1.315776250047946</v>
      </c>
      <c r="I477">
        <v>0</v>
      </c>
      <c r="J477">
        <v>29698857.679852571</v>
      </c>
    </row>
    <row r="478" spans="1:10" x14ac:dyDescent="0.3">
      <c r="A478" t="s">
        <v>1491</v>
      </c>
      <c r="B478" t="s">
        <v>13</v>
      </c>
      <c r="C478" t="s">
        <v>85</v>
      </c>
      <c r="D478" t="s">
        <v>86</v>
      </c>
      <c r="E478">
        <v>892</v>
      </c>
      <c r="F478">
        <v>491</v>
      </c>
      <c r="G478">
        <v>401</v>
      </c>
      <c r="H478">
        <v>1.006223018117482</v>
      </c>
      <c r="I478">
        <v>0</v>
      </c>
      <c r="J478">
        <v>179825394.06310409</v>
      </c>
    </row>
    <row r="479" spans="1:10" x14ac:dyDescent="0.3">
      <c r="A479" t="s">
        <v>1492</v>
      </c>
      <c r="B479" t="s">
        <v>13</v>
      </c>
      <c r="C479" t="s">
        <v>89</v>
      </c>
      <c r="D479" t="s">
        <v>89</v>
      </c>
      <c r="E479">
        <v>22763</v>
      </c>
      <c r="F479">
        <v>13835</v>
      </c>
      <c r="G479">
        <v>8928</v>
      </c>
      <c r="H479">
        <v>2.0525740091966571</v>
      </c>
      <c r="I479">
        <v>0</v>
      </c>
      <c r="J479">
        <v>214573362.90626651</v>
      </c>
    </row>
    <row r="480" spans="1:10" x14ac:dyDescent="0.3">
      <c r="A480" t="s">
        <v>1493</v>
      </c>
      <c r="B480" t="s">
        <v>90</v>
      </c>
      <c r="C480" t="s">
        <v>91</v>
      </c>
      <c r="D480" t="s">
        <v>94</v>
      </c>
      <c r="E480">
        <v>5877</v>
      </c>
      <c r="F480">
        <v>1156</v>
      </c>
      <c r="G480">
        <v>4721</v>
      </c>
      <c r="H480">
        <v>0.62849420540334289</v>
      </c>
      <c r="I480">
        <v>0</v>
      </c>
      <c r="J480">
        <v>465787450.62656701</v>
      </c>
    </row>
    <row r="481" spans="1:10" x14ac:dyDescent="0.3">
      <c r="A481" t="s">
        <v>1494</v>
      </c>
      <c r="B481" t="s">
        <v>90</v>
      </c>
      <c r="C481" t="s">
        <v>91</v>
      </c>
      <c r="D481" t="s">
        <v>95</v>
      </c>
      <c r="E481">
        <v>1769</v>
      </c>
      <c r="F481">
        <v>521</v>
      </c>
      <c r="G481">
        <v>1248</v>
      </c>
      <c r="H481">
        <v>1.038829488549996</v>
      </c>
      <c r="I481">
        <v>0</v>
      </c>
      <c r="J481">
        <v>91682777.950775996</v>
      </c>
    </row>
    <row r="482" spans="1:10" x14ac:dyDescent="0.3">
      <c r="A482" t="s">
        <v>1495</v>
      </c>
      <c r="B482" t="s">
        <v>90</v>
      </c>
      <c r="C482" t="s">
        <v>91</v>
      </c>
      <c r="D482" t="s">
        <v>96</v>
      </c>
      <c r="E482">
        <v>4288</v>
      </c>
      <c r="F482">
        <v>745</v>
      </c>
      <c r="G482">
        <v>3543</v>
      </c>
      <c r="H482">
        <v>1.19713474788395</v>
      </c>
      <c r="I482">
        <v>0</v>
      </c>
      <c r="J482">
        <v>83135499.040242612</v>
      </c>
    </row>
    <row r="483" spans="1:10" x14ac:dyDescent="0.3">
      <c r="A483" t="s">
        <v>1496</v>
      </c>
      <c r="B483" t="s">
        <v>90</v>
      </c>
      <c r="C483" t="s">
        <v>91</v>
      </c>
      <c r="D483" t="s">
        <v>99</v>
      </c>
      <c r="E483">
        <v>7880</v>
      </c>
      <c r="F483">
        <v>4123</v>
      </c>
      <c r="G483">
        <v>3757</v>
      </c>
      <c r="H483">
        <v>0.94586691222098762</v>
      </c>
      <c r="I483">
        <v>0</v>
      </c>
      <c r="J483">
        <v>187921348.9765386</v>
      </c>
    </row>
    <row r="484" spans="1:10" x14ac:dyDescent="0.3">
      <c r="A484" t="s">
        <v>1497</v>
      </c>
      <c r="B484" t="s">
        <v>90</v>
      </c>
      <c r="C484" t="s">
        <v>100</v>
      </c>
      <c r="D484" t="s">
        <v>100</v>
      </c>
      <c r="E484">
        <v>13827</v>
      </c>
      <c r="F484">
        <v>3919</v>
      </c>
      <c r="G484">
        <v>9908</v>
      </c>
      <c r="H484">
        <v>0.94487437279464515</v>
      </c>
      <c r="I484">
        <v>0</v>
      </c>
      <c r="J484">
        <v>420616303.39218241</v>
      </c>
    </row>
    <row r="485" spans="1:10" x14ac:dyDescent="0.3">
      <c r="A485" t="s">
        <v>1498</v>
      </c>
      <c r="B485" t="s">
        <v>90</v>
      </c>
      <c r="C485" t="s">
        <v>100</v>
      </c>
      <c r="D485" t="s">
        <v>101</v>
      </c>
      <c r="E485">
        <v>5947</v>
      </c>
      <c r="F485">
        <v>1650</v>
      </c>
      <c r="G485">
        <v>4297</v>
      </c>
      <c r="H485">
        <v>0.75490118964504904</v>
      </c>
      <c r="I485">
        <v>0</v>
      </c>
      <c r="J485">
        <v>249445864.86163729</v>
      </c>
    </row>
    <row r="486" spans="1:10" x14ac:dyDescent="0.3">
      <c r="A486" t="s">
        <v>1499</v>
      </c>
      <c r="B486" t="s">
        <v>90</v>
      </c>
      <c r="C486" t="s">
        <v>102</v>
      </c>
      <c r="D486" t="s">
        <v>105</v>
      </c>
      <c r="E486">
        <v>2552</v>
      </c>
      <c r="F486">
        <v>874</v>
      </c>
      <c r="G486">
        <v>1678</v>
      </c>
      <c r="H486">
        <v>1.568597099093004</v>
      </c>
      <c r="I486">
        <v>0</v>
      </c>
      <c r="J486">
        <v>43560677.468997233</v>
      </c>
    </row>
    <row r="487" spans="1:10" x14ac:dyDescent="0.3">
      <c r="A487" t="s">
        <v>1500</v>
      </c>
      <c r="B487" t="s">
        <v>90</v>
      </c>
      <c r="C487" t="s">
        <v>102</v>
      </c>
      <c r="D487" t="s">
        <v>107</v>
      </c>
      <c r="E487">
        <v>3031</v>
      </c>
      <c r="F487">
        <v>165</v>
      </c>
      <c r="G487">
        <v>2866</v>
      </c>
      <c r="H487">
        <v>0.76353567246536103</v>
      </c>
      <c r="I487">
        <v>0</v>
      </c>
      <c r="J487">
        <v>166148906.11874551</v>
      </c>
    </row>
    <row r="488" spans="1:10" x14ac:dyDescent="0.3">
      <c r="A488" t="s">
        <v>1501</v>
      </c>
      <c r="B488" t="s">
        <v>90</v>
      </c>
      <c r="C488" t="s">
        <v>108</v>
      </c>
      <c r="D488" t="s">
        <v>108</v>
      </c>
      <c r="E488">
        <v>14648</v>
      </c>
      <c r="F488">
        <v>8256</v>
      </c>
      <c r="G488">
        <v>6392</v>
      </c>
      <c r="H488">
        <v>1.2097418849402559</v>
      </c>
      <c r="I488">
        <v>0</v>
      </c>
      <c r="J488">
        <v>244964876.26672199</v>
      </c>
    </row>
    <row r="489" spans="1:10" x14ac:dyDescent="0.3">
      <c r="A489" t="s">
        <v>1502</v>
      </c>
      <c r="B489" t="s">
        <v>90</v>
      </c>
      <c r="C489" t="s">
        <v>109</v>
      </c>
      <c r="D489" t="s">
        <v>110</v>
      </c>
      <c r="E489">
        <v>2469</v>
      </c>
      <c r="F489">
        <v>780</v>
      </c>
      <c r="G489">
        <v>1689</v>
      </c>
      <c r="H489">
        <v>0.98612605468608605</v>
      </c>
      <c r="I489">
        <v>0</v>
      </c>
      <c r="J489">
        <v>113979768.5845288</v>
      </c>
    </row>
    <row r="490" spans="1:10" x14ac:dyDescent="0.3">
      <c r="A490" t="s">
        <v>1503</v>
      </c>
      <c r="B490" t="s">
        <v>90</v>
      </c>
      <c r="C490" t="s">
        <v>109</v>
      </c>
      <c r="D490" t="s">
        <v>111</v>
      </c>
      <c r="E490">
        <v>2966</v>
      </c>
      <c r="F490">
        <v>472</v>
      </c>
      <c r="G490">
        <v>2494</v>
      </c>
      <c r="H490">
        <v>0.82537103158896663</v>
      </c>
      <c r="I490">
        <v>0</v>
      </c>
      <c r="J490">
        <v>138982892.7834312</v>
      </c>
    </row>
    <row r="491" spans="1:10" x14ac:dyDescent="0.3">
      <c r="A491" t="s">
        <v>1504</v>
      </c>
      <c r="B491" t="s">
        <v>90</v>
      </c>
      <c r="C491" t="s">
        <v>109</v>
      </c>
      <c r="D491" t="s">
        <v>112</v>
      </c>
      <c r="E491">
        <v>1005</v>
      </c>
      <c r="F491">
        <v>49</v>
      </c>
      <c r="G491">
        <v>956</v>
      </c>
      <c r="H491">
        <v>0.65474920311892937</v>
      </c>
      <c r="I491">
        <v>0</v>
      </c>
      <c r="J491">
        <v>84710239.412660152</v>
      </c>
    </row>
    <row r="492" spans="1:10" x14ac:dyDescent="0.3">
      <c r="A492" t="s">
        <v>1505</v>
      </c>
      <c r="B492" t="s">
        <v>90</v>
      </c>
      <c r="C492" t="s">
        <v>109</v>
      </c>
      <c r="D492" t="s">
        <v>113</v>
      </c>
      <c r="E492">
        <v>5179</v>
      </c>
      <c r="F492">
        <v>1234</v>
      </c>
      <c r="G492">
        <v>3945</v>
      </c>
      <c r="H492">
        <v>1.0366782720314089</v>
      </c>
      <c r="I492">
        <v>0</v>
      </c>
      <c r="J492">
        <v>76123715.19922632</v>
      </c>
    </row>
    <row r="493" spans="1:10" x14ac:dyDescent="0.3">
      <c r="A493" t="s">
        <v>1506</v>
      </c>
      <c r="B493" t="s">
        <v>90</v>
      </c>
      <c r="C493" t="s">
        <v>109</v>
      </c>
      <c r="D493" t="s">
        <v>114</v>
      </c>
      <c r="E493">
        <v>1633</v>
      </c>
      <c r="F493">
        <v>488</v>
      </c>
      <c r="G493">
        <v>1145</v>
      </c>
      <c r="H493">
        <v>1.3870703702746789</v>
      </c>
      <c r="I493">
        <v>0</v>
      </c>
      <c r="J493">
        <v>50006701.250077277</v>
      </c>
    </row>
    <row r="494" spans="1:10" x14ac:dyDescent="0.3">
      <c r="A494" t="s">
        <v>1507</v>
      </c>
      <c r="B494" t="s">
        <v>90</v>
      </c>
      <c r="C494" t="s">
        <v>109</v>
      </c>
      <c r="D494" t="s">
        <v>84</v>
      </c>
      <c r="E494">
        <v>1055</v>
      </c>
      <c r="F494">
        <v>168</v>
      </c>
      <c r="G494">
        <v>887</v>
      </c>
      <c r="H494">
        <v>1.1123669680829</v>
      </c>
      <c r="I494">
        <v>0</v>
      </c>
      <c r="J494">
        <v>28416990.036451519</v>
      </c>
    </row>
    <row r="495" spans="1:10" x14ac:dyDescent="0.3">
      <c r="A495" t="s">
        <v>1508</v>
      </c>
      <c r="B495" t="s">
        <v>90</v>
      </c>
      <c r="C495" t="s">
        <v>115</v>
      </c>
      <c r="D495" t="s">
        <v>115</v>
      </c>
      <c r="E495">
        <v>15576</v>
      </c>
      <c r="F495">
        <v>9282</v>
      </c>
      <c r="G495">
        <v>6294</v>
      </c>
      <c r="H495">
        <v>1.2883201576792691</v>
      </c>
      <c r="I495">
        <v>0</v>
      </c>
      <c r="J495">
        <v>175547611.87050009</v>
      </c>
    </row>
    <row r="496" spans="1:10" x14ac:dyDescent="0.3">
      <c r="A496" t="s">
        <v>1509</v>
      </c>
      <c r="B496" t="s">
        <v>90</v>
      </c>
      <c r="C496" t="s">
        <v>116</v>
      </c>
      <c r="D496" t="s">
        <v>116</v>
      </c>
      <c r="E496">
        <v>6995</v>
      </c>
      <c r="F496">
        <v>3152</v>
      </c>
      <c r="G496">
        <v>3843</v>
      </c>
      <c r="H496">
        <v>1.1885325734085901</v>
      </c>
      <c r="I496">
        <v>0</v>
      </c>
      <c r="J496">
        <v>150222364.4962444</v>
      </c>
    </row>
    <row r="497" spans="1:10" x14ac:dyDescent="0.3">
      <c r="A497" t="s">
        <v>1510</v>
      </c>
      <c r="B497" t="s">
        <v>117</v>
      </c>
      <c r="C497" t="s">
        <v>118</v>
      </c>
      <c r="D497" t="s">
        <v>123</v>
      </c>
      <c r="E497">
        <v>1837</v>
      </c>
      <c r="F497">
        <v>640</v>
      </c>
      <c r="G497">
        <v>1197</v>
      </c>
      <c r="H497">
        <v>1.2016963122386231</v>
      </c>
      <c r="I497">
        <v>0</v>
      </c>
      <c r="J497">
        <v>115681413.093009</v>
      </c>
    </row>
    <row r="498" spans="1:10" x14ac:dyDescent="0.3">
      <c r="A498" t="s">
        <v>1511</v>
      </c>
      <c r="B498" t="s">
        <v>117</v>
      </c>
      <c r="C498" t="s">
        <v>118</v>
      </c>
      <c r="D498" t="s">
        <v>124</v>
      </c>
      <c r="E498">
        <v>1567</v>
      </c>
      <c r="F498">
        <v>175</v>
      </c>
      <c r="G498">
        <v>1392</v>
      </c>
      <c r="H498">
        <v>0.77286754424582882</v>
      </c>
      <c r="I498">
        <v>0</v>
      </c>
      <c r="J498">
        <v>542555180.38455558</v>
      </c>
    </row>
    <row r="499" spans="1:10" x14ac:dyDescent="0.3">
      <c r="A499" t="s">
        <v>1512</v>
      </c>
      <c r="B499" t="s">
        <v>117</v>
      </c>
      <c r="C499" t="s">
        <v>118</v>
      </c>
      <c r="D499" t="s">
        <v>125</v>
      </c>
      <c r="E499">
        <v>1191</v>
      </c>
      <c r="F499">
        <v>428</v>
      </c>
      <c r="G499">
        <v>763</v>
      </c>
      <c r="H499">
        <v>1.641835510345292</v>
      </c>
      <c r="I499">
        <v>0</v>
      </c>
      <c r="J499">
        <v>60842602.287114859</v>
      </c>
    </row>
    <row r="500" spans="1:10" x14ac:dyDescent="0.3">
      <c r="A500" t="s">
        <v>1513</v>
      </c>
      <c r="B500" t="s">
        <v>117</v>
      </c>
      <c r="C500" t="s">
        <v>126</v>
      </c>
      <c r="D500" t="s">
        <v>130</v>
      </c>
      <c r="E500">
        <v>1692</v>
      </c>
      <c r="F500">
        <v>810</v>
      </c>
      <c r="G500">
        <v>882</v>
      </c>
      <c r="H500">
        <v>1.2373707052604159</v>
      </c>
      <c r="I500">
        <v>0</v>
      </c>
      <c r="J500">
        <v>61138511.586005621</v>
      </c>
    </row>
    <row r="501" spans="1:10" x14ac:dyDescent="0.3">
      <c r="A501" t="s">
        <v>1514</v>
      </c>
      <c r="B501" t="s">
        <v>117</v>
      </c>
      <c r="C501" t="s">
        <v>117</v>
      </c>
      <c r="D501" t="s">
        <v>133</v>
      </c>
      <c r="E501">
        <v>2300</v>
      </c>
      <c r="F501">
        <v>478</v>
      </c>
      <c r="G501">
        <v>1822</v>
      </c>
      <c r="H501">
        <v>0.96692674376099341</v>
      </c>
      <c r="I501">
        <v>0</v>
      </c>
      <c r="J501">
        <v>114168677.6947584</v>
      </c>
    </row>
    <row r="502" spans="1:10" x14ac:dyDescent="0.3">
      <c r="A502" t="s">
        <v>1515</v>
      </c>
      <c r="B502" t="s">
        <v>117</v>
      </c>
      <c r="C502" t="s">
        <v>117</v>
      </c>
      <c r="D502" t="s">
        <v>136</v>
      </c>
      <c r="E502">
        <v>6955</v>
      </c>
      <c r="F502">
        <v>2313</v>
      </c>
      <c r="G502">
        <v>4642</v>
      </c>
      <c r="H502">
        <v>0.86724231612968294</v>
      </c>
      <c r="I502">
        <v>0</v>
      </c>
      <c r="J502">
        <v>414278833.60483909</v>
      </c>
    </row>
    <row r="503" spans="1:10" x14ac:dyDescent="0.3">
      <c r="A503" t="s">
        <v>1516</v>
      </c>
      <c r="B503" t="s">
        <v>117</v>
      </c>
      <c r="C503" t="s">
        <v>117</v>
      </c>
      <c r="D503" t="s">
        <v>137</v>
      </c>
      <c r="E503">
        <v>1680</v>
      </c>
      <c r="F503">
        <v>777</v>
      </c>
      <c r="G503">
        <v>903</v>
      </c>
      <c r="H503">
        <v>1.2247114655211151</v>
      </c>
      <c r="I503">
        <v>0</v>
      </c>
      <c r="J503">
        <v>63742220.438732877</v>
      </c>
    </row>
    <row r="504" spans="1:10" x14ac:dyDescent="0.3">
      <c r="A504" t="s">
        <v>1517</v>
      </c>
      <c r="B504" t="s">
        <v>117</v>
      </c>
      <c r="C504" t="s">
        <v>117</v>
      </c>
      <c r="D504" t="s">
        <v>138</v>
      </c>
      <c r="E504">
        <v>2127</v>
      </c>
      <c r="F504">
        <v>1158</v>
      </c>
      <c r="G504">
        <v>969</v>
      </c>
      <c r="H504">
        <v>0.71042994496796819</v>
      </c>
      <c r="I504">
        <v>0</v>
      </c>
      <c r="J504">
        <v>412141440.8902784</v>
      </c>
    </row>
    <row r="505" spans="1:10" x14ac:dyDescent="0.3">
      <c r="A505" t="s">
        <v>1518</v>
      </c>
      <c r="B505" t="s">
        <v>117</v>
      </c>
      <c r="C505" t="s">
        <v>117</v>
      </c>
      <c r="D505" t="s">
        <v>139</v>
      </c>
      <c r="E505">
        <v>1683</v>
      </c>
      <c r="F505">
        <v>475</v>
      </c>
      <c r="G505">
        <v>1208</v>
      </c>
      <c r="H505">
        <v>1.270025777818502</v>
      </c>
      <c r="I505">
        <v>0</v>
      </c>
      <c r="J505">
        <v>83871235.032841027</v>
      </c>
    </row>
    <row r="506" spans="1:10" x14ac:dyDescent="0.3">
      <c r="A506" t="s">
        <v>1519</v>
      </c>
      <c r="B506" t="s">
        <v>117</v>
      </c>
      <c r="C506" t="s">
        <v>117</v>
      </c>
      <c r="D506" t="s">
        <v>141</v>
      </c>
      <c r="E506">
        <v>3688</v>
      </c>
      <c r="F506">
        <v>1541</v>
      </c>
      <c r="G506">
        <v>2147</v>
      </c>
      <c r="H506">
        <v>1.8722471132743299</v>
      </c>
      <c r="I506">
        <v>0</v>
      </c>
      <c r="J506">
        <v>99828855.751940757</v>
      </c>
    </row>
    <row r="507" spans="1:10" x14ac:dyDescent="0.3">
      <c r="A507" t="s">
        <v>1520</v>
      </c>
      <c r="B507" t="s">
        <v>149</v>
      </c>
      <c r="C507" t="s">
        <v>150</v>
      </c>
      <c r="D507" t="s">
        <v>153</v>
      </c>
      <c r="E507">
        <v>2069</v>
      </c>
      <c r="F507">
        <v>466</v>
      </c>
      <c r="G507">
        <v>1603</v>
      </c>
      <c r="H507">
        <v>0.52495597214737011</v>
      </c>
      <c r="I507">
        <v>0</v>
      </c>
      <c r="J507">
        <v>200615461.5913789</v>
      </c>
    </row>
    <row r="508" spans="1:10" x14ac:dyDescent="0.3">
      <c r="A508" t="s">
        <v>1521</v>
      </c>
      <c r="B508" t="s">
        <v>149</v>
      </c>
      <c r="C508" t="s">
        <v>150</v>
      </c>
      <c r="D508" t="s">
        <v>154</v>
      </c>
      <c r="E508">
        <v>670</v>
      </c>
      <c r="F508">
        <v>314</v>
      </c>
      <c r="G508">
        <v>356</v>
      </c>
      <c r="H508">
        <v>1.98820491832679</v>
      </c>
      <c r="I508">
        <v>0</v>
      </c>
      <c r="J508">
        <v>17776810.92390871</v>
      </c>
    </row>
    <row r="509" spans="1:10" x14ac:dyDescent="0.3">
      <c r="A509" t="s">
        <v>1522</v>
      </c>
      <c r="B509" t="s">
        <v>149</v>
      </c>
      <c r="C509" t="s">
        <v>150</v>
      </c>
      <c r="D509" t="s">
        <v>155</v>
      </c>
      <c r="E509">
        <v>1393</v>
      </c>
      <c r="F509">
        <v>19</v>
      </c>
      <c r="G509">
        <v>1374</v>
      </c>
      <c r="H509">
        <v>0.612403470712511</v>
      </c>
      <c r="I509">
        <v>0</v>
      </c>
      <c r="J509">
        <v>623727251.41813791</v>
      </c>
    </row>
    <row r="510" spans="1:10" x14ac:dyDescent="0.3">
      <c r="A510" t="s">
        <v>1523</v>
      </c>
      <c r="B510" t="s">
        <v>149</v>
      </c>
      <c r="C510" t="s">
        <v>150</v>
      </c>
      <c r="D510" t="s">
        <v>156</v>
      </c>
      <c r="E510">
        <v>2683</v>
      </c>
      <c r="F510">
        <v>1374</v>
      </c>
      <c r="G510">
        <v>1309</v>
      </c>
      <c r="H510">
        <v>0.73427308981436679</v>
      </c>
      <c r="I510">
        <v>0</v>
      </c>
      <c r="J510">
        <v>178919750.9149788</v>
      </c>
    </row>
    <row r="511" spans="1:10" x14ac:dyDescent="0.3">
      <c r="A511" t="s">
        <v>1524</v>
      </c>
      <c r="B511" t="s">
        <v>149</v>
      </c>
      <c r="C511" t="s">
        <v>150</v>
      </c>
      <c r="D511" t="s">
        <v>158</v>
      </c>
      <c r="E511">
        <v>4349</v>
      </c>
      <c r="F511">
        <v>630</v>
      </c>
      <c r="G511">
        <v>3719</v>
      </c>
      <c r="H511">
        <v>0.56618931243979542</v>
      </c>
      <c r="I511">
        <v>0</v>
      </c>
      <c r="J511">
        <v>442791892.09039962</v>
      </c>
    </row>
    <row r="512" spans="1:10" x14ac:dyDescent="0.3">
      <c r="A512" t="s">
        <v>1525</v>
      </c>
      <c r="B512" t="s">
        <v>149</v>
      </c>
      <c r="C512" t="s">
        <v>150</v>
      </c>
      <c r="D512" t="s">
        <v>159</v>
      </c>
      <c r="E512">
        <v>2404</v>
      </c>
      <c r="F512">
        <v>1514</v>
      </c>
      <c r="G512">
        <v>890</v>
      </c>
      <c r="H512">
        <v>2.551701255209494</v>
      </c>
      <c r="I512">
        <v>0</v>
      </c>
      <c r="J512">
        <v>16575007.430290589</v>
      </c>
    </row>
    <row r="513" spans="1:10" x14ac:dyDescent="0.3">
      <c r="A513" t="s">
        <v>1526</v>
      </c>
      <c r="B513" t="s">
        <v>149</v>
      </c>
      <c r="C513" t="s">
        <v>90</v>
      </c>
      <c r="D513" t="s">
        <v>160</v>
      </c>
      <c r="E513">
        <v>1364</v>
      </c>
      <c r="F513">
        <v>731</v>
      </c>
      <c r="G513">
        <v>633</v>
      </c>
      <c r="H513">
        <v>1.2464382160221561</v>
      </c>
      <c r="I513">
        <v>0</v>
      </c>
      <c r="J513">
        <v>58361555.472915508</v>
      </c>
    </row>
    <row r="514" spans="1:10" x14ac:dyDescent="0.3">
      <c r="A514" t="s">
        <v>1527</v>
      </c>
      <c r="B514" t="s">
        <v>149</v>
      </c>
      <c r="C514" t="s">
        <v>90</v>
      </c>
      <c r="D514" t="s">
        <v>162</v>
      </c>
      <c r="E514">
        <v>1699</v>
      </c>
      <c r="F514">
        <v>894</v>
      </c>
      <c r="G514">
        <v>805</v>
      </c>
      <c r="H514">
        <v>0.98515336169123158</v>
      </c>
      <c r="I514">
        <v>0</v>
      </c>
      <c r="J514">
        <v>69657210.034412861</v>
      </c>
    </row>
    <row r="515" spans="1:10" x14ac:dyDescent="0.3">
      <c r="A515" t="s">
        <v>1528</v>
      </c>
      <c r="B515" t="s">
        <v>149</v>
      </c>
      <c r="C515" t="s">
        <v>90</v>
      </c>
      <c r="D515" t="s">
        <v>164</v>
      </c>
      <c r="E515">
        <v>1951</v>
      </c>
      <c r="F515">
        <v>1025</v>
      </c>
      <c r="G515">
        <v>926</v>
      </c>
      <c r="H515">
        <v>1.6789457397386149</v>
      </c>
      <c r="I515">
        <v>0</v>
      </c>
      <c r="J515">
        <v>31068534.830973201</v>
      </c>
    </row>
    <row r="516" spans="1:10" x14ac:dyDescent="0.3">
      <c r="A516" t="s">
        <v>1529</v>
      </c>
      <c r="B516" t="s">
        <v>149</v>
      </c>
      <c r="C516" t="s">
        <v>165</v>
      </c>
      <c r="D516" t="s">
        <v>167</v>
      </c>
      <c r="E516">
        <v>746</v>
      </c>
      <c r="F516">
        <v>196</v>
      </c>
      <c r="G516">
        <v>550</v>
      </c>
      <c r="H516">
        <v>0.54647718305605542</v>
      </c>
      <c r="I516">
        <v>0</v>
      </c>
      <c r="J516">
        <v>255816272.67176509</v>
      </c>
    </row>
    <row r="517" spans="1:10" x14ac:dyDescent="0.3">
      <c r="A517" t="s">
        <v>1530</v>
      </c>
      <c r="B517" t="s">
        <v>149</v>
      </c>
      <c r="C517" t="s">
        <v>165</v>
      </c>
      <c r="D517" t="s">
        <v>168</v>
      </c>
      <c r="E517">
        <v>3718</v>
      </c>
      <c r="F517">
        <v>2002</v>
      </c>
      <c r="G517">
        <v>1716</v>
      </c>
      <c r="H517">
        <v>1.042427958120747</v>
      </c>
      <c r="I517">
        <v>0</v>
      </c>
      <c r="J517">
        <v>151082175.47424781</v>
      </c>
    </row>
    <row r="518" spans="1:10" x14ac:dyDescent="0.3">
      <c r="A518" t="s">
        <v>1531</v>
      </c>
      <c r="B518" t="s">
        <v>149</v>
      </c>
      <c r="C518" t="s">
        <v>170</v>
      </c>
      <c r="D518" t="s">
        <v>172</v>
      </c>
      <c r="E518">
        <v>1961</v>
      </c>
      <c r="F518">
        <v>493</v>
      </c>
      <c r="G518">
        <v>1468</v>
      </c>
      <c r="H518">
        <v>0.70300739225984321</v>
      </c>
      <c r="I518">
        <v>0</v>
      </c>
      <c r="J518">
        <v>281285922.60046762</v>
      </c>
    </row>
    <row r="519" spans="1:10" x14ac:dyDescent="0.3">
      <c r="A519" t="s">
        <v>1532</v>
      </c>
      <c r="B519" t="s">
        <v>149</v>
      </c>
      <c r="C519" t="s">
        <v>174</v>
      </c>
      <c r="D519" t="s">
        <v>176</v>
      </c>
      <c r="E519">
        <v>2901</v>
      </c>
      <c r="F519">
        <v>1729</v>
      </c>
      <c r="G519">
        <v>1172</v>
      </c>
      <c r="H519">
        <v>3.0941756089893562</v>
      </c>
      <c r="I519">
        <v>0</v>
      </c>
      <c r="J519">
        <v>32629655.035461131</v>
      </c>
    </row>
    <row r="520" spans="1:10" x14ac:dyDescent="0.3">
      <c r="A520" t="s">
        <v>1533</v>
      </c>
      <c r="B520" t="s">
        <v>149</v>
      </c>
      <c r="C520" t="s">
        <v>174</v>
      </c>
      <c r="D520" t="s">
        <v>178</v>
      </c>
      <c r="E520">
        <v>1144</v>
      </c>
      <c r="F520">
        <v>586</v>
      </c>
      <c r="G520">
        <v>558</v>
      </c>
      <c r="H520">
        <v>1.6320542681184149</v>
      </c>
      <c r="I520">
        <v>0</v>
      </c>
      <c r="J520">
        <v>32060292.932294469</v>
      </c>
    </row>
    <row r="521" spans="1:10" x14ac:dyDescent="0.3">
      <c r="A521" t="s">
        <v>1534</v>
      </c>
      <c r="B521" t="s">
        <v>184</v>
      </c>
      <c r="C521" t="s">
        <v>196</v>
      </c>
      <c r="D521" t="s">
        <v>197</v>
      </c>
      <c r="E521">
        <v>3866</v>
      </c>
      <c r="F521">
        <v>1223</v>
      </c>
      <c r="G521">
        <v>2643</v>
      </c>
      <c r="H521">
        <v>0.73735067526969955</v>
      </c>
      <c r="I521">
        <v>0</v>
      </c>
      <c r="J521">
        <v>247982097.33019289</v>
      </c>
    </row>
    <row r="522" spans="1:10" x14ac:dyDescent="0.3">
      <c r="A522" t="s">
        <v>1535</v>
      </c>
      <c r="B522" t="s">
        <v>184</v>
      </c>
      <c r="C522" t="s">
        <v>196</v>
      </c>
      <c r="D522" t="s">
        <v>198</v>
      </c>
      <c r="E522">
        <v>1958</v>
      </c>
      <c r="F522">
        <v>714</v>
      </c>
      <c r="G522">
        <v>1244</v>
      </c>
      <c r="H522">
        <v>0.67737122474506573</v>
      </c>
      <c r="I522">
        <v>0</v>
      </c>
      <c r="J522">
        <v>181411062.8097333</v>
      </c>
    </row>
    <row r="523" spans="1:10" x14ac:dyDescent="0.3">
      <c r="A523" t="s">
        <v>1536</v>
      </c>
      <c r="B523" t="s">
        <v>184</v>
      </c>
      <c r="C523" t="s">
        <v>199</v>
      </c>
      <c r="D523" t="s">
        <v>200</v>
      </c>
      <c r="E523">
        <v>5526</v>
      </c>
      <c r="F523">
        <v>1716</v>
      </c>
      <c r="G523">
        <v>3810</v>
      </c>
      <c r="H523">
        <v>0.97838165183583836</v>
      </c>
      <c r="I523">
        <v>0</v>
      </c>
      <c r="J523">
        <v>162289338.10519171</v>
      </c>
    </row>
    <row r="524" spans="1:10" x14ac:dyDescent="0.3">
      <c r="A524" t="s">
        <v>1537</v>
      </c>
      <c r="B524" t="s">
        <v>184</v>
      </c>
      <c r="C524" t="s">
        <v>199</v>
      </c>
      <c r="D524" t="s">
        <v>201</v>
      </c>
      <c r="E524">
        <v>13862</v>
      </c>
      <c r="F524">
        <v>4841</v>
      </c>
      <c r="G524">
        <v>9021</v>
      </c>
      <c r="H524">
        <v>0.78121902393151987</v>
      </c>
      <c r="I524">
        <v>0</v>
      </c>
      <c r="J524">
        <v>407965363.59823447</v>
      </c>
    </row>
    <row r="525" spans="1:10" x14ac:dyDescent="0.3">
      <c r="A525" t="s">
        <v>1538</v>
      </c>
      <c r="B525" t="s">
        <v>184</v>
      </c>
      <c r="C525" t="s">
        <v>199</v>
      </c>
      <c r="D525" t="s">
        <v>202</v>
      </c>
      <c r="E525">
        <v>692</v>
      </c>
      <c r="F525">
        <v>168</v>
      </c>
      <c r="G525">
        <v>524</v>
      </c>
      <c r="H525">
        <v>0.72775641506745159</v>
      </c>
      <c r="I525">
        <v>0</v>
      </c>
      <c r="J525">
        <v>32494962.159293659</v>
      </c>
    </row>
    <row r="526" spans="1:10" x14ac:dyDescent="0.3">
      <c r="A526" t="s">
        <v>1539</v>
      </c>
      <c r="B526" t="s">
        <v>184</v>
      </c>
      <c r="C526" t="s">
        <v>204</v>
      </c>
      <c r="D526" t="s">
        <v>205</v>
      </c>
      <c r="E526">
        <v>3798</v>
      </c>
      <c r="F526">
        <v>178</v>
      </c>
      <c r="G526">
        <v>3620</v>
      </c>
      <c r="H526">
        <v>0.68527224986013413</v>
      </c>
      <c r="I526">
        <v>0</v>
      </c>
      <c r="J526">
        <v>282094970.83329397</v>
      </c>
    </row>
    <row r="527" spans="1:10" x14ac:dyDescent="0.3">
      <c r="A527" t="s">
        <v>1540</v>
      </c>
      <c r="B527" t="s">
        <v>184</v>
      </c>
      <c r="C527" t="s">
        <v>204</v>
      </c>
      <c r="D527" t="s">
        <v>208</v>
      </c>
      <c r="E527">
        <v>1916</v>
      </c>
      <c r="F527">
        <v>65</v>
      </c>
      <c r="G527">
        <v>1851</v>
      </c>
      <c r="H527">
        <v>0.65598112832830036</v>
      </c>
      <c r="I527">
        <v>0</v>
      </c>
      <c r="J527">
        <v>205989575.65747541</v>
      </c>
    </row>
    <row r="528" spans="1:10" x14ac:dyDescent="0.3">
      <c r="A528" t="s">
        <v>1541</v>
      </c>
      <c r="B528" t="s">
        <v>184</v>
      </c>
      <c r="C528" t="s">
        <v>204</v>
      </c>
      <c r="D528" t="s">
        <v>209</v>
      </c>
      <c r="E528">
        <v>4026</v>
      </c>
      <c r="F528">
        <v>1176</v>
      </c>
      <c r="G528">
        <v>2850</v>
      </c>
      <c r="H528">
        <v>0.75021992727924103</v>
      </c>
      <c r="I528">
        <v>0</v>
      </c>
      <c r="J528">
        <v>192915130.79261491</v>
      </c>
    </row>
    <row r="529" spans="1:10" x14ac:dyDescent="0.3">
      <c r="A529" t="s">
        <v>1542</v>
      </c>
      <c r="B529" t="s">
        <v>184</v>
      </c>
      <c r="C529" t="s">
        <v>220</v>
      </c>
      <c r="D529" t="s">
        <v>223</v>
      </c>
      <c r="E529">
        <v>1850</v>
      </c>
      <c r="F529">
        <v>392</v>
      </c>
      <c r="G529">
        <v>1458</v>
      </c>
      <c r="H529">
        <v>0.65527798278416682</v>
      </c>
      <c r="I529">
        <v>0</v>
      </c>
      <c r="J529">
        <v>131649847.74023899</v>
      </c>
    </row>
    <row r="530" spans="1:10" x14ac:dyDescent="0.3">
      <c r="A530" t="s">
        <v>1543</v>
      </c>
      <c r="B530" t="s">
        <v>184</v>
      </c>
      <c r="C530" t="s">
        <v>220</v>
      </c>
      <c r="D530" t="s">
        <v>224</v>
      </c>
      <c r="E530">
        <v>1024</v>
      </c>
      <c r="F530">
        <v>134</v>
      </c>
      <c r="G530">
        <v>890</v>
      </c>
      <c r="H530">
        <v>0.74892571136440822</v>
      </c>
      <c r="I530">
        <v>0</v>
      </c>
      <c r="J530">
        <v>116438367.2025093</v>
      </c>
    </row>
    <row r="531" spans="1:10" x14ac:dyDescent="0.3">
      <c r="A531" t="s">
        <v>1544</v>
      </c>
      <c r="B531" t="s">
        <v>225</v>
      </c>
      <c r="C531" t="s">
        <v>226</v>
      </c>
      <c r="D531" t="s">
        <v>233</v>
      </c>
      <c r="E531">
        <v>3925</v>
      </c>
      <c r="F531">
        <v>482</v>
      </c>
      <c r="G531">
        <v>3443</v>
      </c>
      <c r="H531">
        <v>0.8089681929148973</v>
      </c>
      <c r="I531">
        <v>0</v>
      </c>
      <c r="J531">
        <v>279311157.58146697</v>
      </c>
    </row>
    <row r="532" spans="1:10" x14ac:dyDescent="0.3">
      <c r="A532" t="s">
        <v>1545</v>
      </c>
      <c r="B532" t="s">
        <v>225</v>
      </c>
      <c r="C532" t="s">
        <v>237</v>
      </c>
      <c r="D532" t="s">
        <v>240</v>
      </c>
      <c r="E532">
        <v>1743</v>
      </c>
      <c r="F532">
        <v>559</v>
      </c>
      <c r="G532">
        <v>1184</v>
      </c>
      <c r="H532">
        <v>0.91278479505365018</v>
      </c>
      <c r="I532">
        <v>0</v>
      </c>
      <c r="J532">
        <v>129549312.9215893</v>
      </c>
    </row>
    <row r="533" spans="1:10" x14ac:dyDescent="0.3">
      <c r="A533" t="s">
        <v>1546</v>
      </c>
      <c r="B533" t="s">
        <v>225</v>
      </c>
      <c r="C533" t="s">
        <v>237</v>
      </c>
      <c r="D533" t="s">
        <v>241</v>
      </c>
      <c r="E533">
        <v>1864</v>
      </c>
      <c r="F533">
        <v>355</v>
      </c>
      <c r="G533">
        <v>1509</v>
      </c>
      <c r="H533">
        <v>0.82207099575209408</v>
      </c>
      <c r="I533">
        <v>0</v>
      </c>
      <c r="J533">
        <v>102883885.3586278</v>
      </c>
    </row>
    <row r="534" spans="1:10" x14ac:dyDescent="0.3">
      <c r="A534" t="s">
        <v>1547</v>
      </c>
      <c r="B534" t="s">
        <v>225</v>
      </c>
      <c r="C534" t="s">
        <v>237</v>
      </c>
      <c r="D534" t="s">
        <v>242</v>
      </c>
      <c r="E534">
        <v>257</v>
      </c>
      <c r="F534">
        <v>193</v>
      </c>
      <c r="G534">
        <v>64</v>
      </c>
      <c r="H534">
        <v>1.4247856863664079</v>
      </c>
      <c r="I534">
        <v>0</v>
      </c>
      <c r="J534">
        <v>10936374.77909318</v>
      </c>
    </row>
    <row r="535" spans="1:10" x14ac:dyDescent="0.3">
      <c r="A535" t="s">
        <v>1548</v>
      </c>
      <c r="B535" t="s">
        <v>225</v>
      </c>
      <c r="C535" t="s">
        <v>247</v>
      </c>
      <c r="D535" t="s">
        <v>249</v>
      </c>
      <c r="E535">
        <v>710</v>
      </c>
      <c r="F535">
        <v>55</v>
      </c>
      <c r="G535">
        <v>655</v>
      </c>
      <c r="H535">
        <v>0.6545405067969664</v>
      </c>
      <c r="I535">
        <v>0</v>
      </c>
      <c r="J535">
        <v>110462026.5237771</v>
      </c>
    </row>
    <row r="536" spans="1:10" x14ac:dyDescent="0.3">
      <c r="A536" t="s">
        <v>1549</v>
      </c>
      <c r="B536" t="s">
        <v>225</v>
      </c>
      <c r="C536" t="s">
        <v>247</v>
      </c>
      <c r="D536" t="s">
        <v>251</v>
      </c>
      <c r="E536">
        <v>3045</v>
      </c>
      <c r="F536">
        <v>205</v>
      </c>
      <c r="G536">
        <v>2840</v>
      </c>
      <c r="H536">
        <v>0.74242553143728407</v>
      </c>
      <c r="I536">
        <v>0</v>
      </c>
      <c r="J536">
        <v>266049407.6911833</v>
      </c>
    </row>
    <row r="537" spans="1:10" x14ac:dyDescent="0.3">
      <c r="A537" t="s">
        <v>1550</v>
      </c>
      <c r="B537" t="s">
        <v>225</v>
      </c>
      <c r="C537" t="s">
        <v>254</v>
      </c>
      <c r="D537" t="s">
        <v>257</v>
      </c>
      <c r="E537">
        <v>1083</v>
      </c>
      <c r="F537">
        <v>292</v>
      </c>
      <c r="G537">
        <v>791</v>
      </c>
      <c r="H537">
        <v>1.6250552456580289</v>
      </c>
      <c r="I537">
        <v>0</v>
      </c>
      <c r="J537">
        <v>24928897.401075792</v>
      </c>
    </row>
    <row r="538" spans="1:10" x14ac:dyDescent="0.3">
      <c r="A538" t="s">
        <v>1551</v>
      </c>
      <c r="B538" t="s">
        <v>225</v>
      </c>
      <c r="C538" t="s">
        <v>259</v>
      </c>
      <c r="D538" t="s">
        <v>260</v>
      </c>
      <c r="E538">
        <v>6410</v>
      </c>
      <c r="F538">
        <v>616</v>
      </c>
      <c r="G538">
        <v>5794</v>
      </c>
      <c r="H538">
        <v>0.75040194140962913</v>
      </c>
      <c r="I538">
        <v>0</v>
      </c>
      <c r="J538">
        <v>566550758.9182924</v>
      </c>
    </row>
    <row r="539" spans="1:10" x14ac:dyDescent="0.3">
      <c r="A539" t="s">
        <v>1552</v>
      </c>
      <c r="B539" t="s">
        <v>225</v>
      </c>
      <c r="C539" t="s">
        <v>262</v>
      </c>
      <c r="D539" t="s">
        <v>263</v>
      </c>
      <c r="E539">
        <v>224</v>
      </c>
      <c r="F539">
        <v>46</v>
      </c>
      <c r="G539">
        <v>178</v>
      </c>
      <c r="H539">
        <v>1.1093602055063509</v>
      </c>
      <c r="I539">
        <v>0</v>
      </c>
      <c r="J539">
        <v>14831516.253676429</v>
      </c>
    </row>
    <row r="540" spans="1:10" x14ac:dyDescent="0.3">
      <c r="A540" t="s">
        <v>1553</v>
      </c>
      <c r="B540" t="s">
        <v>225</v>
      </c>
      <c r="C540" t="s">
        <v>262</v>
      </c>
      <c r="D540" t="s">
        <v>264</v>
      </c>
      <c r="E540">
        <v>1156</v>
      </c>
      <c r="F540">
        <v>211</v>
      </c>
      <c r="G540">
        <v>945</v>
      </c>
      <c r="H540">
        <v>1.2742858374846311</v>
      </c>
      <c r="I540">
        <v>0</v>
      </c>
      <c r="J540">
        <v>33072385.00980176</v>
      </c>
    </row>
    <row r="541" spans="1:10" x14ac:dyDescent="0.3">
      <c r="A541" t="s">
        <v>1554</v>
      </c>
      <c r="B541" t="s">
        <v>225</v>
      </c>
      <c r="C541" t="s">
        <v>262</v>
      </c>
      <c r="D541" t="s">
        <v>270</v>
      </c>
      <c r="E541">
        <v>274</v>
      </c>
      <c r="F541">
        <v>35</v>
      </c>
      <c r="G541">
        <v>239</v>
      </c>
      <c r="H541">
        <v>1.041956682258699</v>
      </c>
      <c r="I541">
        <v>0</v>
      </c>
      <c r="J541">
        <v>21194919.701007821</v>
      </c>
    </row>
    <row r="542" spans="1:10" x14ac:dyDescent="0.3">
      <c r="A542" t="s">
        <v>1555</v>
      </c>
      <c r="B542" t="s">
        <v>225</v>
      </c>
      <c r="C542" t="s">
        <v>272</v>
      </c>
      <c r="D542" t="s">
        <v>272</v>
      </c>
      <c r="E542">
        <v>2243</v>
      </c>
      <c r="F542">
        <v>1426</v>
      </c>
      <c r="G542">
        <v>817</v>
      </c>
      <c r="H542">
        <v>2.6885374222425198</v>
      </c>
      <c r="I542">
        <v>0</v>
      </c>
      <c r="J542">
        <v>31741179.317875359</v>
      </c>
    </row>
    <row r="543" spans="1:10" x14ac:dyDescent="0.3">
      <c r="A543" t="s">
        <v>1556</v>
      </c>
      <c r="B543" t="s">
        <v>225</v>
      </c>
      <c r="C543" t="s">
        <v>272</v>
      </c>
      <c r="D543" t="s">
        <v>273</v>
      </c>
      <c r="E543">
        <v>1294</v>
      </c>
      <c r="F543">
        <v>644</v>
      </c>
      <c r="G543">
        <v>650</v>
      </c>
      <c r="H543">
        <v>0.79783914327616767</v>
      </c>
      <c r="I543">
        <v>0</v>
      </c>
      <c r="J543">
        <v>74222642.894390225</v>
      </c>
    </row>
    <row r="544" spans="1:10" x14ac:dyDescent="0.3">
      <c r="A544" t="s">
        <v>1557</v>
      </c>
      <c r="B544" t="s">
        <v>225</v>
      </c>
      <c r="C544" t="s">
        <v>272</v>
      </c>
      <c r="D544" t="s">
        <v>275</v>
      </c>
      <c r="E544">
        <v>533</v>
      </c>
      <c r="F544">
        <v>193</v>
      </c>
      <c r="G544">
        <v>340</v>
      </c>
      <c r="H544">
        <v>0.68903569604494563</v>
      </c>
      <c r="I544">
        <v>0</v>
      </c>
      <c r="J544">
        <v>72965311.079347253</v>
      </c>
    </row>
    <row r="545" spans="1:10" x14ac:dyDescent="0.3">
      <c r="A545" t="s">
        <v>1558</v>
      </c>
      <c r="B545" t="s">
        <v>225</v>
      </c>
      <c r="C545" t="s">
        <v>272</v>
      </c>
      <c r="D545" t="s">
        <v>276</v>
      </c>
      <c r="E545">
        <v>1093</v>
      </c>
      <c r="F545">
        <v>582</v>
      </c>
      <c r="G545">
        <v>511</v>
      </c>
      <c r="H545">
        <v>4.9455863292099984</v>
      </c>
      <c r="I545">
        <v>0</v>
      </c>
      <c r="J545">
        <v>3872150.4455581652</v>
      </c>
    </row>
    <row r="546" spans="1:10" x14ac:dyDescent="0.3">
      <c r="A546" t="s">
        <v>1559</v>
      </c>
      <c r="B546" t="s">
        <v>225</v>
      </c>
      <c r="C546" t="s">
        <v>272</v>
      </c>
      <c r="D546" t="s">
        <v>278</v>
      </c>
      <c r="E546">
        <v>249</v>
      </c>
      <c r="F546">
        <v>126</v>
      </c>
      <c r="G546">
        <v>123</v>
      </c>
      <c r="H546">
        <v>1.143391539802773</v>
      </c>
      <c r="I546">
        <v>0</v>
      </c>
      <c r="J546">
        <v>25189461.50343639</v>
      </c>
    </row>
    <row r="547" spans="1:10" x14ac:dyDescent="0.3">
      <c r="A547" t="s">
        <v>1560</v>
      </c>
      <c r="B547" t="s">
        <v>225</v>
      </c>
      <c r="C547" t="s">
        <v>279</v>
      </c>
      <c r="D547" t="s">
        <v>279</v>
      </c>
      <c r="E547">
        <v>16593</v>
      </c>
      <c r="F547">
        <v>10587</v>
      </c>
      <c r="G547">
        <v>6006</v>
      </c>
      <c r="H547">
        <v>1.1900967337866291</v>
      </c>
      <c r="I547">
        <v>0</v>
      </c>
      <c r="J547">
        <v>159262757.17903429</v>
      </c>
    </row>
    <row r="548" spans="1:10" x14ac:dyDescent="0.3">
      <c r="A548" t="s">
        <v>1561</v>
      </c>
      <c r="B548" t="s">
        <v>280</v>
      </c>
      <c r="C548" t="s">
        <v>283</v>
      </c>
      <c r="D548" t="s">
        <v>284</v>
      </c>
      <c r="E548">
        <v>1924</v>
      </c>
      <c r="F548">
        <v>889</v>
      </c>
      <c r="G548">
        <v>1035</v>
      </c>
      <c r="H548">
        <v>2.7033959514972432</v>
      </c>
      <c r="I548">
        <v>0</v>
      </c>
      <c r="J548">
        <v>97312099.186405927</v>
      </c>
    </row>
    <row r="549" spans="1:10" x14ac:dyDescent="0.3">
      <c r="A549" t="s">
        <v>1562</v>
      </c>
      <c r="B549" t="s">
        <v>280</v>
      </c>
      <c r="C549" t="s">
        <v>283</v>
      </c>
      <c r="D549" t="s">
        <v>286</v>
      </c>
      <c r="E549">
        <v>883</v>
      </c>
      <c r="F549">
        <v>423</v>
      </c>
      <c r="G549">
        <v>460</v>
      </c>
      <c r="H549">
        <v>0.94214153723806104</v>
      </c>
      <c r="I549">
        <v>0</v>
      </c>
      <c r="J549">
        <v>78357856.658124626</v>
      </c>
    </row>
    <row r="550" spans="1:10" x14ac:dyDescent="0.3">
      <c r="A550" t="s">
        <v>1563</v>
      </c>
      <c r="B550" t="s">
        <v>280</v>
      </c>
      <c r="C550" t="s">
        <v>288</v>
      </c>
      <c r="D550" t="s">
        <v>293</v>
      </c>
      <c r="E550">
        <v>302</v>
      </c>
      <c r="F550">
        <v>90</v>
      </c>
      <c r="G550">
        <v>212</v>
      </c>
      <c r="H550">
        <v>0.7047014803348054</v>
      </c>
      <c r="I550">
        <v>0</v>
      </c>
      <c r="J550">
        <v>96215852.769127727</v>
      </c>
    </row>
    <row r="551" spans="1:10" x14ac:dyDescent="0.3">
      <c r="A551" t="s">
        <v>1564</v>
      </c>
      <c r="B551" t="s">
        <v>280</v>
      </c>
      <c r="C551" t="s">
        <v>294</v>
      </c>
      <c r="D551" t="s">
        <v>295</v>
      </c>
      <c r="E551">
        <v>1586</v>
      </c>
      <c r="F551">
        <v>990</v>
      </c>
      <c r="G551">
        <v>596</v>
      </c>
      <c r="H551">
        <v>2.0036949390854302</v>
      </c>
      <c r="I551">
        <v>0</v>
      </c>
      <c r="J551">
        <v>12832705.53656273</v>
      </c>
    </row>
    <row r="552" spans="1:10" x14ac:dyDescent="0.3">
      <c r="A552" t="s">
        <v>1565</v>
      </c>
      <c r="B552" t="s">
        <v>280</v>
      </c>
      <c r="C552" t="s">
        <v>296</v>
      </c>
      <c r="D552" t="s">
        <v>296</v>
      </c>
      <c r="E552">
        <v>2251</v>
      </c>
      <c r="F552">
        <v>841</v>
      </c>
      <c r="G552">
        <v>1410</v>
      </c>
      <c r="H552">
        <v>0.97947888123550997</v>
      </c>
      <c r="I552">
        <v>0</v>
      </c>
      <c r="J552">
        <v>331634658.39531279</v>
      </c>
    </row>
    <row r="553" spans="1:10" x14ac:dyDescent="0.3">
      <c r="A553" t="s">
        <v>1566</v>
      </c>
      <c r="B553" t="s">
        <v>280</v>
      </c>
      <c r="C553" t="s">
        <v>297</v>
      </c>
      <c r="D553" t="s">
        <v>298</v>
      </c>
      <c r="E553">
        <v>7337</v>
      </c>
      <c r="F553">
        <v>2486</v>
      </c>
      <c r="G553">
        <v>4851</v>
      </c>
      <c r="H553">
        <v>2.356649381968702</v>
      </c>
      <c r="I553">
        <v>0</v>
      </c>
      <c r="J553">
        <v>68638007.318094447</v>
      </c>
    </row>
    <row r="554" spans="1:10" x14ac:dyDescent="0.3">
      <c r="A554" t="s">
        <v>1567</v>
      </c>
      <c r="B554" t="s">
        <v>280</v>
      </c>
      <c r="C554" t="s">
        <v>297</v>
      </c>
      <c r="D554" t="s">
        <v>299</v>
      </c>
      <c r="E554">
        <v>4433</v>
      </c>
      <c r="F554">
        <v>1786</v>
      </c>
      <c r="G554">
        <v>2647</v>
      </c>
      <c r="H554">
        <v>5.0568447102834471</v>
      </c>
      <c r="I554">
        <v>0</v>
      </c>
      <c r="J554">
        <v>13621122.85141393</v>
      </c>
    </row>
    <row r="555" spans="1:10" x14ac:dyDescent="0.3">
      <c r="A555" t="s">
        <v>1568</v>
      </c>
      <c r="B555" t="s">
        <v>280</v>
      </c>
      <c r="C555" t="s">
        <v>297</v>
      </c>
      <c r="D555" t="s">
        <v>300</v>
      </c>
      <c r="E555">
        <v>5326</v>
      </c>
      <c r="F555">
        <v>1921</v>
      </c>
      <c r="G555">
        <v>3405</v>
      </c>
      <c r="H555">
        <v>1.778547744400544</v>
      </c>
      <c r="I555">
        <v>0</v>
      </c>
      <c r="J555">
        <v>106274088.282993</v>
      </c>
    </row>
    <row r="556" spans="1:10" x14ac:dyDescent="0.3">
      <c r="A556" t="s">
        <v>1569</v>
      </c>
      <c r="B556" t="s">
        <v>280</v>
      </c>
      <c r="C556" t="s">
        <v>297</v>
      </c>
      <c r="D556" t="s">
        <v>301</v>
      </c>
      <c r="E556">
        <v>6765</v>
      </c>
      <c r="F556">
        <v>4029</v>
      </c>
      <c r="G556">
        <v>2736</v>
      </c>
      <c r="H556">
        <v>1.1745588310453079</v>
      </c>
      <c r="I556">
        <v>0</v>
      </c>
      <c r="J556">
        <v>155368035.4006398</v>
      </c>
    </row>
    <row r="557" spans="1:10" x14ac:dyDescent="0.3">
      <c r="A557" t="s">
        <v>1570</v>
      </c>
      <c r="B557" t="s">
        <v>280</v>
      </c>
      <c r="C557" t="s">
        <v>305</v>
      </c>
      <c r="D557" t="s">
        <v>306</v>
      </c>
      <c r="E557">
        <v>7708</v>
      </c>
      <c r="F557">
        <v>4426</v>
      </c>
      <c r="G557">
        <v>3282</v>
      </c>
      <c r="H557">
        <v>2.8728168332673918</v>
      </c>
      <c r="I557">
        <v>0</v>
      </c>
      <c r="J557">
        <v>41270073.018962868</v>
      </c>
    </row>
    <row r="558" spans="1:10" x14ac:dyDescent="0.3">
      <c r="A558" t="s">
        <v>1571</v>
      </c>
      <c r="B558" t="s">
        <v>280</v>
      </c>
      <c r="C558" t="s">
        <v>305</v>
      </c>
      <c r="D558" t="s">
        <v>307</v>
      </c>
      <c r="E558">
        <v>2887</v>
      </c>
      <c r="F558">
        <v>1672</v>
      </c>
      <c r="G558">
        <v>1215</v>
      </c>
      <c r="H558">
        <v>1.415346044647394</v>
      </c>
      <c r="I558">
        <v>0</v>
      </c>
      <c r="J558">
        <v>61143170.887276657</v>
      </c>
    </row>
    <row r="559" spans="1:10" x14ac:dyDescent="0.3">
      <c r="A559" t="s">
        <v>1572</v>
      </c>
      <c r="B559" t="s">
        <v>280</v>
      </c>
      <c r="C559" t="s">
        <v>305</v>
      </c>
      <c r="D559" t="s">
        <v>308</v>
      </c>
      <c r="E559">
        <v>4025</v>
      </c>
      <c r="F559">
        <v>1648</v>
      </c>
      <c r="G559">
        <v>2377</v>
      </c>
      <c r="H559">
        <v>5.465405769302885</v>
      </c>
      <c r="I559">
        <v>0</v>
      </c>
      <c r="J559">
        <v>16194565.74471694</v>
      </c>
    </row>
    <row r="560" spans="1:10" x14ac:dyDescent="0.3">
      <c r="A560" t="s">
        <v>1573</v>
      </c>
      <c r="B560" t="s">
        <v>280</v>
      </c>
      <c r="C560" t="s">
        <v>305</v>
      </c>
      <c r="D560" t="s">
        <v>310</v>
      </c>
      <c r="E560">
        <v>904</v>
      </c>
      <c r="F560">
        <v>365</v>
      </c>
      <c r="G560">
        <v>539</v>
      </c>
      <c r="H560">
        <v>1.069511978468856</v>
      </c>
      <c r="I560">
        <v>0</v>
      </c>
      <c r="J560">
        <v>30183190.861776471</v>
      </c>
    </row>
    <row r="561" spans="1:10" x14ac:dyDescent="0.3">
      <c r="A561" t="s">
        <v>1574</v>
      </c>
      <c r="B561" t="s">
        <v>280</v>
      </c>
      <c r="C561" t="s">
        <v>312</v>
      </c>
      <c r="D561" t="s">
        <v>315</v>
      </c>
      <c r="E561">
        <v>1264</v>
      </c>
      <c r="F561">
        <v>636</v>
      </c>
      <c r="G561">
        <v>628</v>
      </c>
      <c r="H561">
        <v>0.91870414458074323</v>
      </c>
      <c r="I561">
        <v>0</v>
      </c>
      <c r="J561">
        <v>84232965.983198225</v>
      </c>
    </row>
    <row r="562" spans="1:10" x14ac:dyDescent="0.3">
      <c r="A562" t="s">
        <v>1575</v>
      </c>
      <c r="B562" t="s">
        <v>280</v>
      </c>
      <c r="C562" t="s">
        <v>312</v>
      </c>
      <c r="D562" t="s">
        <v>318</v>
      </c>
      <c r="E562">
        <v>2775</v>
      </c>
      <c r="F562">
        <v>1128</v>
      </c>
      <c r="G562">
        <v>1647</v>
      </c>
      <c r="H562">
        <v>0.94261008863828277</v>
      </c>
      <c r="I562">
        <v>0</v>
      </c>
      <c r="J562">
        <v>117150827.51129749</v>
      </c>
    </row>
    <row r="563" spans="1:10" x14ac:dyDescent="0.3">
      <c r="A563" t="s">
        <v>1576</v>
      </c>
      <c r="B563" t="s">
        <v>280</v>
      </c>
      <c r="C563" t="s">
        <v>319</v>
      </c>
      <c r="D563" t="s">
        <v>320</v>
      </c>
      <c r="E563">
        <v>538</v>
      </c>
      <c r="F563">
        <v>269</v>
      </c>
      <c r="G563">
        <v>269</v>
      </c>
      <c r="H563">
        <v>1.636678632317863</v>
      </c>
      <c r="I563">
        <v>0</v>
      </c>
      <c r="J563">
        <v>17341960.365821101</v>
      </c>
    </row>
    <row r="564" spans="1:10" x14ac:dyDescent="0.3">
      <c r="A564" t="s">
        <v>1577</v>
      </c>
      <c r="B564" t="s">
        <v>280</v>
      </c>
      <c r="C564" t="s">
        <v>319</v>
      </c>
      <c r="D564" t="s">
        <v>322</v>
      </c>
      <c r="E564">
        <v>937</v>
      </c>
      <c r="F564">
        <v>308</v>
      </c>
      <c r="G564">
        <v>629</v>
      </c>
      <c r="H564">
        <v>0.81619708703746729</v>
      </c>
      <c r="I564">
        <v>0</v>
      </c>
      <c r="J564">
        <v>152381675.683404</v>
      </c>
    </row>
    <row r="565" spans="1:10" x14ac:dyDescent="0.3">
      <c r="A565" t="s">
        <v>1578</v>
      </c>
      <c r="B565" t="s">
        <v>280</v>
      </c>
      <c r="C565" t="s">
        <v>323</v>
      </c>
      <c r="D565" t="s">
        <v>325</v>
      </c>
      <c r="E565">
        <v>1126</v>
      </c>
      <c r="F565">
        <v>351</v>
      </c>
      <c r="G565">
        <v>775</v>
      </c>
      <c r="H565">
        <v>1.4096604369852559</v>
      </c>
      <c r="I565">
        <v>0</v>
      </c>
      <c r="J565">
        <v>326086852.44249761</v>
      </c>
    </row>
    <row r="566" spans="1:10" x14ac:dyDescent="0.3">
      <c r="A566" t="s">
        <v>1579</v>
      </c>
      <c r="B566" t="s">
        <v>280</v>
      </c>
      <c r="C566" t="s">
        <v>323</v>
      </c>
      <c r="D566" t="s">
        <v>295</v>
      </c>
      <c r="E566">
        <v>2732</v>
      </c>
      <c r="F566">
        <v>1204</v>
      </c>
      <c r="G566">
        <v>1528</v>
      </c>
      <c r="H566">
        <v>1.051741314379504</v>
      </c>
      <c r="I566">
        <v>0</v>
      </c>
      <c r="J566">
        <v>107676051.8982849</v>
      </c>
    </row>
    <row r="567" spans="1:10" x14ac:dyDescent="0.3">
      <c r="A567" t="s">
        <v>1580</v>
      </c>
      <c r="B567" t="s">
        <v>280</v>
      </c>
      <c r="C567" t="s">
        <v>329</v>
      </c>
      <c r="D567" t="s">
        <v>333</v>
      </c>
      <c r="E567">
        <v>1832</v>
      </c>
      <c r="F567">
        <v>504</v>
      </c>
      <c r="G567">
        <v>1328</v>
      </c>
      <c r="H567">
        <v>0.91442351089487905</v>
      </c>
      <c r="I567">
        <v>0</v>
      </c>
      <c r="J567">
        <v>156765311.98949009</v>
      </c>
    </row>
    <row r="568" spans="1:10" x14ac:dyDescent="0.3">
      <c r="A568" t="s">
        <v>1581</v>
      </c>
      <c r="B568" t="s">
        <v>280</v>
      </c>
      <c r="C568" t="s">
        <v>329</v>
      </c>
      <c r="D568" t="s">
        <v>338</v>
      </c>
      <c r="E568">
        <v>768</v>
      </c>
      <c r="F568">
        <v>125</v>
      </c>
      <c r="G568">
        <v>643</v>
      </c>
      <c r="H568">
        <v>0.70612638296605679</v>
      </c>
      <c r="I568">
        <v>0</v>
      </c>
      <c r="J568">
        <v>97277967.933611199</v>
      </c>
    </row>
    <row r="569" spans="1:10" x14ac:dyDescent="0.3">
      <c r="A569" t="s">
        <v>1582</v>
      </c>
      <c r="B569" t="s">
        <v>280</v>
      </c>
      <c r="C569" t="s">
        <v>339</v>
      </c>
      <c r="D569" t="s">
        <v>168</v>
      </c>
      <c r="E569">
        <v>871</v>
      </c>
      <c r="F569">
        <v>327</v>
      </c>
      <c r="G569">
        <v>544</v>
      </c>
      <c r="H569">
        <v>0.75504140175494172</v>
      </c>
      <c r="I569">
        <v>0</v>
      </c>
      <c r="J569">
        <v>83192176.685333073</v>
      </c>
    </row>
    <row r="570" spans="1:10" x14ac:dyDescent="0.3">
      <c r="A570" t="s">
        <v>1583</v>
      </c>
      <c r="B570" t="s">
        <v>280</v>
      </c>
      <c r="C570" t="s">
        <v>339</v>
      </c>
      <c r="D570" t="s">
        <v>340</v>
      </c>
      <c r="E570">
        <v>880</v>
      </c>
      <c r="F570">
        <v>605</v>
      </c>
      <c r="G570">
        <v>275</v>
      </c>
      <c r="H570">
        <v>0.96202333065989321</v>
      </c>
      <c r="I570">
        <v>0</v>
      </c>
      <c r="J570">
        <v>78463336.88205424</v>
      </c>
    </row>
    <row r="571" spans="1:10" x14ac:dyDescent="0.3">
      <c r="A571" t="s">
        <v>1584</v>
      </c>
      <c r="B571" t="s">
        <v>341</v>
      </c>
      <c r="C571" t="s">
        <v>341</v>
      </c>
      <c r="D571" t="s">
        <v>342</v>
      </c>
      <c r="E571">
        <v>3947</v>
      </c>
      <c r="F571">
        <v>577</v>
      </c>
      <c r="G571">
        <v>3370</v>
      </c>
      <c r="H571">
        <v>1.2483607838456949</v>
      </c>
      <c r="I571">
        <v>0</v>
      </c>
      <c r="J571">
        <v>167430249.1909664</v>
      </c>
    </row>
    <row r="572" spans="1:10" x14ac:dyDescent="0.3">
      <c r="A572" t="s">
        <v>1585</v>
      </c>
      <c r="B572" t="s">
        <v>341</v>
      </c>
      <c r="C572" t="s">
        <v>341</v>
      </c>
      <c r="D572" t="s">
        <v>344</v>
      </c>
      <c r="E572">
        <v>5103</v>
      </c>
      <c r="F572">
        <v>13</v>
      </c>
      <c r="G572">
        <v>5090</v>
      </c>
      <c r="H572">
        <v>0.79461740653246793</v>
      </c>
      <c r="I572">
        <v>0</v>
      </c>
      <c r="J572">
        <v>224470158.79243591</v>
      </c>
    </row>
    <row r="573" spans="1:10" x14ac:dyDescent="0.3">
      <c r="A573" t="s">
        <v>1586</v>
      </c>
      <c r="B573" t="s">
        <v>341</v>
      </c>
      <c r="C573" t="s">
        <v>341</v>
      </c>
      <c r="D573" t="s">
        <v>345</v>
      </c>
      <c r="E573">
        <v>3368</v>
      </c>
      <c r="F573">
        <v>38</v>
      </c>
      <c r="G573">
        <v>3330</v>
      </c>
      <c r="H573">
        <v>0.98020562524538202</v>
      </c>
      <c r="I573">
        <v>0</v>
      </c>
      <c r="J573">
        <v>125353364.33501659</v>
      </c>
    </row>
    <row r="574" spans="1:10" x14ac:dyDescent="0.3">
      <c r="A574" t="s">
        <v>1587</v>
      </c>
      <c r="B574" t="s">
        <v>341</v>
      </c>
      <c r="C574" t="s">
        <v>341</v>
      </c>
      <c r="D574" t="s">
        <v>346</v>
      </c>
      <c r="E574">
        <v>7937</v>
      </c>
      <c r="F574">
        <v>1774</v>
      </c>
      <c r="G574">
        <v>6163</v>
      </c>
      <c r="H574">
        <v>2.195253585971741</v>
      </c>
      <c r="I574">
        <v>0</v>
      </c>
      <c r="J574">
        <v>179894230.11085561</v>
      </c>
    </row>
    <row r="575" spans="1:10" x14ac:dyDescent="0.3">
      <c r="A575" t="s">
        <v>1588</v>
      </c>
      <c r="B575" t="s">
        <v>341</v>
      </c>
      <c r="C575" t="s">
        <v>341</v>
      </c>
      <c r="D575" t="s">
        <v>347</v>
      </c>
      <c r="E575">
        <v>2789</v>
      </c>
      <c r="F575">
        <v>376</v>
      </c>
      <c r="G575">
        <v>2413</v>
      </c>
      <c r="H575">
        <v>0.88801205923808946</v>
      </c>
      <c r="I575">
        <v>0</v>
      </c>
      <c r="J575">
        <v>138518575.84921259</v>
      </c>
    </row>
    <row r="576" spans="1:10" x14ac:dyDescent="0.3">
      <c r="A576" t="s">
        <v>1589</v>
      </c>
      <c r="B576" t="s">
        <v>341</v>
      </c>
      <c r="C576" t="s">
        <v>350</v>
      </c>
      <c r="D576" t="s">
        <v>288</v>
      </c>
      <c r="E576">
        <v>1383</v>
      </c>
      <c r="F576">
        <v>68</v>
      </c>
      <c r="G576">
        <v>1315</v>
      </c>
      <c r="H576">
        <v>0.55266211203320281</v>
      </c>
      <c r="I576">
        <v>0</v>
      </c>
      <c r="J576">
        <v>220034553.39116639</v>
      </c>
    </row>
    <row r="577" spans="1:10" x14ac:dyDescent="0.3">
      <c r="A577" t="s">
        <v>1590</v>
      </c>
      <c r="B577" t="s">
        <v>341</v>
      </c>
      <c r="C577" t="s">
        <v>350</v>
      </c>
      <c r="D577" t="s">
        <v>354</v>
      </c>
      <c r="E577">
        <v>2886</v>
      </c>
      <c r="F577">
        <v>3</v>
      </c>
      <c r="G577">
        <v>2883</v>
      </c>
      <c r="H577">
        <v>0.81427390712759595</v>
      </c>
      <c r="I577">
        <v>0</v>
      </c>
      <c r="J577">
        <v>172102808.59744591</v>
      </c>
    </row>
    <row r="578" spans="1:10" x14ac:dyDescent="0.3">
      <c r="A578" t="s">
        <v>1591</v>
      </c>
      <c r="B578" t="s">
        <v>341</v>
      </c>
      <c r="C578" t="s">
        <v>350</v>
      </c>
      <c r="D578" t="s">
        <v>356</v>
      </c>
      <c r="E578">
        <v>1363</v>
      </c>
      <c r="F578">
        <v>2</v>
      </c>
      <c r="G578">
        <v>1361</v>
      </c>
      <c r="H578">
        <v>0.91248396973263857</v>
      </c>
      <c r="I578">
        <v>0</v>
      </c>
      <c r="J578">
        <v>113836769.0180361</v>
      </c>
    </row>
    <row r="579" spans="1:10" x14ac:dyDescent="0.3">
      <c r="A579" t="s">
        <v>1592</v>
      </c>
      <c r="B579" t="s">
        <v>341</v>
      </c>
      <c r="C579" t="s">
        <v>350</v>
      </c>
      <c r="D579" t="s">
        <v>358</v>
      </c>
      <c r="E579">
        <v>3577</v>
      </c>
      <c r="F579">
        <v>13</v>
      </c>
      <c r="G579">
        <v>3564</v>
      </c>
      <c r="H579">
        <v>0.57115535323441347</v>
      </c>
      <c r="I579">
        <v>0</v>
      </c>
      <c r="J579">
        <v>681461043.81092405</v>
      </c>
    </row>
    <row r="580" spans="1:10" x14ac:dyDescent="0.3">
      <c r="A580" t="s">
        <v>1593</v>
      </c>
      <c r="B580" t="s">
        <v>341</v>
      </c>
      <c r="C580" t="s">
        <v>350</v>
      </c>
      <c r="D580" t="s">
        <v>360</v>
      </c>
      <c r="E580">
        <v>6316</v>
      </c>
      <c r="F580">
        <v>444</v>
      </c>
      <c r="G580">
        <v>5872</v>
      </c>
      <c r="H580">
        <v>0.58151002951622621</v>
      </c>
      <c r="I580">
        <v>0</v>
      </c>
      <c r="J580">
        <v>1426559769.5860679</v>
      </c>
    </row>
    <row r="581" spans="1:10" x14ac:dyDescent="0.3">
      <c r="A581" t="s">
        <v>1594</v>
      </c>
      <c r="B581" t="s">
        <v>341</v>
      </c>
      <c r="C581" t="s">
        <v>350</v>
      </c>
      <c r="D581" t="s">
        <v>362</v>
      </c>
      <c r="E581">
        <v>1433</v>
      </c>
      <c r="F581">
        <v>0</v>
      </c>
      <c r="G581">
        <v>1433</v>
      </c>
      <c r="H581">
        <v>0.63706848222752499</v>
      </c>
      <c r="I581">
        <v>0</v>
      </c>
      <c r="J581">
        <v>119914757.4240514</v>
      </c>
    </row>
    <row r="582" spans="1:10" x14ac:dyDescent="0.3">
      <c r="A582" t="s">
        <v>1595</v>
      </c>
      <c r="B582" t="s">
        <v>341</v>
      </c>
      <c r="C582" t="s">
        <v>350</v>
      </c>
      <c r="D582" t="s">
        <v>364</v>
      </c>
      <c r="E582">
        <v>1925</v>
      </c>
      <c r="F582">
        <v>0</v>
      </c>
      <c r="G582">
        <v>1925</v>
      </c>
      <c r="H582">
        <v>0.98608150840367659</v>
      </c>
      <c r="I582">
        <v>0</v>
      </c>
      <c r="J582">
        <v>82049332.583306849</v>
      </c>
    </row>
    <row r="583" spans="1:10" x14ac:dyDescent="0.3">
      <c r="A583" t="s">
        <v>1596</v>
      </c>
      <c r="B583" t="s">
        <v>341</v>
      </c>
      <c r="C583" t="s">
        <v>365</v>
      </c>
      <c r="D583" t="s">
        <v>90</v>
      </c>
      <c r="E583">
        <v>2523</v>
      </c>
      <c r="F583">
        <v>276</v>
      </c>
      <c r="G583">
        <v>2247</v>
      </c>
      <c r="H583">
        <v>0.96464147253586285</v>
      </c>
      <c r="I583">
        <v>0</v>
      </c>
      <c r="J583">
        <v>58929213.580518283</v>
      </c>
    </row>
    <row r="584" spans="1:10" x14ac:dyDescent="0.3">
      <c r="A584" t="s">
        <v>1597</v>
      </c>
      <c r="B584" t="s">
        <v>341</v>
      </c>
      <c r="C584" t="s">
        <v>365</v>
      </c>
      <c r="D584" t="s">
        <v>366</v>
      </c>
      <c r="E584">
        <v>2842</v>
      </c>
      <c r="F584">
        <v>173</v>
      </c>
      <c r="G584">
        <v>2669</v>
      </c>
      <c r="H584">
        <v>0.8242174231285454</v>
      </c>
      <c r="I584">
        <v>0</v>
      </c>
      <c r="J584">
        <v>110313888.20882259</v>
      </c>
    </row>
    <row r="585" spans="1:10" x14ac:dyDescent="0.3">
      <c r="A585" t="s">
        <v>1598</v>
      </c>
      <c r="B585" t="s">
        <v>341</v>
      </c>
      <c r="C585" t="s">
        <v>365</v>
      </c>
      <c r="D585" t="s">
        <v>367</v>
      </c>
      <c r="E585">
        <v>1659</v>
      </c>
      <c r="F585">
        <v>287</v>
      </c>
      <c r="G585">
        <v>1372</v>
      </c>
      <c r="H585">
        <v>1.006337157089402</v>
      </c>
      <c r="I585">
        <v>0</v>
      </c>
      <c r="J585">
        <v>67658764.021938309</v>
      </c>
    </row>
    <row r="586" spans="1:10" x14ac:dyDescent="0.3">
      <c r="A586" t="s">
        <v>1599</v>
      </c>
      <c r="B586" t="s">
        <v>341</v>
      </c>
      <c r="C586" t="s">
        <v>365</v>
      </c>
      <c r="D586" t="s">
        <v>368</v>
      </c>
      <c r="E586">
        <v>519</v>
      </c>
      <c r="F586">
        <v>89</v>
      </c>
      <c r="G586">
        <v>430</v>
      </c>
      <c r="H586">
        <v>0.79158120059173365</v>
      </c>
      <c r="I586">
        <v>0</v>
      </c>
      <c r="J586">
        <v>28208567.376941409</v>
      </c>
    </row>
    <row r="587" spans="1:10" x14ac:dyDescent="0.3">
      <c r="A587" t="s">
        <v>1600</v>
      </c>
      <c r="B587" t="s">
        <v>341</v>
      </c>
      <c r="C587" t="s">
        <v>365</v>
      </c>
      <c r="D587" t="s">
        <v>369</v>
      </c>
      <c r="E587">
        <v>1439</v>
      </c>
      <c r="F587">
        <v>0</v>
      </c>
      <c r="G587">
        <v>1439</v>
      </c>
      <c r="H587">
        <v>1.008725658965365</v>
      </c>
      <c r="I587">
        <v>0</v>
      </c>
      <c r="J587">
        <v>53563946.439230584</v>
      </c>
    </row>
    <row r="588" spans="1:10" x14ac:dyDescent="0.3">
      <c r="A588" t="s">
        <v>1601</v>
      </c>
      <c r="B588" t="s">
        <v>341</v>
      </c>
      <c r="C588" t="s">
        <v>365</v>
      </c>
      <c r="D588" t="s">
        <v>371</v>
      </c>
      <c r="E588">
        <v>7851</v>
      </c>
      <c r="F588">
        <v>406</v>
      </c>
      <c r="G588">
        <v>7445</v>
      </c>
      <c r="H588">
        <v>0.68942323371943337</v>
      </c>
      <c r="I588">
        <v>0</v>
      </c>
      <c r="J588">
        <v>469784538.98251128</v>
      </c>
    </row>
    <row r="589" spans="1:10" x14ac:dyDescent="0.3">
      <c r="A589" t="s">
        <v>1602</v>
      </c>
      <c r="B589" t="s">
        <v>341</v>
      </c>
      <c r="C589" t="s">
        <v>365</v>
      </c>
      <c r="D589" t="s">
        <v>372</v>
      </c>
      <c r="E589">
        <v>5704</v>
      </c>
      <c r="F589">
        <v>15</v>
      </c>
      <c r="G589">
        <v>5689</v>
      </c>
      <c r="H589">
        <v>0.85973073751733764</v>
      </c>
      <c r="I589">
        <v>0</v>
      </c>
      <c r="J589">
        <v>153342334.3410041</v>
      </c>
    </row>
    <row r="590" spans="1:10" x14ac:dyDescent="0.3">
      <c r="A590" t="s">
        <v>1603</v>
      </c>
      <c r="B590" t="s">
        <v>341</v>
      </c>
      <c r="C590" t="s">
        <v>373</v>
      </c>
      <c r="D590" t="s">
        <v>375</v>
      </c>
      <c r="E590">
        <v>7870</v>
      </c>
      <c r="F590">
        <v>156</v>
      </c>
      <c r="G590">
        <v>7714</v>
      </c>
      <c r="H590">
        <v>0.61951872385082851</v>
      </c>
      <c r="I590">
        <v>0</v>
      </c>
      <c r="J590">
        <v>656722094.57594752</v>
      </c>
    </row>
    <row r="591" spans="1:10" x14ac:dyDescent="0.3">
      <c r="A591" t="s">
        <v>1604</v>
      </c>
      <c r="B591" t="s">
        <v>341</v>
      </c>
      <c r="C591" t="s">
        <v>373</v>
      </c>
      <c r="D591" t="s">
        <v>378</v>
      </c>
      <c r="E591">
        <v>5955</v>
      </c>
      <c r="F591">
        <v>2554</v>
      </c>
      <c r="G591">
        <v>3401</v>
      </c>
      <c r="H591">
        <v>1.757379671412459</v>
      </c>
      <c r="I591">
        <v>0</v>
      </c>
      <c r="J591">
        <v>96593243.703852594</v>
      </c>
    </row>
    <row r="592" spans="1:10" x14ac:dyDescent="0.3">
      <c r="A592" t="s">
        <v>1605</v>
      </c>
      <c r="B592" t="s">
        <v>341</v>
      </c>
      <c r="C592" t="s">
        <v>373</v>
      </c>
      <c r="D592" t="s">
        <v>80</v>
      </c>
      <c r="E592">
        <v>34133</v>
      </c>
      <c r="F592">
        <v>11264</v>
      </c>
      <c r="G592">
        <v>22869</v>
      </c>
      <c r="H592">
        <v>1.420195099018057</v>
      </c>
      <c r="I592">
        <v>0</v>
      </c>
      <c r="J592">
        <v>657299080.47503567</v>
      </c>
    </row>
    <row r="593" spans="1:10" x14ac:dyDescent="0.3">
      <c r="A593" t="s">
        <v>1606</v>
      </c>
      <c r="B593" t="s">
        <v>341</v>
      </c>
      <c r="C593" t="s">
        <v>95</v>
      </c>
      <c r="D593" t="s">
        <v>380</v>
      </c>
      <c r="E593">
        <v>1415</v>
      </c>
      <c r="F593">
        <v>25</v>
      </c>
      <c r="G593">
        <v>1390</v>
      </c>
      <c r="H593">
        <v>0.74293631341585353</v>
      </c>
      <c r="I593">
        <v>0</v>
      </c>
      <c r="J593">
        <v>59334543.462391123</v>
      </c>
    </row>
    <row r="594" spans="1:10" x14ac:dyDescent="0.3">
      <c r="A594" t="s">
        <v>1607</v>
      </c>
      <c r="B594" t="s">
        <v>341</v>
      </c>
      <c r="C594" t="s">
        <v>95</v>
      </c>
      <c r="D594" t="s">
        <v>384</v>
      </c>
      <c r="E594">
        <v>1053</v>
      </c>
      <c r="F594">
        <v>33</v>
      </c>
      <c r="G594">
        <v>1020</v>
      </c>
      <c r="H594">
        <v>0.61997343553617412</v>
      </c>
      <c r="I594">
        <v>0</v>
      </c>
      <c r="J594">
        <v>311166090.36369473</v>
      </c>
    </row>
    <row r="595" spans="1:10" x14ac:dyDescent="0.3">
      <c r="A595" t="s">
        <v>1608</v>
      </c>
      <c r="B595" t="s">
        <v>341</v>
      </c>
      <c r="C595" t="s">
        <v>95</v>
      </c>
      <c r="D595" t="s">
        <v>388</v>
      </c>
      <c r="E595">
        <v>2613</v>
      </c>
      <c r="F595">
        <v>584</v>
      </c>
      <c r="G595">
        <v>2029</v>
      </c>
      <c r="H595">
        <v>0.68502947938277448</v>
      </c>
      <c r="I595">
        <v>0</v>
      </c>
      <c r="J595">
        <v>350463722.02067888</v>
      </c>
    </row>
    <row r="596" spans="1:10" x14ac:dyDescent="0.3">
      <c r="A596" t="s">
        <v>1609</v>
      </c>
      <c r="B596" t="s">
        <v>341</v>
      </c>
      <c r="C596" t="s">
        <v>389</v>
      </c>
      <c r="D596" t="s">
        <v>80</v>
      </c>
      <c r="E596">
        <v>3357</v>
      </c>
      <c r="F596">
        <v>352</v>
      </c>
      <c r="G596">
        <v>3005</v>
      </c>
      <c r="H596">
        <v>1.0251953348977609</v>
      </c>
      <c r="I596">
        <v>0</v>
      </c>
      <c r="J596">
        <v>113949565.0239958</v>
      </c>
    </row>
    <row r="597" spans="1:10" x14ac:dyDescent="0.3">
      <c r="A597" t="s">
        <v>1610</v>
      </c>
      <c r="B597" t="s">
        <v>341</v>
      </c>
      <c r="C597" t="s">
        <v>389</v>
      </c>
      <c r="D597" t="s">
        <v>390</v>
      </c>
      <c r="E597">
        <v>4386</v>
      </c>
      <c r="F597">
        <v>1214</v>
      </c>
      <c r="G597">
        <v>3172</v>
      </c>
      <c r="H597">
        <v>1.951296274840467</v>
      </c>
      <c r="I597">
        <v>0</v>
      </c>
      <c r="J597">
        <v>71958902.25623402</v>
      </c>
    </row>
    <row r="598" spans="1:10" x14ac:dyDescent="0.3">
      <c r="A598" t="s">
        <v>1611</v>
      </c>
      <c r="B598" t="s">
        <v>341</v>
      </c>
      <c r="C598" t="s">
        <v>389</v>
      </c>
      <c r="D598" t="s">
        <v>391</v>
      </c>
      <c r="E598">
        <v>8291</v>
      </c>
      <c r="F598">
        <v>2187</v>
      </c>
      <c r="G598">
        <v>6104</v>
      </c>
      <c r="H598">
        <v>1.8496500721064699</v>
      </c>
      <c r="I598">
        <v>0</v>
      </c>
      <c r="J598">
        <v>137570169.6917896</v>
      </c>
    </row>
    <row r="599" spans="1:10" x14ac:dyDescent="0.3">
      <c r="A599" t="s">
        <v>1612</v>
      </c>
      <c r="B599" t="s">
        <v>341</v>
      </c>
      <c r="C599" t="s">
        <v>389</v>
      </c>
      <c r="D599" t="s">
        <v>392</v>
      </c>
      <c r="E599">
        <v>13076</v>
      </c>
      <c r="F599">
        <v>4064</v>
      </c>
      <c r="G599">
        <v>9012</v>
      </c>
      <c r="H599">
        <v>5.5901692742871214</v>
      </c>
      <c r="I599">
        <v>0</v>
      </c>
      <c r="J599">
        <v>82752604.880530119</v>
      </c>
    </row>
    <row r="600" spans="1:10" x14ac:dyDescent="0.3">
      <c r="A600" t="s">
        <v>1613</v>
      </c>
      <c r="B600" t="s">
        <v>341</v>
      </c>
      <c r="C600" t="s">
        <v>393</v>
      </c>
      <c r="D600" t="s">
        <v>393</v>
      </c>
      <c r="E600">
        <v>7119</v>
      </c>
      <c r="F600">
        <v>1079</v>
      </c>
      <c r="G600">
        <v>6040</v>
      </c>
      <c r="H600">
        <v>2.826720622517171</v>
      </c>
      <c r="I600">
        <v>0</v>
      </c>
      <c r="J600">
        <v>73800957.757722512</v>
      </c>
    </row>
    <row r="601" spans="1:10" x14ac:dyDescent="0.3">
      <c r="A601" t="s">
        <v>1614</v>
      </c>
      <c r="B601" t="s">
        <v>341</v>
      </c>
      <c r="C601" t="s">
        <v>393</v>
      </c>
      <c r="D601" t="s">
        <v>394</v>
      </c>
      <c r="E601">
        <v>4147</v>
      </c>
      <c r="F601">
        <v>47</v>
      </c>
      <c r="G601">
        <v>4100</v>
      </c>
      <c r="H601">
        <v>0.88882885528197075</v>
      </c>
      <c r="I601">
        <v>0</v>
      </c>
      <c r="J601">
        <v>215822798.74080831</v>
      </c>
    </row>
    <row r="602" spans="1:10" x14ac:dyDescent="0.3">
      <c r="A602" t="s">
        <v>1615</v>
      </c>
      <c r="B602" t="s">
        <v>341</v>
      </c>
      <c r="C602" t="s">
        <v>393</v>
      </c>
      <c r="D602" t="s">
        <v>396</v>
      </c>
      <c r="E602">
        <v>5670</v>
      </c>
      <c r="F602">
        <v>298</v>
      </c>
      <c r="G602">
        <v>5372</v>
      </c>
      <c r="H602">
        <v>0.81096896019041953</v>
      </c>
      <c r="I602">
        <v>0</v>
      </c>
      <c r="J602">
        <v>211950772.8936013</v>
      </c>
    </row>
    <row r="603" spans="1:10" x14ac:dyDescent="0.3">
      <c r="A603" t="s">
        <v>1616</v>
      </c>
      <c r="B603" t="s">
        <v>341</v>
      </c>
      <c r="C603" t="s">
        <v>393</v>
      </c>
      <c r="D603" t="s">
        <v>397</v>
      </c>
      <c r="E603">
        <v>5254</v>
      </c>
      <c r="F603">
        <v>191</v>
      </c>
      <c r="G603">
        <v>5063</v>
      </c>
      <c r="H603">
        <v>0.76444803634470282</v>
      </c>
      <c r="I603">
        <v>0</v>
      </c>
      <c r="J603">
        <v>317646937.18772721</v>
      </c>
    </row>
    <row r="604" spans="1:10" x14ac:dyDescent="0.3">
      <c r="A604" t="s">
        <v>1617</v>
      </c>
      <c r="B604" t="s">
        <v>399</v>
      </c>
      <c r="C604" t="s">
        <v>400</v>
      </c>
      <c r="D604" t="s">
        <v>401</v>
      </c>
      <c r="E604">
        <v>13460</v>
      </c>
      <c r="F604">
        <v>7738</v>
      </c>
      <c r="G604">
        <v>5722</v>
      </c>
      <c r="H604">
        <v>1.4684662664076349</v>
      </c>
      <c r="I604">
        <v>0</v>
      </c>
      <c r="J604">
        <v>308023340.31011558</v>
      </c>
    </row>
    <row r="605" spans="1:10" x14ac:dyDescent="0.3">
      <c r="A605" t="s">
        <v>1618</v>
      </c>
      <c r="B605" t="s">
        <v>399</v>
      </c>
      <c r="C605" t="s">
        <v>400</v>
      </c>
      <c r="D605" t="s">
        <v>402</v>
      </c>
      <c r="E605">
        <v>6482</v>
      </c>
      <c r="F605">
        <v>2996</v>
      </c>
      <c r="G605">
        <v>3486</v>
      </c>
      <c r="H605">
        <v>1.5189431522153241</v>
      </c>
      <c r="I605">
        <v>0</v>
      </c>
      <c r="J605">
        <v>323515997.42952639</v>
      </c>
    </row>
    <row r="606" spans="1:10" x14ac:dyDescent="0.3">
      <c r="A606" t="s">
        <v>1619</v>
      </c>
      <c r="B606" t="s">
        <v>399</v>
      </c>
      <c r="C606" t="s">
        <v>400</v>
      </c>
      <c r="D606" t="s">
        <v>405</v>
      </c>
      <c r="E606">
        <v>11970</v>
      </c>
      <c r="F606">
        <v>6097</v>
      </c>
      <c r="G606">
        <v>5873</v>
      </c>
      <c r="H606">
        <v>1.4974945555667989</v>
      </c>
      <c r="I606">
        <v>0</v>
      </c>
      <c r="J606">
        <v>141058134.52390161</v>
      </c>
    </row>
    <row r="607" spans="1:10" x14ac:dyDescent="0.3">
      <c r="A607" t="s">
        <v>1620</v>
      </c>
      <c r="B607" t="s">
        <v>399</v>
      </c>
      <c r="C607" t="s">
        <v>406</v>
      </c>
      <c r="D607" t="s">
        <v>406</v>
      </c>
      <c r="E607">
        <v>25523</v>
      </c>
      <c r="F607">
        <v>4058</v>
      </c>
      <c r="G607">
        <v>21465</v>
      </c>
      <c r="H607">
        <v>1.620684036074123</v>
      </c>
      <c r="I607">
        <v>0</v>
      </c>
      <c r="J607">
        <v>228598676.891157</v>
      </c>
    </row>
    <row r="608" spans="1:10" x14ac:dyDescent="0.3">
      <c r="A608" t="s">
        <v>1621</v>
      </c>
      <c r="B608" t="s">
        <v>399</v>
      </c>
      <c r="C608" t="s">
        <v>366</v>
      </c>
      <c r="D608" t="s">
        <v>411</v>
      </c>
      <c r="E608">
        <v>9380</v>
      </c>
      <c r="F608">
        <v>1066</v>
      </c>
      <c r="G608">
        <v>8314</v>
      </c>
      <c r="H608">
        <v>2.0574414906051421</v>
      </c>
      <c r="I608">
        <v>0</v>
      </c>
      <c r="J608">
        <v>74697987.368380964</v>
      </c>
    </row>
    <row r="609" spans="1:10" x14ac:dyDescent="0.3">
      <c r="A609" t="s">
        <v>1622</v>
      </c>
      <c r="B609" t="s">
        <v>399</v>
      </c>
      <c r="C609" t="s">
        <v>366</v>
      </c>
      <c r="D609" t="s">
        <v>413</v>
      </c>
      <c r="E609">
        <v>9407</v>
      </c>
      <c r="F609">
        <v>2214</v>
      </c>
      <c r="G609">
        <v>7193</v>
      </c>
      <c r="H609">
        <v>3.4069307364915691</v>
      </c>
      <c r="I609">
        <v>0</v>
      </c>
      <c r="J609">
        <v>48512942.11009001</v>
      </c>
    </row>
    <row r="610" spans="1:10" x14ac:dyDescent="0.3">
      <c r="A610" t="s">
        <v>1623</v>
      </c>
      <c r="B610" t="s">
        <v>399</v>
      </c>
      <c r="C610" t="s">
        <v>416</v>
      </c>
      <c r="D610" t="s">
        <v>399</v>
      </c>
      <c r="E610">
        <v>18730</v>
      </c>
      <c r="F610">
        <v>1089</v>
      </c>
      <c r="G610">
        <v>17641</v>
      </c>
      <c r="H610">
        <v>0.89664120534558023</v>
      </c>
      <c r="I610">
        <v>0</v>
      </c>
      <c r="J610">
        <v>363729538.66570991</v>
      </c>
    </row>
    <row r="611" spans="1:10" x14ac:dyDescent="0.3">
      <c r="A611" t="s">
        <v>1624</v>
      </c>
      <c r="B611" t="s">
        <v>399</v>
      </c>
      <c r="C611" t="s">
        <v>291</v>
      </c>
      <c r="D611" t="s">
        <v>183</v>
      </c>
      <c r="E611">
        <v>6070</v>
      </c>
      <c r="F611">
        <v>996</v>
      </c>
      <c r="G611">
        <v>5074</v>
      </c>
      <c r="H611">
        <v>2.1253785654795001</v>
      </c>
      <c r="I611">
        <v>0</v>
      </c>
      <c r="J611">
        <v>54923690.334377661</v>
      </c>
    </row>
    <row r="612" spans="1:10" x14ac:dyDescent="0.3">
      <c r="A612" t="s">
        <v>1625</v>
      </c>
      <c r="B612" t="s">
        <v>399</v>
      </c>
      <c r="C612" t="s">
        <v>291</v>
      </c>
      <c r="D612" t="s">
        <v>421</v>
      </c>
      <c r="E612">
        <v>12700</v>
      </c>
      <c r="F612">
        <v>220</v>
      </c>
      <c r="G612">
        <v>12480</v>
      </c>
      <c r="H612">
        <v>3.995013965688945</v>
      </c>
      <c r="I612">
        <v>0</v>
      </c>
      <c r="J612">
        <v>81578001.023364425</v>
      </c>
    </row>
    <row r="613" spans="1:10" x14ac:dyDescent="0.3">
      <c r="A613" t="s">
        <v>1626</v>
      </c>
      <c r="B613" t="s">
        <v>399</v>
      </c>
      <c r="C613" t="s">
        <v>422</v>
      </c>
      <c r="D613" t="s">
        <v>423</v>
      </c>
      <c r="E613">
        <v>6622</v>
      </c>
      <c r="F613">
        <v>2263</v>
      </c>
      <c r="G613">
        <v>4359</v>
      </c>
      <c r="H613">
        <v>1.3619732474446991</v>
      </c>
      <c r="I613">
        <v>0</v>
      </c>
      <c r="J613">
        <v>107447580.265745</v>
      </c>
    </row>
    <row r="614" spans="1:10" x14ac:dyDescent="0.3">
      <c r="A614" t="s">
        <v>1627</v>
      </c>
      <c r="B614" t="s">
        <v>399</v>
      </c>
      <c r="C614" t="s">
        <v>435</v>
      </c>
      <c r="D614" t="s">
        <v>207</v>
      </c>
      <c r="E614">
        <v>7309</v>
      </c>
      <c r="F614">
        <v>444</v>
      </c>
      <c r="G614">
        <v>6865</v>
      </c>
      <c r="H614">
        <v>1.5838538366266961</v>
      </c>
      <c r="I614">
        <v>0</v>
      </c>
      <c r="J614">
        <v>81399575.070738301</v>
      </c>
    </row>
    <row r="615" spans="1:10" x14ac:dyDescent="0.3">
      <c r="A615" t="s">
        <v>1628</v>
      </c>
      <c r="B615" t="s">
        <v>399</v>
      </c>
      <c r="C615" t="s">
        <v>439</v>
      </c>
      <c r="D615" t="s">
        <v>440</v>
      </c>
      <c r="E615">
        <v>8461</v>
      </c>
      <c r="F615">
        <v>2100</v>
      </c>
      <c r="G615">
        <v>6361</v>
      </c>
      <c r="H615">
        <v>2.8849409392643541</v>
      </c>
      <c r="I615">
        <v>0</v>
      </c>
      <c r="J615">
        <v>93681096.890454203</v>
      </c>
    </row>
    <row r="616" spans="1:10" x14ac:dyDescent="0.3">
      <c r="A616" t="s">
        <v>1629</v>
      </c>
      <c r="B616" t="s">
        <v>399</v>
      </c>
      <c r="C616" t="s">
        <v>47</v>
      </c>
      <c r="D616" t="s">
        <v>47</v>
      </c>
      <c r="E616">
        <v>16445</v>
      </c>
      <c r="F616">
        <v>4874</v>
      </c>
      <c r="G616">
        <v>11571</v>
      </c>
      <c r="H616">
        <v>1.870820350363336</v>
      </c>
      <c r="I616">
        <v>0</v>
      </c>
      <c r="J616">
        <v>132292511.0987913</v>
      </c>
    </row>
    <row r="617" spans="1:10" x14ac:dyDescent="0.3">
      <c r="A617" t="s">
        <v>1630</v>
      </c>
      <c r="B617" t="s">
        <v>399</v>
      </c>
      <c r="C617" t="s">
        <v>47</v>
      </c>
      <c r="D617" t="s">
        <v>445</v>
      </c>
      <c r="E617">
        <v>12968</v>
      </c>
      <c r="F617">
        <v>3368</v>
      </c>
      <c r="G617">
        <v>9600</v>
      </c>
      <c r="H617">
        <v>1.2769508610148621</v>
      </c>
      <c r="I617">
        <v>0</v>
      </c>
      <c r="J617">
        <v>158346341.70559561</v>
      </c>
    </row>
    <row r="618" spans="1:10" x14ac:dyDescent="0.3">
      <c r="A618" t="s">
        <v>1631</v>
      </c>
      <c r="B618" t="s">
        <v>399</v>
      </c>
      <c r="C618" t="s">
        <v>446</v>
      </c>
      <c r="D618" t="s">
        <v>446</v>
      </c>
      <c r="E618">
        <v>13171</v>
      </c>
      <c r="F618">
        <v>7935</v>
      </c>
      <c r="G618">
        <v>5236</v>
      </c>
      <c r="H618">
        <v>1.4238927174470959</v>
      </c>
      <c r="I618">
        <v>0</v>
      </c>
      <c r="J618">
        <v>253401470.33544189</v>
      </c>
    </row>
    <row r="619" spans="1:10" x14ac:dyDescent="0.3">
      <c r="A619" t="s">
        <v>1632</v>
      </c>
      <c r="B619" t="s">
        <v>399</v>
      </c>
      <c r="C619" t="s">
        <v>450</v>
      </c>
      <c r="D619" t="s">
        <v>451</v>
      </c>
      <c r="E619">
        <v>11804</v>
      </c>
      <c r="F619">
        <v>6319</v>
      </c>
      <c r="G619">
        <v>5485</v>
      </c>
      <c r="H619">
        <v>1.157154641234091</v>
      </c>
      <c r="I619">
        <v>0</v>
      </c>
      <c r="J619">
        <v>141736517.71843961</v>
      </c>
    </row>
    <row r="620" spans="1:10" x14ac:dyDescent="0.3">
      <c r="A620" t="s">
        <v>1633</v>
      </c>
      <c r="B620" t="s">
        <v>453</v>
      </c>
      <c r="C620" t="s">
        <v>454</v>
      </c>
      <c r="D620" t="s">
        <v>457</v>
      </c>
      <c r="E620">
        <v>3561</v>
      </c>
      <c r="F620">
        <v>955</v>
      </c>
      <c r="G620">
        <v>2606</v>
      </c>
      <c r="H620">
        <v>2.2325122157932098</v>
      </c>
      <c r="I620">
        <v>0</v>
      </c>
      <c r="J620">
        <v>117651872.8567452</v>
      </c>
    </row>
    <row r="621" spans="1:10" x14ac:dyDescent="0.3">
      <c r="A621" t="s">
        <v>1634</v>
      </c>
      <c r="B621" t="s">
        <v>453</v>
      </c>
      <c r="C621" t="s">
        <v>454</v>
      </c>
      <c r="D621" t="s">
        <v>458</v>
      </c>
      <c r="E621">
        <v>3251</v>
      </c>
      <c r="F621">
        <v>961</v>
      </c>
      <c r="G621">
        <v>2290</v>
      </c>
      <c r="H621">
        <v>0.70462754611433864</v>
      </c>
      <c r="I621">
        <v>0</v>
      </c>
      <c r="J621">
        <v>273214162.14278638</v>
      </c>
    </row>
    <row r="622" spans="1:10" x14ac:dyDescent="0.3">
      <c r="A622" t="s">
        <v>1635</v>
      </c>
      <c r="B622" t="s">
        <v>453</v>
      </c>
      <c r="C622" t="s">
        <v>454</v>
      </c>
      <c r="D622" t="s">
        <v>460</v>
      </c>
      <c r="E622">
        <v>3944</v>
      </c>
      <c r="F622">
        <v>1200</v>
      </c>
      <c r="G622">
        <v>2744</v>
      </c>
      <c r="H622">
        <v>0.71518262061935933</v>
      </c>
      <c r="I622">
        <v>0</v>
      </c>
      <c r="J622">
        <v>238352409.4545978</v>
      </c>
    </row>
    <row r="623" spans="1:10" x14ac:dyDescent="0.3">
      <c r="A623" t="s">
        <v>1636</v>
      </c>
      <c r="B623" t="s">
        <v>453</v>
      </c>
      <c r="C623" t="s">
        <v>466</v>
      </c>
      <c r="D623" t="s">
        <v>467</v>
      </c>
      <c r="E623">
        <v>1923</v>
      </c>
      <c r="F623">
        <v>642</v>
      </c>
      <c r="G623">
        <v>1281</v>
      </c>
      <c r="H623">
        <v>0.58806290949327589</v>
      </c>
      <c r="I623">
        <v>0</v>
      </c>
      <c r="J623">
        <v>202140960.73904571</v>
      </c>
    </row>
    <row r="624" spans="1:10" x14ac:dyDescent="0.3">
      <c r="A624" t="s">
        <v>1637</v>
      </c>
      <c r="B624" t="s">
        <v>453</v>
      </c>
      <c r="C624" t="s">
        <v>466</v>
      </c>
      <c r="D624" t="s">
        <v>469</v>
      </c>
      <c r="E624">
        <v>1778</v>
      </c>
      <c r="F624">
        <v>610</v>
      </c>
      <c r="G624">
        <v>1168</v>
      </c>
      <c r="H624">
        <v>0.7582702262753136</v>
      </c>
      <c r="I624">
        <v>0</v>
      </c>
      <c r="J624">
        <v>122581287.152991</v>
      </c>
    </row>
    <row r="625" spans="1:10" x14ac:dyDescent="0.3">
      <c r="A625" t="s">
        <v>1638</v>
      </c>
      <c r="B625" t="s">
        <v>453</v>
      </c>
      <c r="C625" t="s">
        <v>466</v>
      </c>
      <c r="D625" t="s">
        <v>470</v>
      </c>
      <c r="E625">
        <v>328</v>
      </c>
      <c r="F625">
        <v>115</v>
      </c>
      <c r="G625">
        <v>213</v>
      </c>
      <c r="H625">
        <v>0.66376032188861933</v>
      </c>
      <c r="I625">
        <v>0</v>
      </c>
      <c r="J625">
        <v>76202922.069580302</v>
      </c>
    </row>
    <row r="626" spans="1:10" x14ac:dyDescent="0.3">
      <c r="A626" t="s">
        <v>1639</v>
      </c>
      <c r="B626" t="s">
        <v>453</v>
      </c>
      <c r="C626" t="s">
        <v>466</v>
      </c>
      <c r="D626" t="s">
        <v>472</v>
      </c>
      <c r="E626">
        <v>1658</v>
      </c>
      <c r="F626">
        <v>585</v>
      </c>
      <c r="G626">
        <v>1073</v>
      </c>
      <c r="H626">
        <v>0.58803275362538476</v>
      </c>
      <c r="I626">
        <v>0</v>
      </c>
      <c r="J626">
        <v>181933669.5255892</v>
      </c>
    </row>
    <row r="627" spans="1:10" x14ac:dyDescent="0.3">
      <c r="A627" t="s">
        <v>1640</v>
      </c>
      <c r="B627" t="s">
        <v>453</v>
      </c>
      <c r="C627" t="s">
        <v>474</v>
      </c>
      <c r="D627" t="s">
        <v>477</v>
      </c>
      <c r="E627">
        <v>7433</v>
      </c>
      <c r="F627">
        <v>3938</v>
      </c>
      <c r="G627">
        <v>3495</v>
      </c>
      <c r="H627">
        <v>3.5591918237709081</v>
      </c>
      <c r="I627">
        <v>0</v>
      </c>
      <c r="J627">
        <v>50251293.617918268</v>
      </c>
    </row>
    <row r="628" spans="1:10" x14ac:dyDescent="0.3">
      <c r="A628" t="s">
        <v>1641</v>
      </c>
      <c r="B628" t="s">
        <v>453</v>
      </c>
      <c r="C628" t="s">
        <v>474</v>
      </c>
      <c r="D628" t="s">
        <v>480</v>
      </c>
      <c r="E628">
        <v>9299</v>
      </c>
      <c r="F628">
        <v>3599</v>
      </c>
      <c r="G628">
        <v>5700</v>
      </c>
      <c r="H628">
        <v>8.0906380694027344</v>
      </c>
      <c r="I628">
        <v>0</v>
      </c>
      <c r="J628">
        <v>20466421.83139104</v>
      </c>
    </row>
    <row r="629" spans="1:10" x14ac:dyDescent="0.3">
      <c r="A629" t="s">
        <v>1642</v>
      </c>
      <c r="B629" t="s">
        <v>453</v>
      </c>
      <c r="C629" t="s">
        <v>474</v>
      </c>
      <c r="D629" t="s">
        <v>113</v>
      </c>
      <c r="E629">
        <v>11114</v>
      </c>
      <c r="F629">
        <v>6728</v>
      </c>
      <c r="G629">
        <v>4386</v>
      </c>
      <c r="H629">
        <v>3.8239920996812189</v>
      </c>
      <c r="I629">
        <v>0</v>
      </c>
      <c r="J629">
        <v>63788413.313485682</v>
      </c>
    </row>
    <row r="630" spans="1:10" x14ac:dyDescent="0.3">
      <c r="A630" t="s">
        <v>1643</v>
      </c>
      <c r="B630" t="s">
        <v>453</v>
      </c>
      <c r="C630" t="s">
        <v>474</v>
      </c>
      <c r="D630" t="s">
        <v>164</v>
      </c>
      <c r="E630">
        <v>5179</v>
      </c>
      <c r="F630">
        <v>1895</v>
      </c>
      <c r="G630">
        <v>3284</v>
      </c>
      <c r="H630">
        <v>6.2843697376117857</v>
      </c>
      <c r="I630">
        <v>0</v>
      </c>
      <c r="J630">
        <v>17893271.17684342</v>
      </c>
    </row>
    <row r="631" spans="1:10" x14ac:dyDescent="0.3">
      <c r="A631" t="s">
        <v>1644</v>
      </c>
      <c r="B631" t="s">
        <v>453</v>
      </c>
      <c r="C631" t="s">
        <v>474</v>
      </c>
      <c r="D631" t="s">
        <v>359</v>
      </c>
      <c r="E631">
        <v>1300</v>
      </c>
      <c r="F631">
        <v>145</v>
      </c>
      <c r="G631">
        <v>1155</v>
      </c>
      <c r="H631">
        <v>0.76205072314969557</v>
      </c>
      <c r="I631">
        <v>0</v>
      </c>
      <c r="J631">
        <v>86319404.845094442</v>
      </c>
    </row>
    <row r="632" spans="1:10" x14ac:dyDescent="0.3">
      <c r="A632" t="s">
        <v>1645</v>
      </c>
      <c r="B632" t="s">
        <v>453</v>
      </c>
      <c r="C632" t="s">
        <v>481</v>
      </c>
      <c r="D632" t="s">
        <v>483</v>
      </c>
      <c r="E632">
        <v>1294</v>
      </c>
      <c r="F632">
        <v>348</v>
      </c>
      <c r="G632">
        <v>946</v>
      </c>
      <c r="H632">
        <v>0.80591971020440312</v>
      </c>
      <c r="I632">
        <v>0</v>
      </c>
      <c r="J632">
        <v>131440574.56117199</v>
      </c>
    </row>
    <row r="633" spans="1:10" x14ac:dyDescent="0.3">
      <c r="A633" t="s">
        <v>1646</v>
      </c>
      <c r="B633" t="s">
        <v>453</v>
      </c>
      <c r="C633" t="s">
        <v>481</v>
      </c>
      <c r="D633" t="s">
        <v>484</v>
      </c>
      <c r="E633">
        <v>976</v>
      </c>
      <c r="F633">
        <v>327</v>
      </c>
      <c r="G633">
        <v>649</v>
      </c>
      <c r="H633">
        <v>0.76644017272906184</v>
      </c>
      <c r="I633">
        <v>0</v>
      </c>
      <c r="J633">
        <v>166080741.12578499</v>
      </c>
    </row>
    <row r="634" spans="1:10" x14ac:dyDescent="0.3">
      <c r="A634" t="s">
        <v>1647</v>
      </c>
      <c r="B634" t="s">
        <v>453</v>
      </c>
      <c r="C634" t="s">
        <v>485</v>
      </c>
      <c r="D634" t="s">
        <v>487</v>
      </c>
      <c r="E634">
        <v>1871</v>
      </c>
      <c r="F634">
        <v>789</v>
      </c>
      <c r="G634">
        <v>1082</v>
      </c>
      <c r="H634">
        <v>0.79074983951973976</v>
      </c>
      <c r="I634">
        <v>0</v>
      </c>
      <c r="J634">
        <v>126570077.3661287</v>
      </c>
    </row>
    <row r="635" spans="1:10" x14ac:dyDescent="0.3">
      <c r="A635" t="s">
        <v>1648</v>
      </c>
      <c r="B635" t="s">
        <v>453</v>
      </c>
      <c r="C635" t="s">
        <v>485</v>
      </c>
      <c r="D635" t="s">
        <v>488</v>
      </c>
      <c r="E635">
        <v>1987</v>
      </c>
      <c r="F635">
        <v>450</v>
      </c>
      <c r="G635">
        <v>1537</v>
      </c>
      <c r="H635">
        <v>0.59089435858139117</v>
      </c>
      <c r="I635">
        <v>0</v>
      </c>
      <c r="J635">
        <v>383946899.95892793</v>
      </c>
    </row>
    <row r="636" spans="1:10" x14ac:dyDescent="0.3">
      <c r="A636" t="s">
        <v>1649</v>
      </c>
      <c r="B636" t="s">
        <v>453</v>
      </c>
      <c r="C636" t="s">
        <v>485</v>
      </c>
      <c r="D636" t="s">
        <v>489</v>
      </c>
      <c r="E636">
        <v>2337</v>
      </c>
      <c r="F636">
        <v>1226</v>
      </c>
      <c r="G636">
        <v>1111</v>
      </c>
      <c r="H636">
        <v>1.5973477714340341</v>
      </c>
      <c r="I636">
        <v>0</v>
      </c>
      <c r="J636">
        <v>54273869.664724827</v>
      </c>
    </row>
    <row r="637" spans="1:10" x14ac:dyDescent="0.3">
      <c r="A637" t="s">
        <v>1650</v>
      </c>
      <c r="B637" t="s">
        <v>453</v>
      </c>
      <c r="C637" t="s">
        <v>485</v>
      </c>
      <c r="D637" t="s">
        <v>490</v>
      </c>
      <c r="E637">
        <v>3524</v>
      </c>
      <c r="F637">
        <v>1934</v>
      </c>
      <c r="G637">
        <v>1590</v>
      </c>
      <c r="H637">
        <v>2.448569282099716</v>
      </c>
      <c r="I637">
        <v>0</v>
      </c>
      <c r="J637">
        <v>73930605.943475932</v>
      </c>
    </row>
    <row r="638" spans="1:10" x14ac:dyDescent="0.3">
      <c r="A638" t="s">
        <v>1651</v>
      </c>
      <c r="B638" t="s">
        <v>453</v>
      </c>
      <c r="C638" t="s">
        <v>485</v>
      </c>
      <c r="D638" t="s">
        <v>491</v>
      </c>
      <c r="E638">
        <v>1665</v>
      </c>
      <c r="F638">
        <v>1003</v>
      </c>
      <c r="G638">
        <v>662</v>
      </c>
      <c r="H638">
        <v>2.5765740180102181</v>
      </c>
      <c r="I638">
        <v>0</v>
      </c>
      <c r="J638">
        <v>37610215.512627907</v>
      </c>
    </row>
    <row r="639" spans="1:10" x14ac:dyDescent="0.3">
      <c r="A639" t="s">
        <v>1652</v>
      </c>
      <c r="B639" t="s">
        <v>492</v>
      </c>
      <c r="C639" t="s">
        <v>492</v>
      </c>
      <c r="D639" t="s">
        <v>493</v>
      </c>
      <c r="E639">
        <v>1025</v>
      </c>
      <c r="F639">
        <v>184</v>
      </c>
      <c r="G639">
        <v>841</v>
      </c>
      <c r="H639">
        <v>1.1681663658262009</v>
      </c>
      <c r="I639">
        <v>0</v>
      </c>
      <c r="J639">
        <v>23970307.839416452</v>
      </c>
    </row>
    <row r="640" spans="1:10" x14ac:dyDescent="0.3">
      <c r="A640" t="s">
        <v>1653</v>
      </c>
      <c r="B640" t="s">
        <v>492</v>
      </c>
      <c r="C640" t="s">
        <v>492</v>
      </c>
      <c r="D640" t="s">
        <v>494</v>
      </c>
      <c r="E640">
        <v>2111</v>
      </c>
      <c r="F640">
        <v>369</v>
      </c>
      <c r="G640">
        <v>1742</v>
      </c>
      <c r="H640">
        <v>0.77436472153633706</v>
      </c>
      <c r="I640">
        <v>0</v>
      </c>
      <c r="J640">
        <v>71938586.454114854</v>
      </c>
    </row>
    <row r="641" spans="1:10" x14ac:dyDescent="0.3">
      <c r="A641" t="s">
        <v>1654</v>
      </c>
      <c r="B641" t="s">
        <v>492</v>
      </c>
      <c r="C641" t="s">
        <v>492</v>
      </c>
      <c r="D641" t="s">
        <v>500</v>
      </c>
      <c r="E641">
        <v>1300</v>
      </c>
      <c r="F641">
        <v>829</v>
      </c>
      <c r="G641">
        <v>471</v>
      </c>
      <c r="H641">
        <v>0.88036339012429876</v>
      </c>
      <c r="I641">
        <v>0</v>
      </c>
      <c r="J641">
        <v>67078879.769561611</v>
      </c>
    </row>
    <row r="642" spans="1:10" x14ac:dyDescent="0.3">
      <c r="A642" t="s">
        <v>1655</v>
      </c>
      <c r="B642" t="s">
        <v>492</v>
      </c>
      <c r="C642" t="s">
        <v>492</v>
      </c>
      <c r="D642" t="s">
        <v>114</v>
      </c>
      <c r="E642">
        <v>1051</v>
      </c>
      <c r="F642">
        <v>146</v>
      </c>
      <c r="G642">
        <v>905</v>
      </c>
      <c r="H642">
        <v>0.66650030712007025</v>
      </c>
      <c r="I642">
        <v>0</v>
      </c>
      <c r="J642">
        <v>101913884.5929054</v>
      </c>
    </row>
    <row r="643" spans="1:10" x14ac:dyDescent="0.3">
      <c r="A643" t="s">
        <v>1656</v>
      </c>
      <c r="B643" t="s">
        <v>492</v>
      </c>
      <c r="C643" t="s">
        <v>492</v>
      </c>
      <c r="D643" t="s">
        <v>501</v>
      </c>
      <c r="E643">
        <v>3718</v>
      </c>
      <c r="F643">
        <v>656</v>
      </c>
      <c r="G643">
        <v>3062</v>
      </c>
      <c r="H643">
        <v>1.102564331017523</v>
      </c>
      <c r="I643">
        <v>0</v>
      </c>
      <c r="J643">
        <v>91973565.251810595</v>
      </c>
    </row>
    <row r="644" spans="1:10" x14ac:dyDescent="0.3">
      <c r="A644" t="s">
        <v>1657</v>
      </c>
      <c r="B644" t="s">
        <v>492</v>
      </c>
      <c r="C644" t="s">
        <v>492</v>
      </c>
      <c r="D644" t="s">
        <v>503</v>
      </c>
      <c r="E644">
        <v>1413</v>
      </c>
      <c r="F644">
        <v>644</v>
      </c>
      <c r="G644">
        <v>769</v>
      </c>
      <c r="H644">
        <v>0.5533196459342089</v>
      </c>
      <c r="I644">
        <v>0</v>
      </c>
      <c r="J644">
        <v>267600363.38128841</v>
      </c>
    </row>
    <row r="645" spans="1:10" x14ac:dyDescent="0.3">
      <c r="A645" t="s">
        <v>1658</v>
      </c>
      <c r="B645" t="s">
        <v>492</v>
      </c>
      <c r="C645" t="s">
        <v>492</v>
      </c>
      <c r="D645" t="s">
        <v>504</v>
      </c>
      <c r="E645">
        <v>1502</v>
      </c>
      <c r="F645">
        <v>716</v>
      </c>
      <c r="G645">
        <v>786</v>
      </c>
      <c r="H645">
        <v>1.5738922743426911</v>
      </c>
      <c r="I645">
        <v>0</v>
      </c>
      <c r="J645">
        <v>148057766.3201468</v>
      </c>
    </row>
    <row r="646" spans="1:10" x14ac:dyDescent="0.3">
      <c r="A646" t="s">
        <v>1659</v>
      </c>
      <c r="B646" t="s">
        <v>492</v>
      </c>
      <c r="C646" t="s">
        <v>505</v>
      </c>
      <c r="D646" t="s">
        <v>507</v>
      </c>
      <c r="E646">
        <v>1430</v>
      </c>
      <c r="F646">
        <v>98</v>
      </c>
      <c r="G646">
        <v>1332</v>
      </c>
      <c r="H646">
        <v>0.50455145336636387</v>
      </c>
      <c r="I646">
        <v>0</v>
      </c>
      <c r="J646">
        <v>192704810.78503671</v>
      </c>
    </row>
    <row r="647" spans="1:10" x14ac:dyDescent="0.3">
      <c r="A647" t="s">
        <v>1660</v>
      </c>
      <c r="B647" t="s">
        <v>492</v>
      </c>
      <c r="C647" t="s">
        <v>505</v>
      </c>
      <c r="D647" t="s">
        <v>508</v>
      </c>
      <c r="E647">
        <v>2658</v>
      </c>
      <c r="F647">
        <v>753</v>
      </c>
      <c r="G647">
        <v>1905</v>
      </c>
      <c r="H647">
        <v>0.7184302241144499</v>
      </c>
      <c r="I647">
        <v>0</v>
      </c>
      <c r="J647">
        <v>93438317.975341007</v>
      </c>
    </row>
    <row r="648" spans="1:10" x14ac:dyDescent="0.3">
      <c r="A648" t="s">
        <v>1661</v>
      </c>
      <c r="B648" t="s">
        <v>492</v>
      </c>
      <c r="C648" t="s">
        <v>505</v>
      </c>
      <c r="D648" t="s">
        <v>510</v>
      </c>
      <c r="E648">
        <v>1381</v>
      </c>
      <c r="F648">
        <v>136</v>
      </c>
      <c r="G648">
        <v>1245</v>
      </c>
      <c r="H648">
        <v>0.52067043895770526</v>
      </c>
      <c r="I648">
        <v>0</v>
      </c>
      <c r="J648">
        <v>98617732.232374087</v>
      </c>
    </row>
    <row r="649" spans="1:10" x14ac:dyDescent="0.3">
      <c r="A649" t="s">
        <v>1662</v>
      </c>
      <c r="B649" t="s">
        <v>492</v>
      </c>
      <c r="C649" t="s">
        <v>511</v>
      </c>
      <c r="D649" t="s">
        <v>145</v>
      </c>
      <c r="E649">
        <v>4437</v>
      </c>
      <c r="F649">
        <v>1271</v>
      </c>
      <c r="G649">
        <v>3166</v>
      </c>
      <c r="H649">
        <v>0.86139736026429137</v>
      </c>
      <c r="I649">
        <v>0</v>
      </c>
      <c r="J649">
        <v>202974125.57218</v>
      </c>
    </row>
    <row r="650" spans="1:10" x14ac:dyDescent="0.3">
      <c r="A650" t="s">
        <v>1663</v>
      </c>
      <c r="B650" t="s">
        <v>492</v>
      </c>
      <c r="C650" t="s">
        <v>511</v>
      </c>
      <c r="D650" t="s">
        <v>513</v>
      </c>
      <c r="E650">
        <v>1921</v>
      </c>
      <c r="F650">
        <v>1220</v>
      </c>
      <c r="G650">
        <v>701</v>
      </c>
      <c r="H650">
        <v>0.89931267390508174</v>
      </c>
      <c r="I650">
        <v>0</v>
      </c>
      <c r="J650">
        <v>146726418.68647271</v>
      </c>
    </row>
    <row r="651" spans="1:10" x14ac:dyDescent="0.3">
      <c r="A651" t="s">
        <v>1664</v>
      </c>
      <c r="B651" t="s">
        <v>492</v>
      </c>
      <c r="C651" t="s">
        <v>511</v>
      </c>
      <c r="D651" t="s">
        <v>514</v>
      </c>
      <c r="E651">
        <v>457</v>
      </c>
      <c r="F651">
        <v>176</v>
      </c>
      <c r="G651">
        <v>281</v>
      </c>
      <c r="H651">
        <v>0.61023441349169405</v>
      </c>
      <c r="I651">
        <v>0</v>
      </c>
      <c r="J651">
        <v>49029171.31648986</v>
      </c>
    </row>
    <row r="652" spans="1:10" x14ac:dyDescent="0.3">
      <c r="A652" t="s">
        <v>1665</v>
      </c>
      <c r="B652" t="s">
        <v>492</v>
      </c>
      <c r="C652" t="s">
        <v>515</v>
      </c>
      <c r="D652" t="s">
        <v>516</v>
      </c>
      <c r="E652">
        <v>1165</v>
      </c>
      <c r="F652">
        <v>292</v>
      </c>
      <c r="G652">
        <v>873</v>
      </c>
      <c r="H652">
        <v>0.90250153498212204</v>
      </c>
      <c r="I652">
        <v>0</v>
      </c>
      <c r="J652">
        <v>26844880.512402929</v>
      </c>
    </row>
    <row r="653" spans="1:10" x14ac:dyDescent="0.3">
      <c r="A653" t="s">
        <v>1666</v>
      </c>
      <c r="B653" t="s">
        <v>492</v>
      </c>
      <c r="C653" t="s">
        <v>515</v>
      </c>
      <c r="D653" t="s">
        <v>517</v>
      </c>
      <c r="E653">
        <v>3273</v>
      </c>
      <c r="F653">
        <v>830</v>
      </c>
      <c r="G653">
        <v>2443</v>
      </c>
      <c r="H653">
        <v>0.94486255887884996</v>
      </c>
      <c r="I653">
        <v>0</v>
      </c>
      <c r="J653">
        <v>82017525.920567125</v>
      </c>
    </row>
    <row r="654" spans="1:10" x14ac:dyDescent="0.3">
      <c r="A654" t="s">
        <v>1667</v>
      </c>
      <c r="B654" t="s">
        <v>492</v>
      </c>
      <c r="C654" t="s">
        <v>515</v>
      </c>
      <c r="D654" t="s">
        <v>431</v>
      </c>
      <c r="E654">
        <v>2552</v>
      </c>
      <c r="F654">
        <v>555</v>
      </c>
      <c r="G654">
        <v>1997</v>
      </c>
      <c r="H654">
        <v>0.62945708653065358</v>
      </c>
      <c r="I654">
        <v>0</v>
      </c>
      <c r="J654">
        <v>139382276.9331007</v>
      </c>
    </row>
    <row r="655" spans="1:10" x14ac:dyDescent="0.3">
      <c r="A655" t="s">
        <v>1668</v>
      </c>
      <c r="B655" t="s">
        <v>492</v>
      </c>
      <c r="C655" t="s">
        <v>515</v>
      </c>
      <c r="D655" t="s">
        <v>518</v>
      </c>
      <c r="E655">
        <v>702</v>
      </c>
      <c r="F655">
        <v>59</v>
      </c>
      <c r="G655">
        <v>643</v>
      </c>
      <c r="H655">
        <v>0.66943191708318783</v>
      </c>
      <c r="I655">
        <v>0</v>
      </c>
      <c r="J655">
        <v>34911504.438463166</v>
      </c>
    </row>
    <row r="656" spans="1:10" x14ac:dyDescent="0.3">
      <c r="A656" t="s">
        <v>1669</v>
      </c>
      <c r="B656" t="s">
        <v>492</v>
      </c>
      <c r="C656" t="s">
        <v>519</v>
      </c>
      <c r="D656" t="s">
        <v>519</v>
      </c>
      <c r="E656">
        <v>3466</v>
      </c>
      <c r="F656">
        <v>1701</v>
      </c>
      <c r="G656">
        <v>1765</v>
      </c>
      <c r="H656">
        <v>0.96825399710652282</v>
      </c>
      <c r="I656">
        <v>0</v>
      </c>
      <c r="J656">
        <v>101211894.744528</v>
      </c>
    </row>
    <row r="657" spans="1:10" x14ac:dyDescent="0.3">
      <c r="A657" t="s">
        <v>1670</v>
      </c>
      <c r="B657" t="s">
        <v>492</v>
      </c>
      <c r="C657" t="s">
        <v>522</v>
      </c>
      <c r="D657" t="s">
        <v>86</v>
      </c>
      <c r="E657">
        <v>4140</v>
      </c>
      <c r="F657">
        <v>2152</v>
      </c>
      <c r="G657">
        <v>1988</v>
      </c>
      <c r="H657">
        <v>0.88560201198791988</v>
      </c>
      <c r="I657">
        <v>0</v>
      </c>
      <c r="J657">
        <v>123031019.8209542</v>
      </c>
    </row>
    <row r="658" spans="1:10" x14ac:dyDescent="0.3">
      <c r="A658" t="s">
        <v>1671</v>
      </c>
      <c r="B658" t="s">
        <v>492</v>
      </c>
      <c r="C658" t="s">
        <v>522</v>
      </c>
      <c r="D658" t="s">
        <v>324</v>
      </c>
      <c r="E658">
        <v>2163</v>
      </c>
      <c r="F658">
        <v>323</v>
      </c>
      <c r="G658">
        <v>1840</v>
      </c>
      <c r="H658">
        <v>0.68538879847148781</v>
      </c>
      <c r="I658">
        <v>0</v>
      </c>
      <c r="J658">
        <v>77045609.057493582</v>
      </c>
    </row>
    <row r="659" spans="1:10" x14ac:dyDescent="0.3">
      <c r="A659" t="s">
        <v>1672</v>
      </c>
      <c r="B659" t="s">
        <v>492</v>
      </c>
      <c r="C659" t="s">
        <v>522</v>
      </c>
      <c r="D659" t="s">
        <v>523</v>
      </c>
      <c r="E659">
        <v>2050</v>
      </c>
      <c r="F659">
        <v>225</v>
      </c>
      <c r="G659">
        <v>1825</v>
      </c>
      <c r="H659">
        <v>0.5324890557002433</v>
      </c>
      <c r="I659">
        <v>0</v>
      </c>
      <c r="J659">
        <v>97161330.2842336</v>
      </c>
    </row>
    <row r="660" spans="1:10" x14ac:dyDescent="0.3">
      <c r="A660" t="s">
        <v>1673</v>
      </c>
      <c r="B660" t="s">
        <v>492</v>
      </c>
      <c r="C660" t="s">
        <v>522</v>
      </c>
      <c r="D660" t="s">
        <v>524</v>
      </c>
      <c r="E660">
        <v>1450</v>
      </c>
      <c r="F660">
        <v>171</v>
      </c>
      <c r="G660">
        <v>1279</v>
      </c>
      <c r="H660">
        <v>0.91859152448232839</v>
      </c>
      <c r="I660">
        <v>0</v>
      </c>
      <c r="J660">
        <v>76946782.249056697</v>
      </c>
    </row>
    <row r="661" spans="1:10" x14ac:dyDescent="0.3">
      <c r="A661" t="s">
        <v>1674</v>
      </c>
      <c r="B661" t="s">
        <v>492</v>
      </c>
      <c r="C661" t="s">
        <v>522</v>
      </c>
      <c r="D661" t="s">
        <v>525</v>
      </c>
      <c r="E661">
        <v>1865</v>
      </c>
      <c r="F661">
        <v>361</v>
      </c>
      <c r="G661">
        <v>1504</v>
      </c>
      <c r="H661">
        <v>1.0798060165540819</v>
      </c>
      <c r="I661">
        <v>0</v>
      </c>
      <c r="J661">
        <v>41323819.931859978</v>
      </c>
    </row>
    <row r="662" spans="1:10" x14ac:dyDescent="0.3">
      <c r="A662" t="s">
        <v>1675</v>
      </c>
      <c r="B662" t="s">
        <v>492</v>
      </c>
      <c r="C662" t="s">
        <v>522</v>
      </c>
      <c r="D662" t="s">
        <v>304</v>
      </c>
      <c r="E662">
        <v>1647</v>
      </c>
      <c r="F662">
        <v>496</v>
      </c>
      <c r="G662">
        <v>1151</v>
      </c>
      <c r="H662">
        <v>0.75602118398930351</v>
      </c>
      <c r="I662">
        <v>0</v>
      </c>
      <c r="J662">
        <v>72654153.799988613</v>
      </c>
    </row>
    <row r="663" spans="1:10" x14ac:dyDescent="0.3">
      <c r="A663" t="s">
        <v>1676</v>
      </c>
      <c r="B663" t="s">
        <v>492</v>
      </c>
      <c r="C663" t="s">
        <v>527</v>
      </c>
      <c r="D663" t="s">
        <v>528</v>
      </c>
      <c r="E663">
        <v>2402</v>
      </c>
      <c r="F663">
        <v>798</v>
      </c>
      <c r="G663">
        <v>1604</v>
      </c>
      <c r="H663">
        <v>0.62514019246934671</v>
      </c>
      <c r="I663">
        <v>0</v>
      </c>
      <c r="J663">
        <v>103958921.3406968</v>
      </c>
    </row>
    <row r="664" spans="1:10" x14ac:dyDescent="0.3">
      <c r="A664" t="s">
        <v>1677</v>
      </c>
      <c r="B664" t="s">
        <v>492</v>
      </c>
      <c r="C664" t="s">
        <v>527</v>
      </c>
      <c r="D664" t="s">
        <v>530</v>
      </c>
      <c r="E664">
        <v>986</v>
      </c>
      <c r="F664">
        <v>368</v>
      </c>
      <c r="G664">
        <v>618</v>
      </c>
      <c r="H664">
        <v>0.60587111092380319</v>
      </c>
      <c r="I664">
        <v>0</v>
      </c>
      <c r="J664">
        <v>97153582.209024802</v>
      </c>
    </row>
    <row r="665" spans="1:10" x14ac:dyDescent="0.3">
      <c r="A665" t="s">
        <v>1678</v>
      </c>
      <c r="B665" t="s">
        <v>492</v>
      </c>
      <c r="C665" t="s">
        <v>527</v>
      </c>
      <c r="D665" t="s">
        <v>531</v>
      </c>
      <c r="E665">
        <v>1716</v>
      </c>
      <c r="F665">
        <v>517</v>
      </c>
      <c r="G665">
        <v>1199</v>
      </c>
      <c r="H665">
        <v>0.63848801392754473</v>
      </c>
      <c r="I665">
        <v>0</v>
      </c>
      <c r="J665">
        <v>111192648.1272153</v>
      </c>
    </row>
    <row r="666" spans="1:10" x14ac:dyDescent="0.3">
      <c r="A666" t="s">
        <v>1679</v>
      </c>
      <c r="B666" t="s">
        <v>492</v>
      </c>
      <c r="C666" t="s">
        <v>532</v>
      </c>
      <c r="D666" t="s">
        <v>533</v>
      </c>
      <c r="E666">
        <v>985</v>
      </c>
      <c r="F666">
        <v>141</v>
      </c>
      <c r="G666">
        <v>844</v>
      </c>
      <c r="H666">
        <v>0.5382248482533174</v>
      </c>
      <c r="I666">
        <v>0</v>
      </c>
      <c r="J666">
        <v>89674771.166800037</v>
      </c>
    </row>
    <row r="667" spans="1:10" x14ac:dyDescent="0.3">
      <c r="A667" t="s">
        <v>1680</v>
      </c>
      <c r="B667" t="s">
        <v>492</v>
      </c>
      <c r="C667" t="s">
        <v>532</v>
      </c>
      <c r="D667" t="s">
        <v>207</v>
      </c>
      <c r="E667">
        <v>1360</v>
      </c>
      <c r="F667">
        <v>224</v>
      </c>
      <c r="G667">
        <v>1136</v>
      </c>
      <c r="H667">
        <v>0.62876806109555206</v>
      </c>
      <c r="I667">
        <v>0</v>
      </c>
      <c r="J667">
        <v>68583212.307331756</v>
      </c>
    </row>
    <row r="668" spans="1:10" x14ac:dyDescent="0.3">
      <c r="A668" t="s">
        <v>1681</v>
      </c>
      <c r="B668" t="s">
        <v>492</v>
      </c>
      <c r="C668" t="s">
        <v>532</v>
      </c>
      <c r="D668" t="s">
        <v>534</v>
      </c>
      <c r="E668">
        <v>629</v>
      </c>
      <c r="F668">
        <v>346</v>
      </c>
      <c r="G668">
        <v>283</v>
      </c>
      <c r="H668">
        <v>0.87399559984156516</v>
      </c>
      <c r="I668">
        <v>0</v>
      </c>
      <c r="J668">
        <v>45058320.951518051</v>
      </c>
    </row>
    <row r="669" spans="1:10" x14ac:dyDescent="0.3">
      <c r="A669" t="s">
        <v>1682</v>
      </c>
      <c r="B669" t="s">
        <v>492</v>
      </c>
      <c r="C669" t="s">
        <v>535</v>
      </c>
      <c r="D669" t="s">
        <v>536</v>
      </c>
      <c r="E669">
        <v>12110</v>
      </c>
      <c r="F669">
        <v>6368</v>
      </c>
      <c r="G669">
        <v>5742</v>
      </c>
      <c r="H669">
        <v>0.88609306343715344</v>
      </c>
      <c r="I669">
        <v>0</v>
      </c>
      <c r="J669">
        <v>441121767.66036153</v>
      </c>
    </row>
    <row r="670" spans="1:10" x14ac:dyDescent="0.3">
      <c r="A670" t="s">
        <v>1683</v>
      </c>
      <c r="B670" t="s">
        <v>492</v>
      </c>
      <c r="C670" t="s">
        <v>535</v>
      </c>
      <c r="D670" t="s">
        <v>538</v>
      </c>
      <c r="E670">
        <v>2406</v>
      </c>
      <c r="F670">
        <v>512</v>
      </c>
      <c r="G670">
        <v>1894</v>
      </c>
      <c r="H670">
        <v>0.59731180413607976</v>
      </c>
      <c r="I670">
        <v>0</v>
      </c>
      <c r="J670">
        <v>279336681.02647561</v>
      </c>
    </row>
    <row r="671" spans="1:10" x14ac:dyDescent="0.3">
      <c r="A671" t="s">
        <v>1684</v>
      </c>
      <c r="B671" t="s">
        <v>492</v>
      </c>
      <c r="C671" t="s">
        <v>535</v>
      </c>
      <c r="D671" t="s">
        <v>539</v>
      </c>
      <c r="E671">
        <v>1679</v>
      </c>
      <c r="F671">
        <v>504</v>
      </c>
      <c r="G671">
        <v>1175</v>
      </c>
      <c r="H671">
        <v>0.63030265837082922</v>
      </c>
      <c r="I671">
        <v>0</v>
      </c>
      <c r="J671">
        <v>98021829.914275318</v>
      </c>
    </row>
    <row r="672" spans="1:10" x14ac:dyDescent="0.3">
      <c r="A672" t="s">
        <v>1685</v>
      </c>
      <c r="B672" t="s">
        <v>492</v>
      </c>
      <c r="C672" t="s">
        <v>535</v>
      </c>
      <c r="D672" t="s">
        <v>138</v>
      </c>
      <c r="E672">
        <v>1077</v>
      </c>
      <c r="F672">
        <v>379</v>
      </c>
      <c r="G672">
        <v>698</v>
      </c>
      <c r="H672">
        <v>0.64381348527523363</v>
      </c>
      <c r="I672">
        <v>0</v>
      </c>
      <c r="J672">
        <v>35044709.064901993</v>
      </c>
    </row>
    <row r="673" spans="1:10" x14ac:dyDescent="0.3">
      <c r="A673" t="s">
        <v>1686</v>
      </c>
      <c r="B673" t="s">
        <v>492</v>
      </c>
      <c r="C673" t="s">
        <v>535</v>
      </c>
      <c r="D673" t="s">
        <v>541</v>
      </c>
      <c r="E673">
        <v>1734</v>
      </c>
      <c r="F673">
        <v>809</v>
      </c>
      <c r="G673">
        <v>925</v>
      </c>
      <c r="H673">
        <v>0.81859505469864791</v>
      </c>
      <c r="I673">
        <v>0</v>
      </c>
      <c r="J673">
        <v>52367802.052866973</v>
      </c>
    </row>
    <row r="674" spans="1:10" x14ac:dyDescent="0.3">
      <c r="A674" t="s">
        <v>1687</v>
      </c>
      <c r="B674" t="s">
        <v>492</v>
      </c>
      <c r="C674" t="s">
        <v>535</v>
      </c>
      <c r="D674" t="s">
        <v>542</v>
      </c>
      <c r="E674">
        <v>1237</v>
      </c>
      <c r="F674">
        <v>546</v>
      </c>
      <c r="G674">
        <v>691</v>
      </c>
      <c r="H674">
        <v>0.85994484404759974</v>
      </c>
      <c r="I674">
        <v>0</v>
      </c>
      <c r="J674">
        <v>21823613.130669199</v>
      </c>
    </row>
    <row r="675" spans="1:10" x14ac:dyDescent="0.3">
      <c r="A675" t="s">
        <v>1688</v>
      </c>
      <c r="B675" t="s">
        <v>492</v>
      </c>
      <c r="C675" t="s">
        <v>543</v>
      </c>
      <c r="D675" t="s">
        <v>545</v>
      </c>
      <c r="E675">
        <v>1335</v>
      </c>
      <c r="F675">
        <v>631</v>
      </c>
      <c r="G675">
        <v>704</v>
      </c>
      <c r="H675">
        <v>0.6193843112651094</v>
      </c>
      <c r="I675">
        <v>0</v>
      </c>
      <c r="J675">
        <v>79938131.097480521</v>
      </c>
    </row>
    <row r="676" spans="1:10" x14ac:dyDescent="0.3">
      <c r="A676" t="s">
        <v>1689</v>
      </c>
      <c r="B676" t="s">
        <v>492</v>
      </c>
      <c r="C676" t="s">
        <v>543</v>
      </c>
      <c r="D676" t="s">
        <v>546</v>
      </c>
      <c r="E676">
        <v>1157</v>
      </c>
      <c r="F676">
        <v>410</v>
      </c>
      <c r="G676">
        <v>747</v>
      </c>
      <c r="H676">
        <v>0.73192381590534794</v>
      </c>
      <c r="I676">
        <v>0</v>
      </c>
      <c r="J676">
        <v>27715350.116702739</v>
      </c>
    </row>
    <row r="677" spans="1:10" x14ac:dyDescent="0.3">
      <c r="A677" t="s">
        <v>1690</v>
      </c>
      <c r="B677" t="s">
        <v>492</v>
      </c>
      <c r="C677" t="s">
        <v>543</v>
      </c>
      <c r="D677" t="s">
        <v>547</v>
      </c>
      <c r="E677">
        <v>2423</v>
      </c>
      <c r="F677">
        <v>1048</v>
      </c>
      <c r="G677">
        <v>1375</v>
      </c>
      <c r="H677">
        <v>0.58062065486673553</v>
      </c>
      <c r="I677">
        <v>0</v>
      </c>
      <c r="J677">
        <v>203758358.20783439</v>
      </c>
    </row>
    <row r="678" spans="1:10" x14ac:dyDescent="0.3">
      <c r="A678" t="s">
        <v>1691</v>
      </c>
      <c r="B678" t="s">
        <v>492</v>
      </c>
      <c r="C678" t="s">
        <v>543</v>
      </c>
      <c r="D678" t="s">
        <v>548</v>
      </c>
      <c r="E678">
        <v>1308</v>
      </c>
      <c r="F678">
        <v>584</v>
      </c>
      <c r="G678">
        <v>724</v>
      </c>
      <c r="H678">
        <v>0.94748640797564665</v>
      </c>
      <c r="I678">
        <v>0</v>
      </c>
      <c r="J678">
        <v>28084599.110742379</v>
      </c>
    </row>
    <row r="679" spans="1:10" x14ac:dyDescent="0.3">
      <c r="A679" t="s">
        <v>1692</v>
      </c>
      <c r="B679" t="s">
        <v>492</v>
      </c>
      <c r="C679" t="s">
        <v>543</v>
      </c>
      <c r="D679" t="s">
        <v>549</v>
      </c>
      <c r="E679">
        <v>1047</v>
      </c>
      <c r="F679">
        <v>282</v>
      </c>
      <c r="G679">
        <v>765</v>
      </c>
      <c r="H679">
        <v>0.63385683384285874</v>
      </c>
      <c r="I679">
        <v>0</v>
      </c>
      <c r="J679">
        <v>56295762.574709222</v>
      </c>
    </row>
    <row r="680" spans="1:10" x14ac:dyDescent="0.3">
      <c r="A680" t="s">
        <v>1693</v>
      </c>
      <c r="B680" t="s">
        <v>492</v>
      </c>
      <c r="C680" t="s">
        <v>550</v>
      </c>
      <c r="D680" t="s">
        <v>359</v>
      </c>
      <c r="E680">
        <v>1553</v>
      </c>
      <c r="F680">
        <v>319</v>
      </c>
      <c r="G680">
        <v>1234</v>
      </c>
      <c r="H680">
        <v>1.0103704371411311</v>
      </c>
      <c r="I680">
        <v>0</v>
      </c>
      <c r="J680">
        <v>45089128.104276262</v>
      </c>
    </row>
    <row r="681" spans="1:10" x14ac:dyDescent="0.3">
      <c r="A681" t="s">
        <v>1694</v>
      </c>
      <c r="B681" t="s">
        <v>492</v>
      </c>
      <c r="C681" t="s">
        <v>550</v>
      </c>
      <c r="D681" t="s">
        <v>558</v>
      </c>
      <c r="E681">
        <v>4086</v>
      </c>
      <c r="F681">
        <v>1414</v>
      </c>
      <c r="G681">
        <v>2672</v>
      </c>
      <c r="H681">
        <v>1.036842277057362</v>
      </c>
      <c r="I681">
        <v>0</v>
      </c>
      <c r="J681">
        <v>118724757.39780059</v>
      </c>
    </row>
    <row r="682" spans="1:10" x14ac:dyDescent="0.3">
      <c r="A682" t="s">
        <v>1695</v>
      </c>
      <c r="B682" t="s">
        <v>492</v>
      </c>
      <c r="C682" t="s">
        <v>560</v>
      </c>
      <c r="D682" t="s">
        <v>560</v>
      </c>
      <c r="E682">
        <v>3670</v>
      </c>
      <c r="F682">
        <v>880</v>
      </c>
      <c r="G682">
        <v>2790</v>
      </c>
      <c r="H682">
        <v>0.62171345242352294</v>
      </c>
      <c r="I682">
        <v>0</v>
      </c>
      <c r="J682">
        <v>293860267.15217823</v>
      </c>
    </row>
    <row r="683" spans="1:10" x14ac:dyDescent="0.3">
      <c r="A683" t="s">
        <v>1696</v>
      </c>
      <c r="B683" t="s">
        <v>492</v>
      </c>
      <c r="C683" t="s">
        <v>563</v>
      </c>
      <c r="D683" t="s">
        <v>564</v>
      </c>
      <c r="E683">
        <v>868</v>
      </c>
      <c r="F683">
        <v>435</v>
      </c>
      <c r="G683">
        <v>433</v>
      </c>
      <c r="H683">
        <v>0.5568600429144992</v>
      </c>
      <c r="I683">
        <v>0</v>
      </c>
      <c r="J683">
        <v>170636138.13951799</v>
      </c>
    </row>
    <row r="684" spans="1:10" x14ac:dyDescent="0.3">
      <c r="A684" t="s">
        <v>1697</v>
      </c>
      <c r="B684" t="s">
        <v>492</v>
      </c>
      <c r="C684" t="s">
        <v>563</v>
      </c>
      <c r="D684" t="s">
        <v>565</v>
      </c>
      <c r="E684">
        <v>1913</v>
      </c>
      <c r="F684">
        <v>586</v>
      </c>
      <c r="G684">
        <v>1327</v>
      </c>
      <c r="H684">
        <v>0.51827529453810872</v>
      </c>
      <c r="I684">
        <v>0</v>
      </c>
      <c r="J684">
        <v>189587510.5228329</v>
      </c>
    </row>
    <row r="685" spans="1:10" x14ac:dyDescent="0.3">
      <c r="A685" t="s">
        <v>1698</v>
      </c>
      <c r="B685" t="s">
        <v>492</v>
      </c>
      <c r="C685" t="s">
        <v>563</v>
      </c>
      <c r="D685" t="s">
        <v>566</v>
      </c>
      <c r="E685">
        <v>1685</v>
      </c>
      <c r="F685">
        <v>410</v>
      </c>
      <c r="G685">
        <v>1275</v>
      </c>
      <c r="H685">
        <v>0.48958454835670617</v>
      </c>
      <c r="I685">
        <v>0</v>
      </c>
      <c r="J685">
        <v>231583457.98253191</v>
      </c>
    </row>
    <row r="686" spans="1:10" x14ac:dyDescent="0.3">
      <c r="A686" t="s">
        <v>1699</v>
      </c>
      <c r="B686" t="s">
        <v>492</v>
      </c>
      <c r="C686" t="s">
        <v>563</v>
      </c>
      <c r="D686" t="s">
        <v>567</v>
      </c>
      <c r="E686">
        <v>2574</v>
      </c>
      <c r="F686">
        <v>632</v>
      </c>
      <c r="G686">
        <v>1942</v>
      </c>
      <c r="H686">
        <v>0.52926816898179041</v>
      </c>
      <c r="I686">
        <v>0</v>
      </c>
      <c r="J686">
        <v>174189461.63801959</v>
      </c>
    </row>
    <row r="687" spans="1:10" x14ac:dyDescent="0.3">
      <c r="A687" t="s">
        <v>1700</v>
      </c>
      <c r="B687" t="s">
        <v>492</v>
      </c>
      <c r="C687" t="s">
        <v>570</v>
      </c>
      <c r="D687" t="s">
        <v>572</v>
      </c>
      <c r="E687">
        <v>2059</v>
      </c>
      <c r="F687">
        <v>397</v>
      </c>
      <c r="G687">
        <v>1662</v>
      </c>
      <c r="H687">
        <v>0.74935578185917751</v>
      </c>
      <c r="I687">
        <v>0</v>
      </c>
      <c r="J687">
        <v>43180880.265264571</v>
      </c>
    </row>
    <row r="688" spans="1:10" x14ac:dyDescent="0.3">
      <c r="A688" t="s">
        <v>1701</v>
      </c>
      <c r="B688" t="s">
        <v>492</v>
      </c>
      <c r="C688" t="s">
        <v>570</v>
      </c>
      <c r="D688" t="s">
        <v>573</v>
      </c>
      <c r="E688">
        <v>2961</v>
      </c>
      <c r="F688">
        <v>151</v>
      </c>
      <c r="G688">
        <v>2810</v>
      </c>
      <c r="H688">
        <v>0.62592662693831846</v>
      </c>
      <c r="I688">
        <v>0</v>
      </c>
      <c r="J688">
        <v>92012779.016570807</v>
      </c>
    </row>
    <row r="689" spans="1:10" x14ac:dyDescent="0.3">
      <c r="A689" t="s">
        <v>1702</v>
      </c>
      <c r="B689" t="s">
        <v>492</v>
      </c>
      <c r="C689" t="s">
        <v>574</v>
      </c>
      <c r="D689" t="s">
        <v>574</v>
      </c>
      <c r="E689">
        <v>2558</v>
      </c>
      <c r="F689">
        <v>1010</v>
      </c>
      <c r="G689">
        <v>1548</v>
      </c>
      <c r="H689">
        <v>0.80446912035483187</v>
      </c>
      <c r="I689">
        <v>0</v>
      </c>
      <c r="J689">
        <v>92276414.021390736</v>
      </c>
    </row>
    <row r="690" spans="1:10" x14ac:dyDescent="0.3">
      <c r="A690" t="s">
        <v>1703</v>
      </c>
      <c r="B690" t="s">
        <v>492</v>
      </c>
      <c r="C690" t="s">
        <v>574</v>
      </c>
      <c r="D690" t="s">
        <v>576</v>
      </c>
      <c r="E690">
        <v>1119</v>
      </c>
      <c r="F690">
        <v>289</v>
      </c>
      <c r="G690">
        <v>830</v>
      </c>
      <c r="H690">
        <v>0.60340840180830413</v>
      </c>
      <c r="I690">
        <v>0</v>
      </c>
      <c r="J690">
        <v>107961345.1591354</v>
      </c>
    </row>
    <row r="691" spans="1:10" x14ac:dyDescent="0.3">
      <c r="A691" t="s">
        <v>1704</v>
      </c>
      <c r="B691" t="s">
        <v>492</v>
      </c>
      <c r="C691" t="s">
        <v>577</v>
      </c>
      <c r="D691" t="s">
        <v>577</v>
      </c>
      <c r="E691">
        <v>3702</v>
      </c>
      <c r="F691">
        <v>1454</v>
      </c>
      <c r="G691">
        <v>2248</v>
      </c>
      <c r="H691">
        <v>1.4286165744544359</v>
      </c>
      <c r="I691">
        <v>0</v>
      </c>
      <c r="J691">
        <v>61868913.809367828</v>
      </c>
    </row>
    <row r="692" spans="1:10" x14ac:dyDescent="0.3">
      <c r="A692" t="s">
        <v>1705</v>
      </c>
      <c r="B692" t="s">
        <v>492</v>
      </c>
      <c r="C692" t="s">
        <v>577</v>
      </c>
      <c r="D692" t="s">
        <v>578</v>
      </c>
      <c r="E692">
        <v>462</v>
      </c>
      <c r="F692">
        <v>61</v>
      </c>
      <c r="G692">
        <v>401</v>
      </c>
      <c r="H692">
        <v>0.64687487174691993</v>
      </c>
      <c r="I692">
        <v>0</v>
      </c>
      <c r="J692">
        <v>51910530.451783083</v>
      </c>
    </row>
    <row r="693" spans="1:10" x14ac:dyDescent="0.3">
      <c r="A693" t="s">
        <v>1706</v>
      </c>
      <c r="B693" t="s">
        <v>579</v>
      </c>
      <c r="C693" t="s">
        <v>580</v>
      </c>
      <c r="D693" t="s">
        <v>581</v>
      </c>
      <c r="E693">
        <v>5226</v>
      </c>
      <c r="F693">
        <v>961</v>
      </c>
      <c r="G693">
        <v>4265</v>
      </c>
      <c r="H693">
        <v>0.88714393740367148</v>
      </c>
      <c r="I693">
        <v>0</v>
      </c>
      <c r="J693">
        <v>91430045.76835154</v>
      </c>
    </row>
    <row r="694" spans="1:10" x14ac:dyDescent="0.3">
      <c r="A694" t="s">
        <v>1707</v>
      </c>
      <c r="B694" t="s">
        <v>579</v>
      </c>
      <c r="C694" t="s">
        <v>580</v>
      </c>
      <c r="D694" t="s">
        <v>582</v>
      </c>
      <c r="E694">
        <v>19008</v>
      </c>
      <c r="F694">
        <v>4099</v>
      </c>
      <c r="G694">
        <v>14909</v>
      </c>
      <c r="H694">
        <v>0.97598916678687919</v>
      </c>
      <c r="I694">
        <v>0</v>
      </c>
      <c r="J694">
        <v>344065032.66206801</v>
      </c>
    </row>
    <row r="695" spans="1:10" x14ac:dyDescent="0.3">
      <c r="A695" t="s">
        <v>1708</v>
      </c>
      <c r="B695" t="s">
        <v>579</v>
      </c>
      <c r="C695" t="s">
        <v>580</v>
      </c>
      <c r="D695" t="s">
        <v>80</v>
      </c>
      <c r="E695">
        <v>14093</v>
      </c>
      <c r="F695">
        <v>5110</v>
      </c>
      <c r="G695">
        <v>8983</v>
      </c>
      <c r="H695">
        <v>1.0352165881552231</v>
      </c>
      <c r="I695">
        <v>0</v>
      </c>
      <c r="J695">
        <v>187077143.59632099</v>
      </c>
    </row>
    <row r="696" spans="1:10" x14ac:dyDescent="0.3">
      <c r="A696" t="s">
        <v>1709</v>
      </c>
      <c r="B696" t="s">
        <v>579</v>
      </c>
      <c r="C696" t="s">
        <v>584</v>
      </c>
      <c r="D696" t="s">
        <v>585</v>
      </c>
      <c r="E696">
        <v>13581</v>
      </c>
      <c r="F696">
        <v>1494</v>
      </c>
      <c r="G696">
        <v>12087</v>
      </c>
      <c r="H696">
        <v>1.0129232218928901</v>
      </c>
      <c r="I696">
        <v>0</v>
      </c>
      <c r="J696">
        <v>232860605.411879</v>
      </c>
    </row>
    <row r="697" spans="1:10" x14ac:dyDescent="0.3">
      <c r="A697" t="s">
        <v>1710</v>
      </c>
      <c r="B697" t="s">
        <v>579</v>
      </c>
      <c r="C697" t="s">
        <v>584</v>
      </c>
      <c r="D697" t="s">
        <v>586</v>
      </c>
      <c r="E697">
        <v>10130</v>
      </c>
      <c r="F697">
        <v>3096</v>
      </c>
      <c r="G697">
        <v>7034</v>
      </c>
      <c r="H697">
        <v>1.2735212663233311</v>
      </c>
      <c r="I697">
        <v>0</v>
      </c>
      <c r="J697">
        <v>111413322.9750011</v>
      </c>
    </row>
    <row r="698" spans="1:10" x14ac:dyDescent="0.3">
      <c r="A698" t="s">
        <v>1711</v>
      </c>
      <c r="B698" t="s">
        <v>579</v>
      </c>
      <c r="C698" t="s">
        <v>397</v>
      </c>
      <c r="D698" t="s">
        <v>397</v>
      </c>
      <c r="E698">
        <v>25874</v>
      </c>
      <c r="F698">
        <v>12512</v>
      </c>
      <c r="G698">
        <v>13362</v>
      </c>
      <c r="H698">
        <v>1.034176752518182</v>
      </c>
      <c r="I698">
        <v>0</v>
      </c>
      <c r="J698">
        <v>298449777.21156448</v>
      </c>
    </row>
    <row r="699" spans="1:10" x14ac:dyDescent="0.3">
      <c r="A699" t="s">
        <v>1712</v>
      </c>
      <c r="B699" t="s">
        <v>579</v>
      </c>
      <c r="C699" t="s">
        <v>558</v>
      </c>
      <c r="D699" t="s">
        <v>591</v>
      </c>
      <c r="E699">
        <v>9671</v>
      </c>
      <c r="F699">
        <v>3369</v>
      </c>
      <c r="G699">
        <v>6302</v>
      </c>
      <c r="H699">
        <v>3.021605002194216</v>
      </c>
      <c r="I699">
        <v>0</v>
      </c>
      <c r="J699">
        <v>50255159.399347477</v>
      </c>
    </row>
    <row r="700" spans="1:10" x14ac:dyDescent="0.3">
      <c r="A700" t="s">
        <v>1713</v>
      </c>
      <c r="B700" t="s">
        <v>579</v>
      </c>
      <c r="C700" t="s">
        <v>558</v>
      </c>
      <c r="D700" t="s">
        <v>26</v>
      </c>
      <c r="E700">
        <v>23427</v>
      </c>
      <c r="F700">
        <v>4552</v>
      </c>
      <c r="G700">
        <v>18875</v>
      </c>
      <c r="H700">
        <v>1.2758611382386831</v>
      </c>
      <c r="I700">
        <v>0</v>
      </c>
      <c r="J700">
        <v>334514078.68137658</v>
      </c>
    </row>
    <row r="701" spans="1:10" x14ac:dyDescent="0.3">
      <c r="A701" t="s">
        <v>1714</v>
      </c>
      <c r="B701" t="s">
        <v>579</v>
      </c>
      <c r="C701" t="s">
        <v>592</v>
      </c>
      <c r="D701" t="s">
        <v>592</v>
      </c>
      <c r="E701">
        <v>48988</v>
      </c>
      <c r="F701">
        <v>23373</v>
      </c>
      <c r="G701">
        <v>25615</v>
      </c>
      <c r="H701">
        <v>3.1838351488318062</v>
      </c>
      <c r="I701">
        <v>0</v>
      </c>
      <c r="J701">
        <v>153143254.16192701</v>
      </c>
    </row>
    <row r="702" spans="1:10" x14ac:dyDescent="0.3">
      <c r="A702" t="s">
        <v>1715</v>
      </c>
      <c r="B702" t="s">
        <v>579</v>
      </c>
      <c r="C702" t="s">
        <v>592</v>
      </c>
      <c r="D702" t="s">
        <v>593</v>
      </c>
      <c r="E702">
        <v>18364</v>
      </c>
      <c r="F702">
        <v>2213</v>
      </c>
      <c r="G702">
        <v>16151</v>
      </c>
      <c r="H702">
        <v>1.2873628507418331</v>
      </c>
      <c r="I702">
        <v>0</v>
      </c>
      <c r="J702">
        <v>245535844.50032839</v>
      </c>
    </row>
    <row r="703" spans="1:10" x14ac:dyDescent="0.3">
      <c r="A703" t="s">
        <v>1716</v>
      </c>
      <c r="B703" t="s">
        <v>579</v>
      </c>
      <c r="C703" t="s">
        <v>592</v>
      </c>
      <c r="D703" t="s">
        <v>594</v>
      </c>
      <c r="E703">
        <v>3101</v>
      </c>
      <c r="F703">
        <v>259</v>
      </c>
      <c r="G703">
        <v>2842</v>
      </c>
      <c r="H703">
        <v>1.2085803947223619</v>
      </c>
      <c r="I703">
        <v>0</v>
      </c>
      <c r="J703">
        <v>61060171.684765853</v>
      </c>
    </row>
    <row r="704" spans="1:10" x14ac:dyDescent="0.3">
      <c r="A704" t="s">
        <v>1717</v>
      </c>
      <c r="B704" t="s">
        <v>579</v>
      </c>
      <c r="C704" t="s">
        <v>598</v>
      </c>
      <c r="D704" t="s">
        <v>598</v>
      </c>
      <c r="E704">
        <v>24838</v>
      </c>
      <c r="F704">
        <v>4215</v>
      </c>
      <c r="G704">
        <v>20623</v>
      </c>
      <c r="H704">
        <v>0.97869615976338342</v>
      </c>
      <c r="I704">
        <v>0</v>
      </c>
      <c r="J704">
        <v>569220652.7098521</v>
      </c>
    </row>
    <row r="705" spans="1:10" x14ac:dyDescent="0.3">
      <c r="A705" t="s">
        <v>1718</v>
      </c>
      <c r="B705" t="s">
        <v>579</v>
      </c>
      <c r="C705" t="s">
        <v>604</v>
      </c>
      <c r="D705" t="s">
        <v>604</v>
      </c>
      <c r="E705">
        <v>19464</v>
      </c>
      <c r="F705">
        <v>5280</v>
      </c>
      <c r="G705">
        <v>14184</v>
      </c>
      <c r="H705">
        <v>1.3637393939977209</v>
      </c>
      <c r="I705">
        <v>0</v>
      </c>
      <c r="J705">
        <v>287737034.76405841</v>
      </c>
    </row>
    <row r="706" spans="1:10" x14ac:dyDescent="0.3">
      <c r="A706" t="s">
        <v>1719</v>
      </c>
      <c r="B706" t="s">
        <v>605</v>
      </c>
      <c r="C706" t="s">
        <v>606</v>
      </c>
      <c r="D706" t="s">
        <v>607</v>
      </c>
      <c r="E706">
        <v>4714</v>
      </c>
      <c r="F706">
        <v>608</v>
      </c>
      <c r="G706">
        <v>4106</v>
      </c>
      <c r="H706">
        <v>2.5136261261992581</v>
      </c>
      <c r="I706">
        <v>0</v>
      </c>
      <c r="J706">
        <v>31060749.30406601</v>
      </c>
    </row>
    <row r="707" spans="1:10" x14ac:dyDescent="0.3">
      <c r="A707" t="s">
        <v>1720</v>
      </c>
      <c r="B707" t="s">
        <v>605</v>
      </c>
      <c r="C707" t="s">
        <v>606</v>
      </c>
      <c r="D707" t="s">
        <v>609</v>
      </c>
      <c r="E707">
        <v>4181</v>
      </c>
      <c r="F707">
        <v>320</v>
      </c>
      <c r="G707">
        <v>3861</v>
      </c>
      <c r="H707">
        <v>1.7526389084842391</v>
      </c>
      <c r="I707">
        <v>0</v>
      </c>
      <c r="J707">
        <v>37025167.836782292</v>
      </c>
    </row>
    <row r="708" spans="1:10" x14ac:dyDescent="0.3">
      <c r="A708" t="s">
        <v>1721</v>
      </c>
      <c r="B708" t="s">
        <v>605</v>
      </c>
      <c r="C708" t="s">
        <v>606</v>
      </c>
      <c r="D708" t="s">
        <v>610</v>
      </c>
      <c r="E708">
        <v>14850</v>
      </c>
      <c r="F708">
        <v>1354</v>
      </c>
      <c r="G708">
        <v>13496</v>
      </c>
      <c r="H708">
        <v>4.9199076768460781</v>
      </c>
      <c r="I708">
        <v>0</v>
      </c>
      <c r="J708">
        <v>90676535.472301885</v>
      </c>
    </row>
    <row r="709" spans="1:10" x14ac:dyDescent="0.3">
      <c r="A709" t="s">
        <v>1722</v>
      </c>
      <c r="B709" t="s">
        <v>605</v>
      </c>
      <c r="C709" t="s">
        <v>606</v>
      </c>
      <c r="D709" t="s">
        <v>612</v>
      </c>
      <c r="E709">
        <v>2717</v>
      </c>
      <c r="F709">
        <v>25</v>
      </c>
      <c r="G709">
        <v>2692</v>
      </c>
      <c r="H709">
        <v>0.98356156537497963</v>
      </c>
      <c r="I709">
        <v>0</v>
      </c>
      <c r="J709">
        <v>60668468.086197197</v>
      </c>
    </row>
    <row r="710" spans="1:10" x14ac:dyDescent="0.3">
      <c r="A710" t="s">
        <v>1723</v>
      </c>
      <c r="B710" t="s">
        <v>605</v>
      </c>
      <c r="C710" t="s">
        <v>90</v>
      </c>
      <c r="D710" t="s">
        <v>614</v>
      </c>
      <c r="E710">
        <v>3573</v>
      </c>
      <c r="F710">
        <v>289</v>
      </c>
      <c r="G710">
        <v>3284</v>
      </c>
      <c r="H710">
        <v>0.62521649155322545</v>
      </c>
      <c r="I710">
        <v>0</v>
      </c>
      <c r="J710">
        <v>121552632.4500628</v>
      </c>
    </row>
    <row r="711" spans="1:10" x14ac:dyDescent="0.3">
      <c r="A711" t="s">
        <v>1724</v>
      </c>
      <c r="B711" t="s">
        <v>605</v>
      </c>
      <c r="C711" t="s">
        <v>615</v>
      </c>
      <c r="D711" t="s">
        <v>616</v>
      </c>
      <c r="E711">
        <v>4444</v>
      </c>
      <c r="F711">
        <v>198</v>
      </c>
      <c r="G711">
        <v>4246</v>
      </c>
      <c r="H711">
        <v>0.65923749827703038</v>
      </c>
      <c r="I711">
        <v>0</v>
      </c>
      <c r="J711">
        <v>234770603.86088559</v>
      </c>
    </row>
    <row r="712" spans="1:10" x14ac:dyDescent="0.3">
      <c r="A712" t="s">
        <v>1725</v>
      </c>
      <c r="B712" t="s">
        <v>605</v>
      </c>
      <c r="C712" t="s">
        <v>615</v>
      </c>
      <c r="D712" t="s">
        <v>618</v>
      </c>
      <c r="E712">
        <v>6369</v>
      </c>
      <c r="F712">
        <v>518</v>
      </c>
      <c r="G712">
        <v>5851</v>
      </c>
      <c r="H712">
        <v>0.66158343830048738</v>
      </c>
      <c r="I712">
        <v>0</v>
      </c>
      <c r="J712">
        <v>299117442.27025378</v>
      </c>
    </row>
    <row r="713" spans="1:10" x14ac:dyDescent="0.3">
      <c r="A713" t="s">
        <v>1726</v>
      </c>
      <c r="B713" t="s">
        <v>605</v>
      </c>
      <c r="C713" t="s">
        <v>615</v>
      </c>
      <c r="D713" t="s">
        <v>619</v>
      </c>
      <c r="E713">
        <v>6082</v>
      </c>
      <c r="F713">
        <v>180</v>
      </c>
      <c r="G713">
        <v>5902</v>
      </c>
      <c r="H713">
        <v>0.6965548932533685</v>
      </c>
      <c r="I713">
        <v>0</v>
      </c>
      <c r="J713">
        <v>569087243.39331782</v>
      </c>
    </row>
    <row r="714" spans="1:10" x14ac:dyDescent="0.3">
      <c r="A714" t="s">
        <v>1727</v>
      </c>
      <c r="B714" t="s">
        <v>605</v>
      </c>
      <c r="C714" t="s">
        <v>615</v>
      </c>
      <c r="D714" t="s">
        <v>26</v>
      </c>
      <c r="E714">
        <v>7831</v>
      </c>
      <c r="F714">
        <v>986</v>
      </c>
      <c r="G714">
        <v>6845</v>
      </c>
      <c r="H714">
        <v>0.75599374429656907</v>
      </c>
      <c r="I714">
        <v>0</v>
      </c>
      <c r="J714">
        <v>398746817.93539172</v>
      </c>
    </row>
    <row r="715" spans="1:10" x14ac:dyDescent="0.3">
      <c r="A715" t="s">
        <v>1728</v>
      </c>
      <c r="B715" t="s">
        <v>605</v>
      </c>
      <c r="C715" t="s">
        <v>615</v>
      </c>
      <c r="D715" t="s">
        <v>138</v>
      </c>
      <c r="E715">
        <v>9482</v>
      </c>
      <c r="F715">
        <v>2215</v>
      </c>
      <c r="G715">
        <v>7267</v>
      </c>
      <c r="H715">
        <v>1.526660954551738</v>
      </c>
      <c r="I715">
        <v>0</v>
      </c>
      <c r="J715">
        <v>212418346.5890632</v>
      </c>
    </row>
    <row r="716" spans="1:10" x14ac:dyDescent="0.3">
      <c r="A716" t="s">
        <v>1729</v>
      </c>
      <c r="B716" t="s">
        <v>605</v>
      </c>
      <c r="C716" t="s">
        <v>620</v>
      </c>
      <c r="D716" t="s">
        <v>621</v>
      </c>
      <c r="E716">
        <v>3911</v>
      </c>
      <c r="F716">
        <v>399</v>
      </c>
      <c r="G716">
        <v>3512</v>
      </c>
      <c r="H716">
        <v>0.85765574803421663</v>
      </c>
      <c r="I716">
        <v>0</v>
      </c>
      <c r="J716">
        <v>290516710.4318611</v>
      </c>
    </row>
    <row r="717" spans="1:10" x14ac:dyDescent="0.3">
      <c r="A717" t="s">
        <v>1730</v>
      </c>
      <c r="B717" t="s">
        <v>605</v>
      </c>
      <c r="C717" t="s">
        <v>620</v>
      </c>
      <c r="D717" t="s">
        <v>622</v>
      </c>
      <c r="E717">
        <v>7251</v>
      </c>
      <c r="F717">
        <v>629</v>
      </c>
      <c r="G717">
        <v>6622</v>
      </c>
      <c r="H717">
        <v>1.2402796300043011</v>
      </c>
      <c r="I717">
        <v>0</v>
      </c>
      <c r="J717">
        <v>188870603.7189748</v>
      </c>
    </row>
    <row r="718" spans="1:10" x14ac:dyDescent="0.3">
      <c r="A718" t="s">
        <v>1731</v>
      </c>
      <c r="B718" t="s">
        <v>605</v>
      </c>
      <c r="C718" t="s">
        <v>620</v>
      </c>
      <c r="D718" t="s">
        <v>623</v>
      </c>
      <c r="E718">
        <v>13662</v>
      </c>
      <c r="F718">
        <v>1006</v>
      </c>
      <c r="G718">
        <v>12656</v>
      </c>
      <c r="H718">
        <v>0.83451735910674751</v>
      </c>
      <c r="I718">
        <v>0</v>
      </c>
      <c r="J718">
        <v>339075365.01683241</v>
      </c>
    </row>
    <row r="719" spans="1:10" x14ac:dyDescent="0.3">
      <c r="A719" t="s">
        <v>1732</v>
      </c>
      <c r="B719" t="s">
        <v>605</v>
      </c>
      <c r="C719" t="s">
        <v>625</v>
      </c>
      <c r="D719" t="s">
        <v>626</v>
      </c>
      <c r="E719">
        <v>2707</v>
      </c>
      <c r="F719">
        <v>190</v>
      </c>
      <c r="G719">
        <v>2517</v>
      </c>
      <c r="H719">
        <v>0.55519452245929568</v>
      </c>
      <c r="I719">
        <v>0</v>
      </c>
      <c r="J719">
        <v>259822985.73622411</v>
      </c>
    </row>
    <row r="720" spans="1:10" x14ac:dyDescent="0.3">
      <c r="A720" t="s">
        <v>1733</v>
      </c>
      <c r="B720" t="s">
        <v>605</v>
      </c>
      <c r="C720" t="s">
        <v>625</v>
      </c>
      <c r="D720" t="s">
        <v>627</v>
      </c>
      <c r="E720">
        <v>3527</v>
      </c>
      <c r="F720">
        <v>379</v>
      </c>
      <c r="G720">
        <v>3148</v>
      </c>
      <c r="H720">
        <v>0.94501226357468837</v>
      </c>
      <c r="I720">
        <v>0</v>
      </c>
      <c r="J720">
        <v>100403191.22477859</v>
      </c>
    </row>
    <row r="721" spans="1:10" x14ac:dyDescent="0.3">
      <c r="A721" t="s">
        <v>1734</v>
      </c>
      <c r="B721" t="s">
        <v>605</v>
      </c>
      <c r="C721" t="s">
        <v>628</v>
      </c>
      <c r="D721" t="s">
        <v>629</v>
      </c>
      <c r="E721">
        <v>3418</v>
      </c>
      <c r="F721">
        <v>209</v>
      </c>
      <c r="G721">
        <v>3209</v>
      </c>
      <c r="H721">
        <v>0.9284838655845512</v>
      </c>
      <c r="I721">
        <v>0</v>
      </c>
      <c r="J721">
        <v>90155063.796481639</v>
      </c>
    </row>
    <row r="722" spans="1:10" x14ac:dyDescent="0.3">
      <c r="A722" t="s">
        <v>1735</v>
      </c>
      <c r="B722" t="s">
        <v>605</v>
      </c>
      <c r="C722" t="s">
        <v>628</v>
      </c>
      <c r="D722" t="s">
        <v>630</v>
      </c>
      <c r="E722">
        <v>7019</v>
      </c>
      <c r="F722">
        <v>59</v>
      </c>
      <c r="G722">
        <v>6960</v>
      </c>
      <c r="H722">
        <v>1.0532576990473019</v>
      </c>
      <c r="I722">
        <v>0</v>
      </c>
      <c r="J722">
        <v>116737524.53589649</v>
      </c>
    </row>
    <row r="723" spans="1:10" x14ac:dyDescent="0.3">
      <c r="A723" t="s">
        <v>1736</v>
      </c>
      <c r="B723" t="s">
        <v>605</v>
      </c>
      <c r="C723" t="s">
        <v>628</v>
      </c>
      <c r="D723" t="s">
        <v>631</v>
      </c>
      <c r="E723">
        <v>1816</v>
      </c>
      <c r="F723">
        <v>4</v>
      </c>
      <c r="G723">
        <v>1812</v>
      </c>
      <c r="H723">
        <v>0.72792635019738527</v>
      </c>
      <c r="I723">
        <v>0</v>
      </c>
      <c r="J723">
        <v>167108458.17267069</v>
      </c>
    </row>
    <row r="724" spans="1:10" x14ac:dyDescent="0.3">
      <c r="A724" t="s">
        <v>1737</v>
      </c>
      <c r="B724" t="s">
        <v>605</v>
      </c>
      <c r="C724" t="s">
        <v>645</v>
      </c>
      <c r="D724" t="s">
        <v>646</v>
      </c>
      <c r="E724">
        <v>8300</v>
      </c>
      <c r="F724">
        <v>250</v>
      </c>
      <c r="G724">
        <v>8050</v>
      </c>
      <c r="H724">
        <v>0.63185785542425654</v>
      </c>
      <c r="I724">
        <v>0</v>
      </c>
      <c r="J724">
        <v>427596173.60758603</v>
      </c>
    </row>
    <row r="725" spans="1:10" x14ac:dyDescent="0.3">
      <c r="A725" t="s">
        <v>1738</v>
      </c>
      <c r="B725" t="s">
        <v>605</v>
      </c>
      <c r="C725" t="s">
        <v>645</v>
      </c>
      <c r="D725" t="s">
        <v>106</v>
      </c>
      <c r="E725">
        <v>4787</v>
      </c>
      <c r="F725">
        <v>240</v>
      </c>
      <c r="G725">
        <v>4547</v>
      </c>
      <c r="H725">
        <v>0.7861411185673961</v>
      </c>
      <c r="I725">
        <v>0</v>
      </c>
      <c r="J725">
        <v>146098012.47939831</v>
      </c>
    </row>
    <row r="726" spans="1:10" x14ac:dyDescent="0.3">
      <c r="A726" t="s">
        <v>1739</v>
      </c>
      <c r="B726" t="s">
        <v>605</v>
      </c>
      <c r="C726" t="s">
        <v>28</v>
      </c>
      <c r="D726" t="s">
        <v>648</v>
      </c>
      <c r="E726">
        <v>7933</v>
      </c>
      <c r="F726">
        <v>3010</v>
      </c>
      <c r="G726">
        <v>4923</v>
      </c>
      <c r="H726">
        <v>1.172232614721443</v>
      </c>
      <c r="I726">
        <v>0</v>
      </c>
      <c r="J726">
        <v>104472912.2542344</v>
      </c>
    </row>
    <row r="727" spans="1:10" x14ac:dyDescent="0.3">
      <c r="A727" t="s">
        <v>1740</v>
      </c>
      <c r="B727" t="s">
        <v>605</v>
      </c>
      <c r="C727" t="s">
        <v>28</v>
      </c>
      <c r="D727" t="s">
        <v>80</v>
      </c>
      <c r="E727">
        <v>7200</v>
      </c>
      <c r="F727">
        <v>5</v>
      </c>
      <c r="G727">
        <v>7195</v>
      </c>
      <c r="H727">
        <v>0.63202785441531628</v>
      </c>
      <c r="I727">
        <v>0</v>
      </c>
      <c r="J727">
        <v>240090196.59469</v>
      </c>
    </row>
    <row r="728" spans="1:10" x14ac:dyDescent="0.3">
      <c r="A728" t="s">
        <v>1741</v>
      </c>
      <c r="B728" t="s">
        <v>605</v>
      </c>
      <c r="C728" t="s">
        <v>28</v>
      </c>
      <c r="D728" t="s">
        <v>113</v>
      </c>
      <c r="E728">
        <v>6006</v>
      </c>
      <c r="F728">
        <v>156</v>
      </c>
      <c r="G728">
        <v>5850</v>
      </c>
      <c r="H728">
        <v>0.68067592871191784</v>
      </c>
      <c r="I728">
        <v>0</v>
      </c>
      <c r="J728">
        <v>220774273.42307931</v>
      </c>
    </row>
    <row r="729" spans="1:10" x14ac:dyDescent="0.3">
      <c r="A729" t="s">
        <v>1742</v>
      </c>
      <c r="B729" t="s">
        <v>605</v>
      </c>
      <c r="C729" t="s">
        <v>652</v>
      </c>
      <c r="D729" t="s">
        <v>653</v>
      </c>
      <c r="E729">
        <v>4438</v>
      </c>
      <c r="F729">
        <v>1185</v>
      </c>
      <c r="G729">
        <v>3253</v>
      </c>
      <c r="H729">
        <v>2.854511004609666</v>
      </c>
      <c r="I729">
        <v>0</v>
      </c>
      <c r="J729">
        <v>58212453.761750042</v>
      </c>
    </row>
    <row r="730" spans="1:10" x14ac:dyDescent="0.3">
      <c r="A730" t="s">
        <v>1743</v>
      </c>
      <c r="B730" t="s">
        <v>605</v>
      </c>
      <c r="C730" t="s">
        <v>652</v>
      </c>
      <c r="D730" t="s">
        <v>654</v>
      </c>
      <c r="E730">
        <v>7106</v>
      </c>
      <c r="F730">
        <v>2257</v>
      </c>
      <c r="G730">
        <v>4849</v>
      </c>
      <c r="H730">
        <v>2.344860507185575</v>
      </c>
      <c r="I730">
        <v>0</v>
      </c>
      <c r="J730">
        <v>75035128.55199188</v>
      </c>
    </row>
    <row r="731" spans="1:10" x14ac:dyDescent="0.3">
      <c r="A731" t="s">
        <v>1744</v>
      </c>
      <c r="B731" t="s">
        <v>605</v>
      </c>
      <c r="C731" t="s">
        <v>655</v>
      </c>
      <c r="D731" t="s">
        <v>324</v>
      </c>
      <c r="E731">
        <v>5687</v>
      </c>
      <c r="F731">
        <v>526</v>
      </c>
      <c r="G731">
        <v>5161</v>
      </c>
      <c r="H731">
        <v>0.99186730031222681</v>
      </c>
      <c r="I731">
        <v>0</v>
      </c>
      <c r="J731">
        <v>117682161.5531804</v>
      </c>
    </row>
    <row r="732" spans="1:10" x14ac:dyDescent="0.3">
      <c r="A732" t="s">
        <v>1745</v>
      </c>
      <c r="B732" t="s">
        <v>605</v>
      </c>
      <c r="C732" t="s">
        <v>658</v>
      </c>
      <c r="D732" t="s">
        <v>659</v>
      </c>
      <c r="E732">
        <v>18642</v>
      </c>
      <c r="F732">
        <v>1946</v>
      </c>
      <c r="G732">
        <v>16696</v>
      </c>
      <c r="H732">
        <v>0.90652057696893384</v>
      </c>
      <c r="I732">
        <v>0</v>
      </c>
      <c r="J732">
        <v>872299510.47374237</v>
      </c>
    </row>
    <row r="733" spans="1:10" x14ac:dyDescent="0.3">
      <c r="A733" t="s">
        <v>1746</v>
      </c>
      <c r="B733" t="s">
        <v>605</v>
      </c>
      <c r="C733" t="s">
        <v>658</v>
      </c>
      <c r="D733" t="s">
        <v>288</v>
      </c>
      <c r="E733">
        <v>2555</v>
      </c>
      <c r="F733">
        <v>188</v>
      </c>
      <c r="G733">
        <v>2367</v>
      </c>
      <c r="H733">
        <v>0.74189302032342996</v>
      </c>
      <c r="I733">
        <v>0</v>
      </c>
      <c r="J733">
        <v>170132197.30422619</v>
      </c>
    </row>
    <row r="734" spans="1:10" x14ac:dyDescent="0.3">
      <c r="A734" t="s">
        <v>1747</v>
      </c>
      <c r="B734" t="s">
        <v>605</v>
      </c>
      <c r="C734" t="s">
        <v>84</v>
      </c>
      <c r="D734" t="s">
        <v>666</v>
      </c>
      <c r="E734">
        <v>8051</v>
      </c>
      <c r="F734">
        <v>351</v>
      </c>
      <c r="G734">
        <v>7700</v>
      </c>
      <c r="H734">
        <v>0.70716460988877072</v>
      </c>
      <c r="I734">
        <v>0</v>
      </c>
      <c r="J734">
        <v>396015693.67605299</v>
      </c>
    </row>
    <row r="735" spans="1:10" x14ac:dyDescent="0.3">
      <c r="A735" t="s">
        <v>1748</v>
      </c>
      <c r="B735" t="s">
        <v>667</v>
      </c>
      <c r="C735" t="s">
        <v>668</v>
      </c>
      <c r="D735" t="s">
        <v>670</v>
      </c>
      <c r="E735">
        <v>399</v>
      </c>
      <c r="F735">
        <v>180</v>
      </c>
      <c r="G735">
        <v>219</v>
      </c>
      <c r="H735">
        <v>0.64769652448913784</v>
      </c>
      <c r="I735">
        <v>0</v>
      </c>
      <c r="J735">
        <v>269276604.94847262</v>
      </c>
    </row>
    <row r="736" spans="1:10" x14ac:dyDescent="0.3">
      <c r="A736" t="s">
        <v>1749</v>
      </c>
      <c r="B736" t="s">
        <v>667</v>
      </c>
      <c r="C736" t="s">
        <v>668</v>
      </c>
      <c r="D736" t="s">
        <v>671</v>
      </c>
      <c r="E736">
        <v>4929</v>
      </c>
      <c r="F736">
        <v>2997</v>
      </c>
      <c r="G736">
        <v>1932</v>
      </c>
      <c r="H736">
        <v>2.2691937898062369</v>
      </c>
      <c r="I736">
        <v>0</v>
      </c>
      <c r="J736">
        <v>73329812.667459488</v>
      </c>
    </row>
    <row r="737" spans="1:10" x14ac:dyDescent="0.3">
      <c r="A737" t="s">
        <v>1750</v>
      </c>
      <c r="B737" t="s">
        <v>667</v>
      </c>
      <c r="C737" t="s">
        <v>668</v>
      </c>
      <c r="D737" t="s">
        <v>169</v>
      </c>
      <c r="E737">
        <v>1220</v>
      </c>
      <c r="F737">
        <v>655</v>
      </c>
      <c r="G737">
        <v>565</v>
      </c>
      <c r="H737">
        <v>0.62058849191282917</v>
      </c>
      <c r="I737">
        <v>0</v>
      </c>
      <c r="J737">
        <v>129124321.46990059</v>
      </c>
    </row>
    <row r="738" spans="1:10" x14ac:dyDescent="0.3">
      <c r="A738" t="s">
        <v>1751</v>
      </c>
      <c r="B738" t="s">
        <v>667</v>
      </c>
      <c r="C738" t="s">
        <v>668</v>
      </c>
      <c r="D738" t="s">
        <v>672</v>
      </c>
      <c r="E738">
        <v>18647</v>
      </c>
      <c r="F738">
        <v>2409</v>
      </c>
      <c r="G738">
        <v>16238</v>
      </c>
      <c r="H738">
        <v>0.6014976233970335</v>
      </c>
      <c r="I738">
        <v>0</v>
      </c>
      <c r="J738">
        <v>2246349232.3188238</v>
      </c>
    </row>
    <row r="739" spans="1:10" x14ac:dyDescent="0.3">
      <c r="A739" t="s">
        <v>1752</v>
      </c>
      <c r="B739" t="s">
        <v>667</v>
      </c>
      <c r="C739" t="s">
        <v>668</v>
      </c>
      <c r="D739" t="s">
        <v>673</v>
      </c>
      <c r="E739">
        <v>1022</v>
      </c>
      <c r="F739">
        <v>304</v>
      </c>
      <c r="G739">
        <v>718</v>
      </c>
      <c r="H739">
        <v>1.3339757304000339</v>
      </c>
      <c r="I739">
        <v>0</v>
      </c>
      <c r="J739">
        <v>405361032.38565838</v>
      </c>
    </row>
    <row r="740" spans="1:10" x14ac:dyDescent="0.3">
      <c r="A740" t="s">
        <v>1753</v>
      </c>
      <c r="B740" t="s">
        <v>667</v>
      </c>
      <c r="C740" t="s">
        <v>668</v>
      </c>
      <c r="D740" t="s">
        <v>674</v>
      </c>
      <c r="E740">
        <v>223</v>
      </c>
      <c r="F740">
        <v>69</v>
      </c>
      <c r="G740">
        <v>154</v>
      </c>
      <c r="H740">
        <v>0.61112420537363576</v>
      </c>
      <c r="I740">
        <v>0</v>
      </c>
      <c r="J740">
        <v>624975848.36906219</v>
      </c>
    </row>
    <row r="741" spans="1:10" x14ac:dyDescent="0.3">
      <c r="A741" t="s">
        <v>1754</v>
      </c>
      <c r="B741" t="s">
        <v>667</v>
      </c>
      <c r="C741" t="s">
        <v>668</v>
      </c>
      <c r="D741" t="s">
        <v>675</v>
      </c>
      <c r="E741">
        <v>2807</v>
      </c>
      <c r="F741">
        <v>81</v>
      </c>
      <c r="G741">
        <v>2726</v>
      </c>
      <c r="H741">
        <v>0.45831562512777912</v>
      </c>
      <c r="I741">
        <v>0</v>
      </c>
      <c r="J741">
        <v>345129134.65068412</v>
      </c>
    </row>
    <row r="742" spans="1:10" x14ac:dyDescent="0.3">
      <c r="A742" t="s">
        <v>1755</v>
      </c>
      <c r="B742" t="s">
        <v>667</v>
      </c>
      <c r="C742" t="s">
        <v>668</v>
      </c>
      <c r="D742" t="s">
        <v>676</v>
      </c>
      <c r="E742">
        <v>3044</v>
      </c>
      <c r="F742">
        <v>1423</v>
      </c>
      <c r="G742">
        <v>1621</v>
      </c>
      <c r="H742">
        <v>0.91771388480939797</v>
      </c>
      <c r="I742">
        <v>0</v>
      </c>
      <c r="J742">
        <v>225069831.39480981</v>
      </c>
    </row>
    <row r="743" spans="1:10" x14ac:dyDescent="0.3">
      <c r="A743" t="s">
        <v>1756</v>
      </c>
      <c r="B743" t="s">
        <v>667</v>
      </c>
      <c r="C743" t="s">
        <v>677</v>
      </c>
      <c r="D743" t="s">
        <v>678</v>
      </c>
      <c r="E743">
        <v>165</v>
      </c>
      <c r="F743">
        <v>30</v>
      </c>
      <c r="G743">
        <v>135</v>
      </c>
      <c r="H743">
        <v>0.58158150262201924</v>
      </c>
      <c r="I743">
        <v>0</v>
      </c>
      <c r="J743">
        <v>286348069.35850108</v>
      </c>
    </row>
    <row r="744" spans="1:10" x14ac:dyDescent="0.3">
      <c r="A744" t="s">
        <v>1757</v>
      </c>
      <c r="B744" t="s">
        <v>667</v>
      </c>
      <c r="C744" t="s">
        <v>677</v>
      </c>
      <c r="D744" t="s">
        <v>680</v>
      </c>
      <c r="E744">
        <v>6557</v>
      </c>
      <c r="F744">
        <v>465</v>
      </c>
      <c r="G744">
        <v>6092</v>
      </c>
      <c r="H744">
        <v>0.58457624578131906</v>
      </c>
      <c r="I744">
        <v>0</v>
      </c>
      <c r="J744">
        <v>683186942.21012533</v>
      </c>
    </row>
    <row r="745" spans="1:10" x14ac:dyDescent="0.3">
      <c r="A745" t="s">
        <v>1758</v>
      </c>
      <c r="B745" t="s">
        <v>667</v>
      </c>
      <c r="C745" t="s">
        <v>677</v>
      </c>
      <c r="D745" t="s">
        <v>418</v>
      </c>
      <c r="E745">
        <v>570</v>
      </c>
      <c r="F745">
        <v>224</v>
      </c>
      <c r="G745">
        <v>346</v>
      </c>
      <c r="H745">
        <v>0.67117967487418151</v>
      </c>
      <c r="I745">
        <v>0</v>
      </c>
      <c r="J745">
        <v>134946460.37692121</v>
      </c>
    </row>
    <row r="746" spans="1:10" x14ac:dyDescent="0.3">
      <c r="A746" t="s">
        <v>1759</v>
      </c>
      <c r="B746" t="s">
        <v>667</v>
      </c>
      <c r="C746" t="s">
        <v>677</v>
      </c>
      <c r="D746" t="s">
        <v>682</v>
      </c>
      <c r="E746">
        <v>663</v>
      </c>
      <c r="F746">
        <v>307</v>
      </c>
      <c r="G746">
        <v>356</v>
      </c>
      <c r="H746">
        <v>0.7274174465914367</v>
      </c>
      <c r="I746">
        <v>0</v>
      </c>
      <c r="J746">
        <v>54828206.314662218</v>
      </c>
    </row>
    <row r="747" spans="1:10" x14ac:dyDescent="0.3">
      <c r="A747" t="s">
        <v>1760</v>
      </c>
      <c r="B747" t="s">
        <v>667</v>
      </c>
      <c r="C747" t="s">
        <v>677</v>
      </c>
      <c r="D747" t="s">
        <v>683</v>
      </c>
      <c r="E747">
        <v>125</v>
      </c>
      <c r="F747">
        <v>33</v>
      </c>
      <c r="G747">
        <v>92</v>
      </c>
      <c r="H747">
        <v>0.63743515387341676</v>
      </c>
      <c r="I747">
        <v>0</v>
      </c>
      <c r="J747">
        <v>271079032.39605558</v>
      </c>
    </row>
    <row r="748" spans="1:10" x14ac:dyDescent="0.3">
      <c r="A748" t="s">
        <v>1761</v>
      </c>
      <c r="B748" t="s">
        <v>667</v>
      </c>
      <c r="C748" t="s">
        <v>685</v>
      </c>
      <c r="D748" t="s">
        <v>687</v>
      </c>
      <c r="E748">
        <v>1086</v>
      </c>
      <c r="F748">
        <v>581</v>
      </c>
      <c r="G748">
        <v>505</v>
      </c>
      <c r="H748">
        <v>1.40791201761212</v>
      </c>
      <c r="I748">
        <v>0</v>
      </c>
      <c r="J748">
        <v>69716707.771448627</v>
      </c>
    </row>
    <row r="749" spans="1:10" x14ac:dyDescent="0.3">
      <c r="A749" t="s">
        <v>1762</v>
      </c>
      <c r="B749" t="s">
        <v>667</v>
      </c>
      <c r="C749" t="s">
        <v>685</v>
      </c>
      <c r="D749" t="s">
        <v>689</v>
      </c>
      <c r="E749">
        <v>818</v>
      </c>
      <c r="F749">
        <v>152</v>
      </c>
      <c r="G749">
        <v>666</v>
      </c>
      <c r="H749">
        <v>0.70376882883515124</v>
      </c>
      <c r="I749">
        <v>0</v>
      </c>
      <c r="J749">
        <v>284533393.44226718</v>
      </c>
    </row>
    <row r="750" spans="1:10" x14ac:dyDescent="0.3">
      <c r="A750" t="s">
        <v>1763</v>
      </c>
      <c r="B750" t="s">
        <v>667</v>
      </c>
      <c r="C750" t="s">
        <v>685</v>
      </c>
      <c r="D750" t="s">
        <v>690</v>
      </c>
      <c r="E750">
        <v>1126</v>
      </c>
      <c r="F750">
        <v>187</v>
      </c>
      <c r="G750">
        <v>939</v>
      </c>
      <c r="H750">
        <v>0.82087227033307275</v>
      </c>
      <c r="I750">
        <v>0</v>
      </c>
      <c r="J750">
        <v>257379256.7282874</v>
      </c>
    </row>
    <row r="751" spans="1:10" x14ac:dyDescent="0.3">
      <c r="A751" t="s">
        <v>1764</v>
      </c>
      <c r="B751" t="s">
        <v>667</v>
      </c>
      <c r="C751" t="s">
        <v>691</v>
      </c>
      <c r="D751" t="s">
        <v>694</v>
      </c>
      <c r="E751">
        <v>1361</v>
      </c>
      <c r="F751">
        <v>287</v>
      </c>
      <c r="G751">
        <v>1074</v>
      </c>
      <c r="H751">
        <v>0.80493478988611444</v>
      </c>
      <c r="I751">
        <v>0</v>
      </c>
      <c r="J751">
        <v>92486434.238445684</v>
      </c>
    </row>
    <row r="752" spans="1:10" x14ac:dyDescent="0.3">
      <c r="A752" t="s">
        <v>1765</v>
      </c>
      <c r="B752" t="s">
        <v>667</v>
      </c>
      <c r="C752" t="s">
        <v>114</v>
      </c>
      <c r="D752" t="s">
        <v>696</v>
      </c>
      <c r="E752">
        <v>443</v>
      </c>
      <c r="F752">
        <v>162</v>
      </c>
      <c r="G752">
        <v>281</v>
      </c>
      <c r="H752">
        <v>0.6812891224963431</v>
      </c>
      <c r="I752">
        <v>0</v>
      </c>
      <c r="J752">
        <v>443269902.20634282</v>
      </c>
    </row>
    <row r="753" spans="1:10" x14ac:dyDescent="0.3">
      <c r="A753" t="s">
        <v>1766</v>
      </c>
      <c r="B753" t="s">
        <v>667</v>
      </c>
      <c r="C753" t="s">
        <v>114</v>
      </c>
      <c r="D753" t="s">
        <v>698</v>
      </c>
      <c r="E753">
        <v>1820</v>
      </c>
      <c r="F753">
        <v>426</v>
      </c>
      <c r="G753">
        <v>1394</v>
      </c>
      <c r="H753">
        <v>0.68129693274714442</v>
      </c>
      <c r="I753">
        <v>0</v>
      </c>
      <c r="J753">
        <v>256783520.24205649</v>
      </c>
    </row>
    <row r="754" spans="1:10" x14ac:dyDescent="0.3">
      <c r="A754" t="s">
        <v>1767</v>
      </c>
      <c r="B754" t="s">
        <v>667</v>
      </c>
      <c r="C754" t="s">
        <v>114</v>
      </c>
      <c r="D754" t="s">
        <v>699</v>
      </c>
      <c r="E754">
        <v>596</v>
      </c>
      <c r="F754">
        <v>247</v>
      </c>
      <c r="G754">
        <v>349</v>
      </c>
      <c r="H754">
        <v>1.050536370019195</v>
      </c>
      <c r="I754">
        <v>0</v>
      </c>
      <c r="J754">
        <v>57401336.173095226</v>
      </c>
    </row>
    <row r="755" spans="1:10" x14ac:dyDescent="0.3">
      <c r="A755" t="s">
        <v>1768</v>
      </c>
      <c r="B755" t="s">
        <v>667</v>
      </c>
      <c r="C755" t="s">
        <v>114</v>
      </c>
      <c r="D755" t="s">
        <v>700</v>
      </c>
      <c r="E755">
        <v>1606</v>
      </c>
      <c r="F755">
        <v>620</v>
      </c>
      <c r="G755">
        <v>986</v>
      </c>
      <c r="H755">
        <v>0.77767598731054266</v>
      </c>
      <c r="I755">
        <v>0</v>
      </c>
      <c r="J755">
        <v>95034498.100122258</v>
      </c>
    </row>
    <row r="756" spans="1:10" x14ac:dyDescent="0.3">
      <c r="A756" t="s">
        <v>1769</v>
      </c>
      <c r="B756" t="s">
        <v>667</v>
      </c>
      <c r="C756" t="s">
        <v>114</v>
      </c>
      <c r="D756" t="s">
        <v>701</v>
      </c>
      <c r="E756">
        <v>1157</v>
      </c>
      <c r="F756">
        <v>150</v>
      </c>
      <c r="G756">
        <v>1007</v>
      </c>
      <c r="H756">
        <v>0.70122442426459553</v>
      </c>
      <c r="I756">
        <v>0</v>
      </c>
      <c r="J756">
        <v>126796381.4109447</v>
      </c>
    </row>
    <row r="757" spans="1:10" x14ac:dyDescent="0.3">
      <c r="A757" t="s">
        <v>1770</v>
      </c>
      <c r="B757" t="s">
        <v>667</v>
      </c>
      <c r="C757" t="s">
        <v>702</v>
      </c>
      <c r="D757" t="s">
        <v>104</v>
      </c>
      <c r="E757">
        <v>2419</v>
      </c>
      <c r="F757">
        <v>141</v>
      </c>
      <c r="G757">
        <v>2278</v>
      </c>
      <c r="H757">
        <v>0.67275851337925408</v>
      </c>
      <c r="I757">
        <v>0</v>
      </c>
      <c r="J757">
        <v>196076772.22706029</v>
      </c>
    </row>
    <row r="758" spans="1:10" x14ac:dyDescent="0.3">
      <c r="A758" t="s">
        <v>1771</v>
      </c>
      <c r="B758" t="s">
        <v>667</v>
      </c>
      <c r="C758" t="s">
        <v>702</v>
      </c>
      <c r="D758" t="s">
        <v>703</v>
      </c>
      <c r="E758">
        <v>3398</v>
      </c>
      <c r="F758">
        <v>1209</v>
      </c>
      <c r="G758">
        <v>2189</v>
      </c>
      <c r="H758">
        <v>0.88304103395439026</v>
      </c>
      <c r="I758">
        <v>0</v>
      </c>
      <c r="J758">
        <v>223000012.51833591</v>
      </c>
    </row>
    <row r="759" spans="1:10" x14ac:dyDescent="0.3">
      <c r="A759" t="s">
        <v>1772</v>
      </c>
      <c r="B759" t="s">
        <v>667</v>
      </c>
      <c r="C759" t="s">
        <v>702</v>
      </c>
      <c r="D759" t="s">
        <v>704</v>
      </c>
      <c r="E759">
        <v>1378</v>
      </c>
      <c r="F759">
        <v>961</v>
      </c>
      <c r="G759">
        <v>417</v>
      </c>
      <c r="H759">
        <v>1.37558701130159</v>
      </c>
      <c r="I759">
        <v>0</v>
      </c>
      <c r="J759">
        <v>58317488.118660897</v>
      </c>
    </row>
    <row r="760" spans="1:10" x14ac:dyDescent="0.3">
      <c r="A760" t="s">
        <v>1773</v>
      </c>
      <c r="B760" t="s">
        <v>667</v>
      </c>
      <c r="C760" t="s">
        <v>705</v>
      </c>
      <c r="D760" t="s">
        <v>706</v>
      </c>
      <c r="E760">
        <v>6741</v>
      </c>
      <c r="F760">
        <v>358</v>
      </c>
      <c r="G760">
        <v>6383</v>
      </c>
      <c r="H760">
        <v>0.6197797150576978</v>
      </c>
      <c r="I760">
        <v>0</v>
      </c>
      <c r="J760">
        <v>471400371.4161101</v>
      </c>
    </row>
    <row r="761" spans="1:10" x14ac:dyDescent="0.3">
      <c r="A761" t="s">
        <v>1774</v>
      </c>
      <c r="B761" t="s">
        <v>667</v>
      </c>
      <c r="C761" t="s">
        <v>712</v>
      </c>
      <c r="D761" t="s">
        <v>713</v>
      </c>
      <c r="E761">
        <v>2069</v>
      </c>
      <c r="F761">
        <v>0</v>
      </c>
      <c r="G761">
        <v>2069</v>
      </c>
      <c r="H761">
        <v>0.4355579539818647</v>
      </c>
      <c r="I761">
        <v>0</v>
      </c>
      <c r="J761">
        <v>1252865881.8658309</v>
      </c>
    </row>
    <row r="762" spans="1:10" x14ac:dyDescent="0.3">
      <c r="A762" t="s">
        <v>1775</v>
      </c>
      <c r="B762" t="s">
        <v>667</v>
      </c>
      <c r="C762" t="s">
        <v>712</v>
      </c>
      <c r="D762" t="s">
        <v>714</v>
      </c>
      <c r="E762">
        <v>7360</v>
      </c>
      <c r="F762">
        <v>12</v>
      </c>
      <c r="G762">
        <v>7348</v>
      </c>
      <c r="H762">
        <v>0.46886882500630539</v>
      </c>
      <c r="I762">
        <v>0</v>
      </c>
      <c r="J762">
        <v>1268687972.1922519</v>
      </c>
    </row>
    <row r="763" spans="1:10" x14ac:dyDescent="0.3">
      <c r="A763" t="s">
        <v>1776</v>
      </c>
      <c r="B763" t="s">
        <v>667</v>
      </c>
      <c r="C763" t="s">
        <v>712</v>
      </c>
      <c r="D763" t="s">
        <v>715</v>
      </c>
      <c r="E763">
        <v>5224</v>
      </c>
      <c r="F763">
        <v>26</v>
      </c>
      <c r="G763">
        <v>5198</v>
      </c>
      <c r="H763">
        <v>0.51116995489401806</v>
      </c>
      <c r="I763">
        <v>0</v>
      </c>
      <c r="J763">
        <v>959002617.52584577</v>
      </c>
    </row>
    <row r="764" spans="1:10" x14ac:dyDescent="0.3">
      <c r="A764" t="s">
        <v>1777</v>
      </c>
      <c r="B764" t="s">
        <v>667</v>
      </c>
      <c r="C764" t="s">
        <v>712</v>
      </c>
      <c r="D764" t="s">
        <v>716</v>
      </c>
      <c r="E764">
        <v>4225</v>
      </c>
      <c r="F764">
        <v>0</v>
      </c>
      <c r="G764">
        <v>4225</v>
      </c>
      <c r="H764">
        <v>0.46262186537677658</v>
      </c>
      <c r="I764">
        <v>0</v>
      </c>
      <c r="J764">
        <v>1328664074.015554</v>
      </c>
    </row>
    <row r="765" spans="1:10" x14ac:dyDescent="0.3">
      <c r="A765" t="s">
        <v>1778</v>
      </c>
      <c r="B765" t="s">
        <v>667</v>
      </c>
      <c r="C765" t="s">
        <v>717</v>
      </c>
      <c r="D765" t="s">
        <v>717</v>
      </c>
      <c r="E765">
        <v>2604</v>
      </c>
      <c r="F765">
        <v>1194</v>
      </c>
      <c r="G765">
        <v>1410</v>
      </c>
      <c r="H765">
        <v>1.518821865784405</v>
      </c>
      <c r="I765">
        <v>0</v>
      </c>
      <c r="J765">
        <v>54971295.141918793</v>
      </c>
    </row>
    <row r="766" spans="1:10" x14ac:dyDescent="0.3">
      <c r="A766" t="s">
        <v>1779</v>
      </c>
      <c r="B766" t="s">
        <v>667</v>
      </c>
      <c r="C766" t="s">
        <v>717</v>
      </c>
      <c r="D766" t="s">
        <v>719</v>
      </c>
      <c r="E766">
        <v>2674</v>
      </c>
      <c r="F766">
        <v>58</v>
      </c>
      <c r="G766">
        <v>2616</v>
      </c>
      <c r="H766">
        <v>0.66321764208877432</v>
      </c>
      <c r="I766">
        <v>0</v>
      </c>
      <c r="J766">
        <v>265219065.20832491</v>
      </c>
    </row>
    <row r="767" spans="1:10" x14ac:dyDescent="0.3">
      <c r="A767" t="s">
        <v>1780</v>
      </c>
      <c r="B767" t="s">
        <v>667</v>
      </c>
      <c r="C767" t="s">
        <v>721</v>
      </c>
      <c r="D767" t="s">
        <v>114</v>
      </c>
      <c r="E767">
        <v>5511</v>
      </c>
      <c r="F767">
        <v>556</v>
      </c>
      <c r="G767">
        <v>4955</v>
      </c>
      <c r="H767">
        <v>0.59831085046623111</v>
      </c>
      <c r="I767">
        <v>0</v>
      </c>
      <c r="J767">
        <v>648735609.53570533</v>
      </c>
    </row>
    <row r="768" spans="1:10" x14ac:dyDescent="0.3">
      <c r="A768" t="s">
        <v>1781</v>
      </c>
      <c r="B768" t="s">
        <v>667</v>
      </c>
      <c r="C768" t="s">
        <v>721</v>
      </c>
      <c r="D768" t="s">
        <v>722</v>
      </c>
      <c r="E768">
        <v>3758</v>
      </c>
      <c r="F768">
        <v>57</v>
      </c>
      <c r="G768">
        <v>3701</v>
      </c>
      <c r="H768">
        <v>0.59834770048463892</v>
      </c>
      <c r="I768">
        <v>0</v>
      </c>
      <c r="J768">
        <v>532462675.68424249</v>
      </c>
    </row>
    <row r="769" spans="1:10" x14ac:dyDescent="0.3">
      <c r="A769" t="s">
        <v>1782</v>
      </c>
      <c r="B769" t="s">
        <v>723</v>
      </c>
      <c r="C769" t="s">
        <v>724</v>
      </c>
      <c r="D769" t="s">
        <v>725</v>
      </c>
      <c r="E769">
        <v>7465</v>
      </c>
      <c r="F769">
        <v>692</v>
      </c>
      <c r="G769">
        <v>6773</v>
      </c>
      <c r="H769">
        <v>0.64981460033519811</v>
      </c>
      <c r="I769">
        <v>0</v>
      </c>
      <c r="J769">
        <v>429335679.01755577</v>
      </c>
    </row>
    <row r="770" spans="1:10" x14ac:dyDescent="0.3">
      <c r="A770" t="s">
        <v>1783</v>
      </c>
      <c r="B770" t="s">
        <v>723</v>
      </c>
      <c r="C770" t="s">
        <v>724</v>
      </c>
      <c r="D770" t="s">
        <v>726</v>
      </c>
      <c r="E770">
        <v>8718</v>
      </c>
      <c r="F770">
        <v>225</v>
      </c>
      <c r="G770">
        <v>8493</v>
      </c>
      <c r="H770">
        <v>0.72996166066307966</v>
      </c>
      <c r="I770">
        <v>0</v>
      </c>
      <c r="J770">
        <v>963305715.7413044</v>
      </c>
    </row>
    <row r="771" spans="1:10" x14ac:dyDescent="0.3">
      <c r="A771" t="s">
        <v>1784</v>
      </c>
      <c r="B771" t="s">
        <v>723</v>
      </c>
      <c r="C771" t="s">
        <v>724</v>
      </c>
      <c r="D771" t="s">
        <v>727</v>
      </c>
      <c r="E771">
        <v>2179</v>
      </c>
      <c r="F771">
        <v>628</v>
      </c>
      <c r="G771">
        <v>1551</v>
      </c>
      <c r="H771">
        <v>0.55906790147619689</v>
      </c>
      <c r="I771">
        <v>0</v>
      </c>
      <c r="J771">
        <v>793394049.87602115</v>
      </c>
    </row>
    <row r="772" spans="1:10" x14ac:dyDescent="0.3">
      <c r="A772" t="s">
        <v>1785</v>
      </c>
      <c r="B772" t="s">
        <v>723</v>
      </c>
      <c r="C772" t="s">
        <v>724</v>
      </c>
      <c r="D772" t="s">
        <v>730</v>
      </c>
      <c r="E772">
        <v>3527</v>
      </c>
      <c r="F772">
        <v>663</v>
      </c>
      <c r="G772">
        <v>2864</v>
      </c>
      <c r="H772">
        <v>0.54485172702069684</v>
      </c>
      <c r="I772">
        <v>0</v>
      </c>
      <c r="J772">
        <v>918943832.23936045</v>
      </c>
    </row>
    <row r="773" spans="1:10" x14ac:dyDescent="0.3">
      <c r="A773" t="s">
        <v>1786</v>
      </c>
      <c r="B773" t="s">
        <v>723</v>
      </c>
      <c r="C773" t="s">
        <v>724</v>
      </c>
      <c r="D773" t="s">
        <v>731</v>
      </c>
      <c r="E773">
        <v>7280</v>
      </c>
      <c r="F773">
        <v>2285</v>
      </c>
      <c r="G773">
        <v>4995</v>
      </c>
      <c r="H773">
        <v>1.0953312719169459</v>
      </c>
      <c r="I773">
        <v>0</v>
      </c>
      <c r="J773">
        <v>162386011.32969889</v>
      </c>
    </row>
    <row r="774" spans="1:10" x14ac:dyDescent="0.3">
      <c r="A774" t="s">
        <v>1787</v>
      </c>
      <c r="B774" t="s">
        <v>723</v>
      </c>
      <c r="C774" t="s">
        <v>732</v>
      </c>
      <c r="D774" t="s">
        <v>733</v>
      </c>
      <c r="E774">
        <v>6879</v>
      </c>
      <c r="F774">
        <v>674</v>
      </c>
      <c r="G774">
        <v>6205</v>
      </c>
      <c r="H774">
        <v>0.57709660649718586</v>
      </c>
      <c r="I774">
        <v>0</v>
      </c>
      <c r="J774">
        <v>1531555252.4703519</v>
      </c>
    </row>
    <row r="775" spans="1:10" x14ac:dyDescent="0.3">
      <c r="A775" t="s">
        <v>1788</v>
      </c>
      <c r="B775" t="s">
        <v>723</v>
      </c>
      <c r="C775" t="s">
        <v>732</v>
      </c>
      <c r="D775" t="s">
        <v>735</v>
      </c>
      <c r="E775">
        <v>2633</v>
      </c>
      <c r="F775">
        <v>152</v>
      </c>
      <c r="G775">
        <v>2481</v>
      </c>
      <c r="H775">
        <v>0.58994539306499361</v>
      </c>
      <c r="I775">
        <v>0</v>
      </c>
      <c r="J775">
        <v>392965897.0310505</v>
      </c>
    </row>
    <row r="776" spans="1:10" x14ac:dyDescent="0.3">
      <c r="A776" t="s">
        <v>1789</v>
      </c>
      <c r="B776" t="s">
        <v>723</v>
      </c>
      <c r="C776" t="s">
        <v>736</v>
      </c>
      <c r="D776" t="s">
        <v>739</v>
      </c>
      <c r="E776">
        <v>697</v>
      </c>
      <c r="F776">
        <v>450</v>
      </c>
      <c r="G776">
        <v>247</v>
      </c>
      <c r="H776">
        <v>0.55456740876849153</v>
      </c>
      <c r="I776">
        <v>0</v>
      </c>
      <c r="J776">
        <v>818879900.57068932</v>
      </c>
    </row>
    <row r="777" spans="1:10" x14ac:dyDescent="0.3">
      <c r="A777" t="s">
        <v>1790</v>
      </c>
      <c r="B777" t="s">
        <v>723</v>
      </c>
      <c r="C777" t="s">
        <v>736</v>
      </c>
      <c r="D777" t="s">
        <v>740</v>
      </c>
      <c r="E777">
        <v>585</v>
      </c>
      <c r="F777">
        <v>291</v>
      </c>
      <c r="G777">
        <v>294</v>
      </c>
      <c r="H777">
        <v>0.60631659728456477</v>
      </c>
      <c r="I777">
        <v>0</v>
      </c>
      <c r="J777">
        <v>127024934.05733819</v>
      </c>
    </row>
    <row r="778" spans="1:10" x14ac:dyDescent="0.3">
      <c r="A778" t="s">
        <v>1791</v>
      </c>
      <c r="B778" t="s">
        <v>723</v>
      </c>
      <c r="C778" t="s">
        <v>741</v>
      </c>
      <c r="D778" t="s">
        <v>743</v>
      </c>
      <c r="E778">
        <v>471</v>
      </c>
      <c r="F778">
        <v>137</v>
      </c>
      <c r="G778">
        <v>334</v>
      </c>
      <c r="H778">
        <v>0.51059774094061094</v>
      </c>
      <c r="I778">
        <v>0</v>
      </c>
      <c r="J778">
        <v>480777489.04022533</v>
      </c>
    </row>
    <row r="779" spans="1:10" x14ac:dyDescent="0.3">
      <c r="A779" t="s">
        <v>1792</v>
      </c>
      <c r="B779" t="s">
        <v>723</v>
      </c>
      <c r="C779" t="s">
        <v>741</v>
      </c>
      <c r="D779" t="s">
        <v>745</v>
      </c>
      <c r="E779">
        <v>635</v>
      </c>
      <c r="F779">
        <v>424</v>
      </c>
      <c r="G779">
        <v>211</v>
      </c>
      <c r="H779">
        <v>0.98314130481007644</v>
      </c>
      <c r="I779">
        <v>0</v>
      </c>
      <c r="J779">
        <v>315333821.58113861</v>
      </c>
    </row>
    <row r="780" spans="1:10" x14ac:dyDescent="0.3">
      <c r="A780" t="s">
        <v>1793</v>
      </c>
      <c r="B780" t="s">
        <v>723</v>
      </c>
      <c r="C780" t="s">
        <v>741</v>
      </c>
      <c r="D780" t="s">
        <v>747</v>
      </c>
      <c r="E780">
        <v>132</v>
      </c>
      <c r="F780">
        <v>67</v>
      </c>
      <c r="G780">
        <v>65</v>
      </c>
      <c r="H780">
        <v>0.53045600996637765</v>
      </c>
      <c r="I780">
        <v>0</v>
      </c>
      <c r="J780">
        <v>285719813.62933612</v>
      </c>
    </row>
    <row r="781" spans="1:10" x14ac:dyDescent="0.3">
      <c r="A781" t="s">
        <v>1794</v>
      </c>
      <c r="B781" t="s">
        <v>749</v>
      </c>
      <c r="C781" t="s">
        <v>749</v>
      </c>
      <c r="D781" t="s">
        <v>751</v>
      </c>
      <c r="E781">
        <v>2689</v>
      </c>
      <c r="F781">
        <v>34</v>
      </c>
      <c r="G781">
        <v>2655</v>
      </c>
      <c r="H781">
        <v>0.53720274934939893</v>
      </c>
      <c r="I781">
        <v>0</v>
      </c>
      <c r="J781">
        <v>453452020.2999844</v>
      </c>
    </row>
    <row r="782" spans="1:10" x14ac:dyDescent="0.3">
      <c r="A782" t="s">
        <v>1795</v>
      </c>
      <c r="B782" t="s">
        <v>749</v>
      </c>
      <c r="C782" t="s">
        <v>749</v>
      </c>
      <c r="D782" t="s">
        <v>660</v>
      </c>
      <c r="E782">
        <v>1402</v>
      </c>
      <c r="F782">
        <v>376</v>
      </c>
      <c r="G782">
        <v>1026</v>
      </c>
      <c r="H782">
        <v>0.86254533176971748</v>
      </c>
      <c r="I782">
        <v>0</v>
      </c>
      <c r="J782">
        <v>94631515.101365402</v>
      </c>
    </row>
    <row r="783" spans="1:10" x14ac:dyDescent="0.3">
      <c r="A783" t="s">
        <v>1796</v>
      </c>
      <c r="B783" t="s">
        <v>749</v>
      </c>
      <c r="C783" t="s">
        <v>749</v>
      </c>
      <c r="D783" t="s">
        <v>752</v>
      </c>
      <c r="E783">
        <v>1642</v>
      </c>
      <c r="F783">
        <v>789</v>
      </c>
      <c r="G783">
        <v>853</v>
      </c>
      <c r="H783">
        <v>1.2802278100879469</v>
      </c>
      <c r="I783">
        <v>0</v>
      </c>
      <c r="J783">
        <v>71076966.075193718</v>
      </c>
    </row>
    <row r="784" spans="1:10" x14ac:dyDescent="0.3">
      <c r="A784" t="s">
        <v>1797</v>
      </c>
      <c r="B784" t="s">
        <v>749</v>
      </c>
      <c r="C784" t="s">
        <v>749</v>
      </c>
      <c r="D784" t="s">
        <v>753</v>
      </c>
      <c r="E784">
        <v>284</v>
      </c>
      <c r="F784">
        <v>33</v>
      </c>
      <c r="G784">
        <v>251</v>
      </c>
      <c r="H784">
        <v>0.76954743750627264</v>
      </c>
      <c r="I784">
        <v>0</v>
      </c>
      <c r="J784">
        <v>55175775.681451783</v>
      </c>
    </row>
    <row r="785" spans="1:10" x14ac:dyDescent="0.3">
      <c r="A785" t="s">
        <v>1798</v>
      </c>
      <c r="B785" t="s">
        <v>749</v>
      </c>
      <c r="C785" t="s">
        <v>749</v>
      </c>
      <c r="D785" t="s">
        <v>754</v>
      </c>
      <c r="E785">
        <v>457</v>
      </c>
      <c r="F785">
        <v>0</v>
      </c>
      <c r="G785">
        <v>457</v>
      </c>
      <c r="H785">
        <v>0.4895999445933904</v>
      </c>
      <c r="I785">
        <v>0</v>
      </c>
      <c r="J785">
        <v>1098255302.585052</v>
      </c>
    </row>
    <row r="786" spans="1:10" x14ac:dyDescent="0.3">
      <c r="A786" t="s">
        <v>1799</v>
      </c>
      <c r="B786" t="s">
        <v>749</v>
      </c>
      <c r="C786" t="s">
        <v>749</v>
      </c>
      <c r="D786" t="s">
        <v>756</v>
      </c>
      <c r="E786">
        <v>4072</v>
      </c>
      <c r="F786">
        <v>20</v>
      </c>
      <c r="G786">
        <v>4052</v>
      </c>
      <c r="H786">
        <v>0.45139074369233928</v>
      </c>
      <c r="I786">
        <v>0</v>
      </c>
      <c r="J786">
        <v>2855782275.3515348</v>
      </c>
    </row>
    <row r="787" spans="1:10" x14ac:dyDescent="0.3">
      <c r="A787" t="s">
        <v>1800</v>
      </c>
      <c r="B787" t="s">
        <v>749</v>
      </c>
      <c r="C787" t="s">
        <v>749</v>
      </c>
      <c r="D787" t="s">
        <v>47</v>
      </c>
      <c r="E787">
        <v>7679</v>
      </c>
      <c r="F787">
        <v>270</v>
      </c>
      <c r="G787">
        <v>7409</v>
      </c>
      <c r="H787">
        <v>0.50301813537065609</v>
      </c>
      <c r="I787">
        <v>0</v>
      </c>
      <c r="J787">
        <v>1026353122.979234</v>
      </c>
    </row>
    <row r="788" spans="1:10" x14ac:dyDescent="0.3">
      <c r="A788" t="s">
        <v>1801</v>
      </c>
      <c r="B788" t="s">
        <v>749</v>
      </c>
      <c r="C788" t="s">
        <v>749</v>
      </c>
      <c r="D788" t="s">
        <v>757</v>
      </c>
      <c r="E788">
        <v>1187</v>
      </c>
      <c r="F788">
        <v>274</v>
      </c>
      <c r="G788">
        <v>913</v>
      </c>
      <c r="H788">
        <v>0.71943905611527459</v>
      </c>
      <c r="I788">
        <v>0</v>
      </c>
      <c r="J788">
        <v>104862768.75322931</v>
      </c>
    </row>
    <row r="789" spans="1:10" x14ac:dyDescent="0.3">
      <c r="A789" t="s">
        <v>1802</v>
      </c>
      <c r="B789" t="s">
        <v>749</v>
      </c>
      <c r="C789" t="s">
        <v>749</v>
      </c>
      <c r="D789" t="s">
        <v>758</v>
      </c>
      <c r="E789">
        <v>2354</v>
      </c>
      <c r="F789">
        <v>995</v>
      </c>
      <c r="G789">
        <v>1359</v>
      </c>
      <c r="H789">
        <v>1.110112814751981</v>
      </c>
      <c r="I789">
        <v>0</v>
      </c>
      <c r="J789">
        <v>170026379.63544369</v>
      </c>
    </row>
    <row r="790" spans="1:10" x14ac:dyDescent="0.3">
      <c r="A790" t="s">
        <v>1803</v>
      </c>
      <c r="B790" t="s">
        <v>749</v>
      </c>
      <c r="C790" t="s">
        <v>749</v>
      </c>
      <c r="D790" t="s">
        <v>419</v>
      </c>
      <c r="E790">
        <v>1288</v>
      </c>
      <c r="F790">
        <v>672</v>
      </c>
      <c r="G790">
        <v>616</v>
      </c>
      <c r="H790">
        <v>0.65760728497566268</v>
      </c>
      <c r="I790">
        <v>0</v>
      </c>
      <c r="J790">
        <v>237282249.60357249</v>
      </c>
    </row>
    <row r="791" spans="1:10" x14ac:dyDescent="0.3">
      <c r="A791" t="s">
        <v>1804</v>
      </c>
      <c r="B791" t="s">
        <v>749</v>
      </c>
      <c r="C791" t="s">
        <v>759</v>
      </c>
      <c r="D791" t="s">
        <v>760</v>
      </c>
      <c r="E791">
        <v>3605</v>
      </c>
      <c r="F791">
        <v>440</v>
      </c>
      <c r="G791">
        <v>3165</v>
      </c>
      <c r="H791">
        <v>0.89146730642550231</v>
      </c>
      <c r="I791">
        <v>0</v>
      </c>
      <c r="J791">
        <v>136332825.26503551</v>
      </c>
    </row>
    <row r="792" spans="1:10" x14ac:dyDescent="0.3">
      <c r="A792" t="s">
        <v>1805</v>
      </c>
      <c r="B792" t="s">
        <v>749</v>
      </c>
      <c r="C792" t="s">
        <v>763</v>
      </c>
      <c r="D792" t="s">
        <v>764</v>
      </c>
      <c r="E792">
        <v>3844</v>
      </c>
      <c r="F792">
        <v>115</v>
      </c>
      <c r="G792">
        <v>3729</v>
      </c>
      <c r="H792">
        <v>0.49680240377974261</v>
      </c>
      <c r="I792">
        <v>0</v>
      </c>
      <c r="J792">
        <v>8219493298.7348366</v>
      </c>
    </row>
    <row r="793" spans="1:10" x14ac:dyDescent="0.3">
      <c r="A793" t="s">
        <v>1806</v>
      </c>
      <c r="B793" t="s">
        <v>645</v>
      </c>
      <c r="C793" t="s">
        <v>765</v>
      </c>
      <c r="D793" t="s">
        <v>288</v>
      </c>
      <c r="E793">
        <v>1446</v>
      </c>
      <c r="F793">
        <v>890</v>
      </c>
      <c r="G793">
        <v>556</v>
      </c>
      <c r="H793">
        <v>4.1391415044661626</v>
      </c>
      <c r="I793">
        <v>0</v>
      </c>
      <c r="J793">
        <v>70300295.810930669</v>
      </c>
    </row>
    <row r="794" spans="1:10" x14ac:dyDescent="0.3">
      <c r="A794" t="s">
        <v>1807</v>
      </c>
      <c r="B794" t="s">
        <v>645</v>
      </c>
      <c r="C794" t="s">
        <v>765</v>
      </c>
      <c r="D794" t="s">
        <v>774</v>
      </c>
      <c r="E794">
        <v>1704</v>
      </c>
      <c r="F794">
        <v>550</v>
      </c>
      <c r="G794">
        <v>1154</v>
      </c>
      <c r="H794">
        <v>0.81213088239744746</v>
      </c>
      <c r="I794">
        <v>0</v>
      </c>
      <c r="J794">
        <v>120941885.94146471</v>
      </c>
    </row>
    <row r="795" spans="1:10" x14ac:dyDescent="0.3">
      <c r="A795" t="s">
        <v>1808</v>
      </c>
      <c r="B795" t="s">
        <v>645</v>
      </c>
      <c r="C795" t="s">
        <v>765</v>
      </c>
      <c r="D795" t="s">
        <v>779</v>
      </c>
      <c r="E795">
        <v>1959</v>
      </c>
      <c r="F795">
        <v>1061</v>
      </c>
      <c r="G795">
        <v>898</v>
      </c>
      <c r="H795">
        <v>0.98806523887974362</v>
      </c>
      <c r="I795">
        <v>0</v>
      </c>
      <c r="J795">
        <v>541895860.25428343</v>
      </c>
    </row>
    <row r="796" spans="1:10" x14ac:dyDescent="0.3">
      <c r="A796" t="s">
        <v>1809</v>
      </c>
      <c r="B796" t="s">
        <v>645</v>
      </c>
      <c r="C796" t="s">
        <v>765</v>
      </c>
      <c r="D796" t="s">
        <v>780</v>
      </c>
      <c r="E796">
        <v>2958</v>
      </c>
      <c r="F796">
        <v>1780</v>
      </c>
      <c r="G796">
        <v>1178</v>
      </c>
      <c r="H796">
        <v>0.80961961067062882</v>
      </c>
      <c r="I796">
        <v>0</v>
      </c>
      <c r="J796">
        <v>245992331.976798</v>
      </c>
    </row>
    <row r="797" spans="1:10" x14ac:dyDescent="0.3">
      <c r="A797" t="s">
        <v>1810</v>
      </c>
      <c r="B797" t="s">
        <v>645</v>
      </c>
      <c r="C797" t="s">
        <v>765</v>
      </c>
      <c r="D797" t="s">
        <v>781</v>
      </c>
      <c r="E797">
        <v>2774</v>
      </c>
      <c r="F797">
        <v>1649</v>
      </c>
      <c r="G797">
        <v>1125</v>
      </c>
      <c r="H797">
        <v>0.97408810260856959</v>
      </c>
      <c r="I797">
        <v>0</v>
      </c>
      <c r="J797">
        <v>125280064.8017083</v>
      </c>
    </row>
    <row r="798" spans="1:10" x14ac:dyDescent="0.3">
      <c r="A798" t="s">
        <v>1811</v>
      </c>
      <c r="B798" t="s">
        <v>645</v>
      </c>
      <c r="C798" t="s">
        <v>765</v>
      </c>
      <c r="D798" t="s">
        <v>784</v>
      </c>
      <c r="E798">
        <v>3896</v>
      </c>
      <c r="F798">
        <v>1575</v>
      </c>
      <c r="G798">
        <v>2321</v>
      </c>
      <c r="H798">
        <v>0.75307004458725468</v>
      </c>
      <c r="I798">
        <v>0</v>
      </c>
      <c r="J798">
        <v>346530576.59557348</v>
      </c>
    </row>
    <row r="799" spans="1:10" x14ac:dyDescent="0.3">
      <c r="A799" t="s">
        <v>1812</v>
      </c>
      <c r="B799" t="s">
        <v>645</v>
      </c>
      <c r="C799" t="s">
        <v>765</v>
      </c>
      <c r="D799" t="s">
        <v>785</v>
      </c>
      <c r="E799">
        <v>704</v>
      </c>
      <c r="F799">
        <v>527</v>
      </c>
      <c r="G799">
        <v>177</v>
      </c>
      <c r="H799">
        <v>5.8537964563653144</v>
      </c>
      <c r="I799">
        <v>0</v>
      </c>
      <c r="J799">
        <v>9825844.7440294344</v>
      </c>
    </row>
    <row r="800" spans="1:10" x14ac:dyDescent="0.3">
      <c r="A800" t="s">
        <v>1813</v>
      </c>
      <c r="B800" t="s">
        <v>645</v>
      </c>
      <c r="C800" t="s">
        <v>765</v>
      </c>
      <c r="D800" t="s">
        <v>791</v>
      </c>
      <c r="E800">
        <v>5581</v>
      </c>
      <c r="F800">
        <v>3094</v>
      </c>
      <c r="G800">
        <v>2487</v>
      </c>
      <c r="H800">
        <v>1.001314564766143</v>
      </c>
      <c r="I800">
        <v>0</v>
      </c>
      <c r="J800">
        <v>294462787.91670787</v>
      </c>
    </row>
    <row r="801" spans="1:10" x14ac:dyDescent="0.3">
      <c r="A801" t="s">
        <v>1814</v>
      </c>
      <c r="B801" t="s">
        <v>645</v>
      </c>
      <c r="C801" t="s">
        <v>796</v>
      </c>
      <c r="D801" t="s">
        <v>797</v>
      </c>
      <c r="E801">
        <v>7850</v>
      </c>
      <c r="F801">
        <v>6245</v>
      </c>
      <c r="G801">
        <v>1605</v>
      </c>
      <c r="H801">
        <v>6.9661621836815399</v>
      </c>
      <c r="I801">
        <v>0</v>
      </c>
      <c r="J801">
        <v>34578032.36276263</v>
      </c>
    </row>
    <row r="802" spans="1:10" x14ac:dyDescent="0.3">
      <c r="A802" t="s">
        <v>1815</v>
      </c>
      <c r="B802" t="s">
        <v>645</v>
      </c>
      <c r="C802" t="s">
        <v>796</v>
      </c>
      <c r="D802" t="s">
        <v>577</v>
      </c>
      <c r="E802">
        <v>6515</v>
      </c>
      <c r="F802">
        <v>2870</v>
      </c>
      <c r="G802">
        <v>3645</v>
      </c>
      <c r="H802">
        <v>0.98960998817708523</v>
      </c>
      <c r="I802">
        <v>0</v>
      </c>
      <c r="J802">
        <v>399235029.82033598</v>
      </c>
    </row>
    <row r="803" spans="1:10" x14ac:dyDescent="0.3">
      <c r="A803" t="s">
        <v>1816</v>
      </c>
      <c r="B803" t="s">
        <v>645</v>
      </c>
      <c r="C803" t="s">
        <v>802</v>
      </c>
      <c r="D803" t="s">
        <v>807</v>
      </c>
      <c r="E803">
        <v>1420</v>
      </c>
      <c r="F803">
        <v>811</v>
      </c>
      <c r="G803">
        <v>609</v>
      </c>
      <c r="H803">
        <v>0.81982556748750002</v>
      </c>
      <c r="I803">
        <v>0</v>
      </c>
      <c r="J803">
        <v>142599812.30502471</v>
      </c>
    </row>
    <row r="804" spans="1:10" x14ac:dyDescent="0.3">
      <c r="A804" t="s">
        <v>1817</v>
      </c>
      <c r="B804" t="s">
        <v>645</v>
      </c>
      <c r="C804" t="s">
        <v>802</v>
      </c>
      <c r="D804" t="s">
        <v>808</v>
      </c>
      <c r="E804">
        <v>3339</v>
      </c>
      <c r="F804">
        <v>1279</v>
      </c>
      <c r="G804">
        <v>2060</v>
      </c>
      <c r="H804">
        <v>0.74636794482974245</v>
      </c>
      <c r="I804">
        <v>0</v>
      </c>
      <c r="J804">
        <v>493660561.22225642</v>
      </c>
    </row>
    <row r="805" spans="1:10" x14ac:dyDescent="0.3">
      <c r="A805" t="s">
        <v>1818</v>
      </c>
      <c r="B805" t="s">
        <v>645</v>
      </c>
      <c r="C805" t="s">
        <v>810</v>
      </c>
      <c r="D805" t="s">
        <v>814</v>
      </c>
      <c r="E805">
        <v>6290</v>
      </c>
      <c r="F805">
        <v>1944</v>
      </c>
      <c r="G805">
        <v>4346</v>
      </c>
      <c r="H805">
        <v>3.4277930788521802</v>
      </c>
      <c r="I805">
        <v>0</v>
      </c>
      <c r="J805">
        <v>43254589.420010082</v>
      </c>
    </row>
    <row r="806" spans="1:10" x14ac:dyDescent="0.3">
      <c r="A806" t="s">
        <v>1819</v>
      </c>
      <c r="B806" t="s">
        <v>645</v>
      </c>
      <c r="C806" t="s">
        <v>815</v>
      </c>
      <c r="D806" t="s">
        <v>818</v>
      </c>
      <c r="E806">
        <v>657</v>
      </c>
      <c r="F806">
        <v>455</v>
      </c>
      <c r="G806">
        <v>202</v>
      </c>
      <c r="H806">
        <v>1.008866043220733</v>
      </c>
      <c r="I806">
        <v>0</v>
      </c>
      <c r="J806">
        <v>42156378.943922587</v>
      </c>
    </row>
    <row r="807" spans="1:10" x14ac:dyDescent="0.3">
      <c r="A807" t="s">
        <v>1820</v>
      </c>
      <c r="B807" t="s">
        <v>645</v>
      </c>
      <c r="C807" t="s">
        <v>819</v>
      </c>
      <c r="D807" t="s">
        <v>819</v>
      </c>
      <c r="E807">
        <v>10691</v>
      </c>
      <c r="F807">
        <v>6156</v>
      </c>
      <c r="G807">
        <v>4535</v>
      </c>
      <c r="H807">
        <v>0.93586840576006558</v>
      </c>
      <c r="I807">
        <v>0</v>
      </c>
      <c r="J807">
        <v>586883559.0167613</v>
      </c>
    </row>
    <row r="808" spans="1:10" x14ac:dyDescent="0.3">
      <c r="A808" t="s">
        <v>1821</v>
      </c>
      <c r="B808" t="s">
        <v>645</v>
      </c>
      <c r="C808" t="s">
        <v>819</v>
      </c>
      <c r="D808" t="s">
        <v>820</v>
      </c>
      <c r="E808">
        <v>2879</v>
      </c>
      <c r="F808">
        <v>1610</v>
      </c>
      <c r="G808">
        <v>1269</v>
      </c>
      <c r="H808">
        <v>0.91124930070642318</v>
      </c>
      <c r="I808">
        <v>0</v>
      </c>
      <c r="J808">
        <v>268575062.33276671</v>
      </c>
    </row>
    <row r="809" spans="1:10" x14ac:dyDescent="0.3">
      <c r="A809" t="s">
        <v>1822</v>
      </c>
      <c r="B809" t="s">
        <v>645</v>
      </c>
      <c r="C809" t="s">
        <v>821</v>
      </c>
      <c r="D809" t="s">
        <v>821</v>
      </c>
      <c r="E809">
        <v>15456</v>
      </c>
      <c r="F809">
        <v>7274</v>
      </c>
      <c r="G809">
        <v>8182</v>
      </c>
      <c r="H809">
        <v>0.93762546226592536</v>
      </c>
      <c r="I809">
        <v>0</v>
      </c>
      <c r="J809">
        <v>618607086.65221083</v>
      </c>
    </row>
    <row r="810" spans="1:10" x14ac:dyDescent="0.3">
      <c r="A810" t="s">
        <v>1823</v>
      </c>
      <c r="B810" t="s">
        <v>823</v>
      </c>
      <c r="C810" t="s">
        <v>824</v>
      </c>
      <c r="D810" t="s">
        <v>62</v>
      </c>
      <c r="E810">
        <v>2035</v>
      </c>
      <c r="F810">
        <v>242</v>
      </c>
      <c r="G810">
        <v>1793</v>
      </c>
      <c r="H810">
        <v>0.9576925801299272</v>
      </c>
      <c r="I810">
        <v>0</v>
      </c>
      <c r="J810">
        <v>106049486.16446389</v>
      </c>
    </row>
    <row r="811" spans="1:10" x14ac:dyDescent="0.3">
      <c r="A811" t="s">
        <v>1824</v>
      </c>
      <c r="B811" t="s">
        <v>823</v>
      </c>
      <c r="C811" t="s">
        <v>839</v>
      </c>
      <c r="D811" t="s">
        <v>840</v>
      </c>
      <c r="E811">
        <v>343</v>
      </c>
      <c r="F811">
        <v>184</v>
      </c>
      <c r="G811">
        <v>159</v>
      </c>
      <c r="H811">
        <v>3.3969790972014362</v>
      </c>
      <c r="I811">
        <v>0</v>
      </c>
      <c r="J811">
        <v>8864364.257012818</v>
      </c>
    </row>
    <row r="812" spans="1:10" x14ac:dyDescent="0.3">
      <c r="A812" t="s">
        <v>1825</v>
      </c>
      <c r="B812" t="s">
        <v>823</v>
      </c>
      <c r="C812" t="s">
        <v>839</v>
      </c>
      <c r="D812" t="s">
        <v>841</v>
      </c>
      <c r="E812">
        <v>1257</v>
      </c>
      <c r="F812">
        <v>813</v>
      </c>
      <c r="G812">
        <v>444</v>
      </c>
      <c r="H812">
        <v>0.68509161050810063</v>
      </c>
      <c r="I812">
        <v>0</v>
      </c>
      <c r="J812">
        <v>629724353.10393226</v>
      </c>
    </row>
    <row r="813" spans="1:10" x14ac:dyDescent="0.3">
      <c r="A813" t="s">
        <v>1826</v>
      </c>
      <c r="B813" t="s">
        <v>823</v>
      </c>
      <c r="C813" t="s">
        <v>839</v>
      </c>
      <c r="D813" t="s">
        <v>842</v>
      </c>
      <c r="E813">
        <v>1337</v>
      </c>
      <c r="F813">
        <v>793</v>
      </c>
      <c r="G813">
        <v>544</v>
      </c>
      <c r="H813">
        <v>0.78989556761082735</v>
      </c>
      <c r="I813">
        <v>0</v>
      </c>
      <c r="J813">
        <v>250255082.2428138</v>
      </c>
    </row>
    <row r="814" spans="1:10" x14ac:dyDescent="0.3">
      <c r="A814" t="s">
        <v>1827</v>
      </c>
      <c r="B814" t="s">
        <v>823</v>
      </c>
      <c r="C814" t="s">
        <v>839</v>
      </c>
      <c r="D814" t="s">
        <v>843</v>
      </c>
      <c r="E814">
        <v>2829</v>
      </c>
      <c r="F814">
        <v>1779</v>
      </c>
      <c r="G814">
        <v>1050</v>
      </c>
      <c r="H814">
        <v>1.9816619868635721</v>
      </c>
      <c r="I814">
        <v>0</v>
      </c>
      <c r="J814">
        <v>95548367.761111006</v>
      </c>
    </row>
    <row r="815" spans="1:10" x14ac:dyDescent="0.3">
      <c r="A815" t="s">
        <v>1828</v>
      </c>
      <c r="B815" t="s">
        <v>823</v>
      </c>
      <c r="C815" t="s">
        <v>847</v>
      </c>
      <c r="D815" t="s">
        <v>161</v>
      </c>
      <c r="E815">
        <v>1368</v>
      </c>
      <c r="F815">
        <v>583</v>
      </c>
      <c r="G815">
        <v>785</v>
      </c>
      <c r="H815">
        <v>2.9084110641375269</v>
      </c>
      <c r="I815">
        <v>0</v>
      </c>
      <c r="J815">
        <v>16307051.32591524</v>
      </c>
    </row>
    <row r="816" spans="1:10" x14ac:dyDescent="0.3">
      <c r="A816" t="s">
        <v>1829</v>
      </c>
      <c r="B816" t="s">
        <v>823</v>
      </c>
      <c r="C816" t="s">
        <v>847</v>
      </c>
      <c r="D816" t="s">
        <v>649</v>
      </c>
      <c r="E816">
        <v>2391</v>
      </c>
      <c r="F816">
        <v>775</v>
      </c>
      <c r="G816">
        <v>1616</v>
      </c>
      <c r="H816">
        <v>1.5388112715153051</v>
      </c>
      <c r="I816">
        <v>0</v>
      </c>
      <c r="J816">
        <v>56488235.694636211</v>
      </c>
    </row>
    <row r="817" spans="1:10" x14ac:dyDescent="0.3">
      <c r="A817" t="s">
        <v>1830</v>
      </c>
      <c r="B817" t="s">
        <v>823</v>
      </c>
      <c r="C817" t="s">
        <v>848</v>
      </c>
      <c r="D817" t="s">
        <v>818</v>
      </c>
      <c r="E817">
        <v>3007</v>
      </c>
      <c r="F817">
        <v>1365</v>
      </c>
      <c r="G817">
        <v>1642</v>
      </c>
      <c r="H817">
        <v>2.6843748241967731</v>
      </c>
      <c r="I817">
        <v>0</v>
      </c>
      <c r="J817">
        <v>35264575.580487363</v>
      </c>
    </row>
    <row r="818" spans="1:10" x14ac:dyDescent="0.3">
      <c r="A818" t="s">
        <v>1831</v>
      </c>
      <c r="B818" t="s">
        <v>823</v>
      </c>
      <c r="C818" t="s">
        <v>850</v>
      </c>
      <c r="D818" t="s">
        <v>90</v>
      </c>
      <c r="E818">
        <v>2925</v>
      </c>
      <c r="F818">
        <v>1849</v>
      </c>
      <c r="G818">
        <v>1076</v>
      </c>
      <c r="H818">
        <v>5.2701032325487764</v>
      </c>
      <c r="I818">
        <v>0</v>
      </c>
      <c r="J818">
        <v>10782488.49406809</v>
      </c>
    </row>
    <row r="819" spans="1:10" x14ac:dyDescent="0.3">
      <c r="A819" t="s">
        <v>1832</v>
      </c>
      <c r="B819" t="s">
        <v>823</v>
      </c>
      <c r="C819" t="s">
        <v>850</v>
      </c>
      <c r="D819" t="s">
        <v>853</v>
      </c>
      <c r="E819">
        <v>2186</v>
      </c>
      <c r="F819">
        <v>1405</v>
      </c>
      <c r="G819">
        <v>781</v>
      </c>
      <c r="H819">
        <v>2.2316580017012781</v>
      </c>
      <c r="I819">
        <v>0</v>
      </c>
      <c r="J819">
        <v>44629508.080888137</v>
      </c>
    </row>
    <row r="820" spans="1:10" x14ac:dyDescent="0.3">
      <c r="A820" t="s">
        <v>1833</v>
      </c>
      <c r="B820" t="s">
        <v>823</v>
      </c>
      <c r="C820" t="s">
        <v>850</v>
      </c>
      <c r="D820" t="s">
        <v>855</v>
      </c>
      <c r="E820">
        <v>8443</v>
      </c>
      <c r="F820">
        <v>5462</v>
      </c>
      <c r="G820">
        <v>2981</v>
      </c>
      <c r="H820">
        <v>5.1962218492252754</v>
      </c>
      <c r="I820">
        <v>0</v>
      </c>
      <c r="J820">
        <v>25644144.791615311</v>
      </c>
    </row>
    <row r="821" spans="1:10" x14ac:dyDescent="0.3">
      <c r="A821" t="s">
        <v>1834</v>
      </c>
      <c r="B821" t="s">
        <v>823</v>
      </c>
      <c r="C821" t="s">
        <v>857</v>
      </c>
      <c r="D821" t="s">
        <v>859</v>
      </c>
      <c r="E821">
        <v>239</v>
      </c>
      <c r="F821">
        <v>106</v>
      </c>
      <c r="G821">
        <v>133</v>
      </c>
      <c r="H821">
        <v>1.286622685690813</v>
      </c>
      <c r="I821">
        <v>0</v>
      </c>
      <c r="J821">
        <v>26528365.659865189</v>
      </c>
    </row>
    <row r="822" spans="1:10" x14ac:dyDescent="0.3">
      <c r="A822" t="s">
        <v>1835</v>
      </c>
      <c r="B822" t="s">
        <v>823</v>
      </c>
      <c r="C822" t="s">
        <v>857</v>
      </c>
      <c r="D822" t="s">
        <v>860</v>
      </c>
      <c r="E822">
        <v>1531</v>
      </c>
      <c r="F822">
        <v>663</v>
      </c>
      <c r="G822">
        <v>868</v>
      </c>
      <c r="H822">
        <v>3.3524969637112489</v>
      </c>
      <c r="I822">
        <v>0</v>
      </c>
      <c r="J822">
        <v>16725652.21213123</v>
      </c>
    </row>
    <row r="823" spans="1:10" x14ac:dyDescent="0.3">
      <c r="A823" t="s">
        <v>1836</v>
      </c>
      <c r="B823" t="s">
        <v>823</v>
      </c>
      <c r="C823" t="s">
        <v>857</v>
      </c>
      <c r="D823" t="s">
        <v>863</v>
      </c>
      <c r="E823">
        <v>1807</v>
      </c>
      <c r="F823">
        <v>686</v>
      </c>
      <c r="G823">
        <v>1121</v>
      </c>
      <c r="H823">
        <v>2.0431876603388619</v>
      </c>
      <c r="I823">
        <v>0</v>
      </c>
      <c r="J823">
        <v>163283442.5317992</v>
      </c>
    </row>
    <row r="824" spans="1:10" x14ac:dyDescent="0.3">
      <c r="A824" t="s">
        <v>1837</v>
      </c>
      <c r="B824" t="s">
        <v>823</v>
      </c>
      <c r="C824" t="s">
        <v>857</v>
      </c>
      <c r="D824" t="s">
        <v>864</v>
      </c>
      <c r="E824">
        <v>5146</v>
      </c>
      <c r="F824">
        <v>2863</v>
      </c>
      <c r="G824">
        <v>2283</v>
      </c>
      <c r="H824">
        <v>5.7830604705458981</v>
      </c>
      <c r="I824">
        <v>0</v>
      </c>
      <c r="J824">
        <v>22048827.579132888</v>
      </c>
    </row>
    <row r="825" spans="1:10" x14ac:dyDescent="0.3">
      <c r="A825" t="s">
        <v>1838</v>
      </c>
      <c r="B825" t="s">
        <v>867</v>
      </c>
      <c r="C825" t="s">
        <v>868</v>
      </c>
      <c r="D825" t="s">
        <v>869</v>
      </c>
      <c r="E825">
        <v>3617</v>
      </c>
      <c r="F825">
        <v>2000</v>
      </c>
      <c r="G825">
        <v>1617</v>
      </c>
      <c r="H825">
        <v>0.94898816718221723</v>
      </c>
      <c r="I825">
        <v>0</v>
      </c>
      <c r="J825">
        <v>150236423.46558669</v>
      </c>
    </row>
    <row r="826" spans="1:10" x14ac:dyDescent="0.3">
      <c r="A826" t="s">
        <v>1839</v>
      </c>
      <c r="B826" t="s">
        <v>867</v>
      </c>
      <c r="C826" t="s">
        <v>868</v>
      </c>
      <c r="D826" t="s">
        <v>870</v>
      </c>
      <c r="E826">
        <v>3472</v>
      </c>
      <c r="F826">
        <v>1296</v>
      </c>
      <c r="G826">
        <v>2176</v>
      </c>
      <c r="H826">
        <v>0.7193332965714142</v>
      </c>
      <c r="I826">
        <v>0</v>
      </c>
      <c r="J826">
        <v>252978649.76791099</v>
      </c>
    </row>
    <row r="827" spans="1:10" x14ac:dyDescent="0.3">
      <c r="A827" t="s">
        <v>1840</v>
      </c>
      <c r="B827" t="s">
        <v>867</v>
      </c>
      <c r="C827" t="s">
        <v>868</v>
      </c>
      <c r="D827" t="s">
        <v>431</v>
      </c>
      <c r="E827">
        <v>621</v>
      </c>
      <c r="F827">
        <v>28</v>
      </c>
      <c r="G827">
        <v>593</v>
      </c>
      <c r="H827">
        <v>0.72908225590845277</v>
      </c>
      <c r="I827">
        <v>0</v>
      </c>
      <c r="J827">
        <v>307175121.57665539</v>
      </c>
    </row>
    <row r="828" spans="1:10" x14ac:dyDescent="0.3">
      <c r="A828" t="s">
        <v>1841</v>
      </c>
      <c r="B828" t="s">
        <v>867</v>
      </c>
      <c r="C828" t="s">
        <v>868</v>
      </c>
      <c r="D828" t="s">
        <v>872</v>
      </c>
      <c r="E828">
        <v>1705</v>
      </c>
      <c r="F828">
        <v>829</v>
      </c>
      <c r="G828">
        <v>876</v>
      </c>
      <c r="H828">
        <v>0.64057967875443278</v>
      </c>
      <c r="I828">
        <v>0</v>
      </c>
      <c r="J828">
        <v>306102985.56712037</v>
      </c>
    </row>
    <row r="829" spans="1:10" x14ac:dyDescent="0.3">
      <c r="A829" t="s">
        <v>1842</v>
      </c>
      <c r="B829" t="s">
        <v>867</v>
      </c>
      <c r="C829" t="s">
        <v>868</v>
      </c>
      <c r="D829" t="s">
        <v>873</v>
      </c>
      <c r="E829">
        <v>1937</v>
      </c>
      <c r="F829">
        <v>582</v>
      </c>
      <c r="G829">
        <v>1355</v>
      </c>
      <c r="H829">
        <v>0.66462643756289874</v>
      </c>
      <c r="I829">
        <v>0</v>
      </c>
      <c r="J829">
        <v>148947135.89562199</v>
      </c>
    </row>
    <row r="830" spans="1:10" x14ac:dyDescent="0.3">
      <c r="A830" t="s">
        <v>1843</v>
      </c>
      <c r="B830" t="s">
        <v>867</v>
      </c>
      <c r="C830" t="s">
        <v>874</v>
      </c>
      <c r="D830" t="s">
        <v>876</v>
      </c>
      <c r="E830">
        <v>1495</v>
      </c>
      <c r="F830">
        <v>259</v>
      </c>
      <c r="G830">
        <v>1236</v>
      </c>
      <c r="H830">
        <v>0.5806354685898415</v>
      </c>
      <c r="I830">
        <v>0</v>
      </c>
      <c r="J830">
        <v>308708337.24385422</v>
      </c>
    </row>
    <row r="831" spans="1:10" x14ac:dyDescent="0.3">
      <c r="A831" t="s">
        <v>1844</v>
      </c>
      <c r="B831" t="s">
        <v>867</v>
      </c>
      <c r="C831" t="s">
        <v>874</v>
      </c>
      <c r="D831" t="s">
        <v>877</v>
      </c>
      <c r="E831">
        <v>152</v>
      </c>
      <c r="F831">
        <v>91</v>
      </c>
      <c r="G831">
        <v>61</v>
      </c>
      <c r="H831">
        <v>0.81917782054728516</v>
      </c>
      <c r="I831">
        <v>0</v>
      </c>
      <c r="J831">
        <v>13741030.37590397</v>
      </c>
    </row>
    <row r="832" spans="1:10" x14ac:dyDescent="0.3">
      <c r="A832" t="s">
        <v>1845</v>
      </c>
      <c r="B832" t="s">
        <v>867</v>
      </c>
      <c r="C832" t="s">
        <v>874</v>
      </c>
      <c r="D832" t="s">
        <v>878</v>
      </c>
      <c r="E832">
        <v>241</v>
      </c>
      <c r="F832">
        <v>55</v>
      </c>
      <c r="G832">
        <v>186</v>
      </c>
      <c r="H832">
        <v>0.62955385079298543</v>
      </c>
      <c r="I832">
        <v>0</v>
      </c>
      <c r="J832">
        <v>18019074.811879169</v>
      </c>
    </row>
    <row r="833" spans="1:10" x14ac:dyDescent="0.3">
      <c r="A833" t="s">
        <v>1846</v>
      </c>
      <c r="B833" t="s">
        <v>867</v>
      </c>
      <c r="C833" t="s">
        <v>874</v>
      </c>
      <c r="D833" t="s">
        <v>879</v>
      </c>
      <c r="E833">
        <v>91</v>
      </c>
      <c r="F833">
        <v>21</v>
      </c>
      <c r="G833">
        <v>70</v>
      </c>
      <c r="H833">
        <v>0.56906039257798136</v>
      </c>
      <c r="I833">
        <v>0</v>
      </c>
      <c r="J833">
        <v>25083339.949534431</v>
      </c>
    </row>
    <row r="834" spans="1:10" x14ac:dyDescent="0.3">
      <c r="A834" t="s">
        <v>1847</v>
      </c>
      <c r="B834" t="s">
        <v>867</v>
      </c>
      <c r="C834" t="s">
        <v>874</v>
      </c>
      <c r="D834" t="s">
        <v>266</v>
      </c>
      <c r="E834">
        <v>357</v>
      </c>
      <c r="F834">
        <v>92</v>
      </c>
      <c r="G834">
        <v>265</v>
      </c>
      <c r="H834">
        <v>0.49390248163512102</v>
      </c>
      <c r="I834">
        <v>0</v>
      </c>
      <c r="J834">
        <v>311519609.95332968</v>
      </c>
    </row>
    <row r="835" spans="1:10" x14ac:dyDescent="0.3">
      <c r="A835" t="s">
        <v>1848</v>
      </c>
      <c r="B835" t="s">
        <v>867</v>
      </c>
      <c r="C835" t="s">
        <v>885</v>
      </c>
      <c r="D835" t="s">
        <v>179</v>
      </c>
      <c r="E835">
        <v>2230</v>
      </c>
      <c r="F835">
        <v>797</v>
      </c>
      <c r="G835">
        <v>1433</v>
      </c>
      <c r="H835">
        <v>0.63631409312531884</v>
      </c>
      <c r="I835">
        <v>0</v>
      </c>
      <c r="J835">
        <v>318287331.0807451</v>
      </c>
    </row>
    <row r="836" spans="1:10" x14ac:dyDescent="0.3">
      <c r="A836" t="s">
        <v>1849</v>
      </c>
      <c r="B836" t="s">
        <v>867</v>
      </c>
      <c r="C836" t="s">
        <v>885</v>
      </c>
      <c r="D836" t="s">
        <v>887</v>
      </c>
      <c r="E836">
        <v>1182</v>
      </c>
      <c r="F836">
        <v>213</v>
      </c>
      <c r="G836">
        <v>969</v>
      </c>
      <c r="H836">
        <v>0.57578705506273631</v>
      </c>
      <c r="I836">
        <v>0</v>
      </c>
      <c r="J836">
        <v>504778600.50674582</v>
      </c>
    </row>
    <row r="837" spans="1:10" x14ac:dyDescent="0.3">
      <c r="A837" t="s">
        <v>1850</v>
      </c>
      <c r="B837" t="s">
        <v>867</v>
      </c>
      <c r="C837" t="s">
        <v>891</v>
      </c>
      <c r="D837" t="s">
        <v>892</v>
      </c>
      <c r="E837">
        <v>1621</v>
      </c>
      <c r="F837">
        <v>511</v>
      </c>
      <c r="G837">
        <v>1110</v>
      </c>
      <c r="H837">
        <v>0.80972445778105062</v>
      </c>
      <c r="I837">
        <v>0</v>
      </c>
      <c r="J837">
        <v>94677646.620314762</v>
      </c>
    </row>
    <row r="838" spans="1:10" x14ac:dyDescent="0.3">
      <c r="A838" t="s">
        <v>1851</v>
      </c>
      <c r="B838" t="s">
        <v>867</v>
      </c>
      <c r="C838" t="s">
        <v>891</v>
      </c>
      <c r="D838" t="s">
        <v>894</v>
      </c>
      <c r="E838">
        <v>999</v>
      </c>
      <c r="F838">
        <v>375</v>
      </c>
      <c r="G838">
        <v>624</v>
      </c>
      <c r="H838">
        <v>1.2311720393824199</v>
      </c>
      <c r="I838">
        <v>0</v>
      </c>
      <c r="J838">
        <v>254974215.64316669</v>
      </c>
    </row>
    <row r="839" spans="1:10" x14ac:dyDescent="0.3">
      <c r="A839" t="s">
        <v>1852</v>
      </c>
      <c r="B839" t="s">
        <v>867</v>
      </c>
      <c r="C839" t="s">
        <v>895</v>
      </c>
      <c r="D839" t="s">
        <v>896</v>
      </c>
      <c r="E839">
        <v>5178</v>
      </c>
      <c r="F839">
        <v>2557</v>
      </c>
      <c r="G839">
        <v>2621</v>
      </c>
      <c r="H839">
        <v>1.133754211210622</v>
      </c>
      <c r="I839">
        <v>0</v>
      </c>
      <c r="J839">
        <v>164921734.9192048</v>
      </c>
    </row>
    <row r="840" spans="1:10" x14ac:dyDescent="0.3">
      <c r="A840" t="s">
        <v>1853</v>
      </c>
      <c r="B840" t="s">
        <v>867</v>
      </c>
      <c r="C840" t="s">
        <v>899</v>
      </c>
      <c r="D840" t="s">
        <v>899</v>
      </c>
      <c r="E840">
        <v>3997</v>
      </c>
      <c r="F840">
        <v>1817</v>
      </c>
      <c r="G840">
        <v>2180</v>
      </c>
      <c r="H840">
        <v>0.55218537479285279</v>
      </c>
      <c r="I840">
        <v>0</v>
      </c>
      <c r="J840">
        <v>441532963.88239121</v>
      </c>
    </row>
    <row r="841" spans="1:10" x14ac:dyDescent="0.3">
      <c r="A841" t="s">
        <v>1854</v>
      </c>
      <c r="B841" t="s">
        <v>867</v>
      </c>
      <c r="C841" t="s">
        <v>899</v>
      </c>
      <c r="D841" t="s">
        <v>900</v>
      </c>
      <c r="E841">
        <v>1558</v>
      </c>
      <c r="F841">
        <v>280</v>
      </c>
      <c r="G841">
        <v>1278</v>
      </c>
      <c r="H841">
        <v>0.48750989446729792</v>
      </c>
      <c r="I841">
        <v>0</v>
      </c>
      <c r="J841">
        <v>528858751.28350502</v>
      </c>
    </row>
    <row r="842" spans="1:10" x14ac:dyDescent="0.3">
      <c r="A842" t="s">
        <v>1855</v>
      </c>
      <c r="B842" t="s">
        <v>867</v>
      </c>
      <c r="C842" t="s">
        <v>899</v>
      </c>
      <c r="D842" t="s">
        <v>901</v>
      </c>
      <c r="E842">
        <v>1603</v>
      </c>
      <c r="F842">
        <v>229</v>
      </c>
      <c r="G842">
        <v>1374</v>
      </c>
      <c r="H842">
        <v>0.48662648957532528</v>
      </c>
      <c r="I842">
        <v>0</v>
      </c>
      <c r="J842">
        <v>246983258.71121651</v>
      </c>
    </row>
    <row r="843" spans="1:10" x14ac:dyDescent="0.3">
      <c r="A843" t="s">
        <v>1856</v>
      </c>
      <c r="B843" t="s">
        <v>867</v>
      </c>
      <c r="C843" t="s">
        <v>899</v>
      </c>
      <c r="D843" t="s">
        <v>902</v>
      </c>
      <c r="E843">
        <v>1257</v>
      </c>
      <c r="F843">
        <v>598</v>
      </c>
      <c r="G843">
        <v>659</v>
      </c>
      <c r="H843">
        <v>0.47866223091297599</v>
      </c>
      <c r="I843">
        <v>0</v>
      </c>
      <c r="J843">
        <v>582274236.70057774</v>
      </c>
    </row>
    <row r="844" spans="1:10" x14ac:dyDescent="0.3">
      <c r="A844" t="s">
        <v>1857</v>
      </c>
      <c r="B844" t="s">
        <v>867</v>
      </c>
      <c r="C844" t="s">
        <v>904</v>
      </c>
      <c r="D844" t="s">
        <v>904</v>
      </c>
      <c r="E844">
        <v>2253</v>
      </c>
      <c r="F844">
        <v>1202</v>
      </c>
      <c r="G844">
        <v>1051</v>
      </c>
      <c r="H844">
        <v>0.65415382407696154</v>
      </c>
      <c r="I844">
        <v>0</v>
      </c>
      <c r="J844">
        <v>166114287.11292821</v>
      </c>
    </row>
    <row r="845" spans="1:10" x14ac:dyDescent="0.3">
      <c r="A845" t="s">
        <v>1858</v>
      </c>
      <c r="B845" t="s">
        <v>906</v>
      </c>
      <c r="C845" t="s">
        <v>57</v>
      </c>
      <c r="D845" t="s">
        <v>907</v>
      </c>
      <c r="E845">
        <v>7243</v>
      </c>
      <c r="F845">
        <v>6002</v>
      </c>
      <c r="G845">
        <v>1241</v>
      </c>
      <c r="H845">
        <v>21.1729756796902</v>
      </c>
      <c r="I845">
        <v>0</v>
      </c>
      <c r="J845">
        <v>2807232.544663283</v>
      </c>
    </row>
    <row r="846" spans="1:10" x14ac:dyDescent="0.3">
      <c r="A846" t="s">
        <v>1859</v>
      </c>
      <c r="B846" t="s">
        <v>906</v>
      </c>
      <c r="C846" t="s">
        <v>57</v>
      </c>
      <c r="D846" t="s">
        <v>50</v>
      </c>
      <c r="E846">
        <v>847</v>
      </c>
      <c r="F846">
        <v>416</v>
      </c>
      <c r="G846">
        <v>431</v>
      </c>
      <c r="H846">
        <v>0.66301895554285728</v>
      </c>
      <c r="I846">
        <v>0</v>
      </c>
      <c r="J846">
        <v>566921593.84276283</v>
      </c>
    </row>
    <row r="847" spans="1:10" x14ac:dyDescent="0.3">
      <c r="A847" t="s">
        <v>1860</v>
      </c>
      <c r="B847" t="s">
        <v>906</v>
      </c>
      <c r="C847" t="s">
        <v>57</v>
      </c>
      <c r="D847" t="s">
        <v>908</v>
      </c>
      <c r="E847">
        <v>145</v>
      </c>
      <c r="F847">
        <v>69</v>
      </c>
      <c r="G847">
        <v>76</v>
      </c>
      <c r="H847">
        <v>0.53567469160514813</v>
      </c>
      <c r="I847">
        <v>0</v>
      </c>
      <c r="J847">
        <v>177121877.36183181</v>
      </c>
    </row>
    <row r="848" spans="1:10" x14ac:dyDescent="0.3">
      <c r="A848" t="s">
        <v>1861</v>
      </c>
      <c r="B848" t="s">
        <v>906</v>
      </c>
      <c r="C848" t="s">
        <v>909</v>
      </c>
      <c r="D848" t="s">
        <v>910</v>
      </c>
      <c r="E848">
        <v>2746</v>
      </c>
      <c r="F848">
        <v>2110</v>
      </c>
      <c r="G848">
        <v>636</v>
      </c>
      <c r="H848">
        <v>10.934643879389441</v>
      </c>
      <c r="I848">
        <v>0</v>
      </c>
      <c r="J848">
        <v>1573597.2543837789</v>
      </c>
    </row>
    <row r="849" spans="1:10" x14ac:dyDescent="0.3">
      <c r="A849" t="s">
        <v>1862</v>
      </c>
      <c r="B849" t="s">
        <v>906</v>
      </c>
      <c r="C849" t="s">
        <v>909</v>
      </c>
      <c r="D849" t="s">
        <v>911</v>
      </c>
      <c r="E849">
        <v>295</v>
      </c>
      <c r="F849">
        <v>17</v>
      </c>
      <c r="G849">
        <v>278</v>
      </c>
      <c r="H849">
        <v>11.056356911320391</v>
      </c>
      <c r="I849">
        <v>0</v>
      </c>
      <c r="J849">
        <v>4854893578.5913839</v>
      </c>
    </row>
    <row r="850" spans="1:10" x14ac:dyDescent="0.3">
      <c r="A850" t="s">
        <v>1863</v>
      </c>
      <c r="B850" t="s">
        <v>906</v>
      </c>
      <c r="C850" t="s">
        <v>912</v>
      </c>
      <c r="D850" t="s">
        <v>913</v>
      </c>
      <c r="E850">
        <v>12678</v>
      </c>
      <c r="F850">
        <v>9485</v>
      </c>
      <c r="G850">
        <v>3193</v>
      </c>
      <c r="H850">
        <v>13.424762892615799</v>
      </c>
      <c r="I850">
        <v>0</v>
      </c>
      <c r="J850">
        <v>2900585.603168577</v>
      </c>
    </row>
    <row r="851" spans="1:10" x14ac:dyDescent="0.3">
      <c r="A851" t="s">
        <v>1864</v>
      </c>
      <c r="B851" t="s">
        <v>906</v>
      </c>
      <c r="C851" t="s">
        <v>912</v>
      </c>
      <c r="D851" t="s">
        <v>914</v>
      </c>
      <c r="E851">
        <v>3928</v>
      </c>
      <c r="F851">
        <v>1406</v>
      </c>
      <c r="G851">
        <v>2522</v>
      </c>
      <c r="H851">
        <v>0.65517240921818964</v>
      </c>
      <c r="I851">
        <v>0</v>
      </c>
      <c r="J851">
        <v>444287194.97659862</v>
      </c>
    </row>
    <row r="852" spans="1:10" x14ac:dyDescent="0.3">
      <c r="A852" t="s">
        <v>1865</v>
      </c>
      <c r="B852" t="s">
        <v>906</v>
      </c>
      <c r="C852" t="s">
        <v>912</v>
      </c>
      <c r="D852" t="s">
        <v>323</v>
      </c>
      <c r="E852">
        <v>560</v>
      </c>
      <c r="F852">
        <v>8</v>
      </c>
      <c r="G852">
        <v>552</v>
      </c>
      <c r="H852">
        <v>0.50174522134102639</v>
      </c>
      <c r="I852">
        <v>0</v>
      </c>
      <c r="J852">
        <v>586921513.33640969</v>
      </c>
    </row>
    <row r="853" spans="1:10" x14ac:dyDescent="0.3">
      <c r="A853" t="s">
        <v>1866</v>
      </c>
      <c r="B853" t="s">
        <v>915</v>
      </c>
      <c r="C853" t="s">
        <v>916</v>
      </c>
      <c r="D853" t="s">
        <v>918</v>
      </c>
      <c r="E853">
        <v>3145</v>
      </c>
      <c r="F853">
        <v>587</v>
      </c>
      <c r="G853">
        <v>2558</v>
      </c>
      <c r="H853">
        <v>4.63891530637994</v>
      </c>
      <c r="I853">
        <v>0</v>
      </c>
      <c r="J853">
        <v>246060948.73768979</v>
      </c>
    </row>
    <row r="854" spans="1:10" x14ac:dyDescent="0.3">
      <c r="A854" t="s">
        <v>1867</v>
      </c>
      <c r="B854" t="s">
        <v>915</v>
      </c>
      <c r="C854" t="s">
        <v>916</v>
      </c>
      <c r="D854" t="s">
        <v>920</v>
      </c>
      <c r="E854">
        <v>6915</v>
      </c>
      <c r="F854">
        <v>1228</v>
      </c>
      <c r="G854">
        <v>5687</v>
      </c>
      <c r="H854">
        <v>3.866109752102906</v>
      </c>
      <c r="I854">
        <v>0</v>
      </c>
      <c r="J854">
        <v>438959963.96727401</v>
      </c>
    </row>
    <row r="855" spans="1:10" x14ac:dyDescent="0.3">
      <c r="A855" t="s">
        <v>1868</v>
      </c>
      <c r="B855" t="s">
        <v>915</v>
      </c>
      <c r="C855" t="s">
        <v>916</v>
      </c>
      <c r="D855" t="s">
        <v>921</v>
      </c>
      <c r="E855">
        <v>8423</v>
      </c>
      <c r="F855">
        <v>2186</v>
      </c>
      <c r="G855">
        <v>6237</v>
      </c>
      <c r="H855">
        <v>3.0686297500484172</v>
      </c>
      <c r="I855">
        <v>0</v>
      </c>
      <c r="J855">
        <v>884219418.46103084</v>
      </c>
    </row>
    <row r="856" spans="1:10" x14ac:dyDescent="0.3">
      <c r="A856" t="s">
        <v>1869</v>
      </c>
      <c r="B856" t="s">
        <v>915</v>
      </c>
      <c r="C856" t="s">
        <v>916</v>
      </c>
      <c r="D856" t="s">
        <v>325</v>
      </c>
      <c r="E856">
        <v>3473</v>
      </c>
      <c r="F856">
        <v>839</v>
      </c>
      <c r="G856">
        <v>2634</v>
      </c>
      <c r="H856">
        <v>0.55369004042993997</v>
      </c>
      <c r="I856">
        <v>0</v>
      </c>
      <c r="J856">
        <v>444201812.87294048</v>
      </c>
    </row>
    <row r="857" spans="1:10" x14ac:dyDescent="0.3">
      <c r="A857" t="s">
        <v>1870</v>
      </c>
      <c r="B857" t="s">
        <v>915</v>
      </c>
      <c r="C857" t="s">
        <v>924</v>
      </c>
      <c r="D857" t="s">
        <v>927</v>
      </c>
      <c r="E857">
        <v>1558</v>
      </c>
      <c r="F857">
        <v>585</v>
      </c>
      <c r="G857">
        <v>973</v>
      </c>
      <c r="H857">
        <v>0.5472076343069493</v>
      </c>
      <c r="I857">
        <v>0</v>
      </c>
      <c r="J857">
        <v>769669676.40913105</v>
      </c>
    </row>
    <row r="858" spans="1:10" x14ac:dyDescent="0.3">
      <c r="A858" t="s">
        <v>1871</v>
      </c>
      <c r="B858" t="s">
        <v>915</v>
      </c>
      <c r="C858" t="s">
        <v>928</v>
      </c>
      <c r="D858" t="s">
        <v>930</v>
      </c>
      <c r="E858">
        <v>1085</v>
      </c>
      <c r="F858">
        <v>108</v>
      </c>
      <c r="G858">
        <v>977</v>
      </c>
      <c r="H858">
        <v>0.56446561738387735</v>
      </c>
      <c r="I858">
        <v>0</v>
      </c>
      <c r="J858">
        <v>600782911.43349707</v>
      </c>
    </row>
    <row r="859" spans="1:10" x14ac:dyDescent="0.3">
      <c r="A859" t="s">
        <v>1872</v>
      </c>
      <c r="B859" t="s">
        <v>915</v>
      </c>
      <c r="C859" t="s">
        <v>928</v>
      </c>
      <c r="D859" t="s">
        <v>931</v>
      </c>
      <c r="E859">
        <v>76</v>
      </c>
      <c r="F859">
        <v>0</v>
      </c>
      <c r="G859">
        <v>76</v>
      </c>
      <c r="H859">
        <v>0.51059451124785116</v>
      </c>
      <c r="I859">
        <v>0</v>
      </c>
      <c r="J859">
        <v>446985738.45903271</v>
      </c>
    </row>
    <row r="860" spans="1:10" x14ac:dyDescent="0.3">
      <c r="A860" t="s">
        <v>1873</v>
      </c>
      <c r="B860" t="s">
        <v>915</v>
      </c>
      <c r="C860" t="s">
        <v>928</v>
      </c>
      <c r="D860" t="s">
        <v>933</v>
      </c>
      <c r="E860">
        <v>1797</v>
      </c>
      <c r="F860">
        <v>13</v>
      </c>
      <c r="G860">
        <v>1784</v>
      </c>
      <c r="H860">
        <v>1.6298508032879231</v>
      </c>
      <c r="I860">
        <v>0</v>
      </c>
      <c r="J860">
        <v>545927302.08133411</v>
      </c>
    </row>
    <row r="861" spans="1:10" x14ac:dyDescent="0.3">
      <c r="A861" t="s">
        <v>1874</v>
      </c>
      <c r="B861" t="s">
        <v>915</v>
      </c>
      <c r="C861" t="s">
        <v>935</v>
      </c>
      <c r="D861" t="s">
        <v>936</v>
      </c>
      <c r="E861">
        <v>6852</v>
      </c>
      <c r="F861">
        <v>431</v>
      </c>
      <c r="G861">
        <v>6421</v>
      </c>
      <c r="H861">
        <v>7.3282924940597889</v>
      </c>
      <c r="I861">
        <v>0</v>
      </c>
      <c r="J861">
        <v>541839249.43046999</v>
      </c>
    </row>
    <row r="862" spans="1:10" x14ac:dyDescent="0.3">
      <c r="A862" t="s">
        <v>1875</v>
      </c>
      <c r="B862" t="s">
        <v>915</v>
      </c>
      <c r="C862" t="s">
        <v>935</v>
      </c>
      <c r="D862" t="s">
        <v>937</v>
      </c>
      <c r="E862">
        <v>746</v>
      </c>
      <c r="F862">
        <v>57</v>
      </c>
      <c r="G862">
        <v>689</v>
      </c>
      <c r="H862">
        <v>0.81559538149818078</v>
      </c>
      <c r="I862">
        <v>0</v>
      </c>
      <c r="J862">
        <v>609598789.25019407</v>
      </c>
    </row>
    <row r="863" spans="1:10" x14ac:dyDescent="0.3">
      <c r="A863" t="s">
        <v>1876</v>
      </c>
      <c r="B863" t="s">
        <v>915</v>
      </c>
      <c r="C863" t="s">
        <v>935</v>
      </c>
      <c r="D863" t="s">
        <v>317</v>
      </c>
      <c r="E863">
        <v>4469</v>
      </c>
      <c r="F863">
        <v>777</v>
      </c>
      <c r="G863">
        <v>3692</v>
      </c>
      <c r="H863">
        <v>1.0395166527247419</v>
      </c>
      <c r="I863">
        <v>0</v>
      </c>
      <c r="J863">
        <v>672060804.99508429</v>
      </c>
    </row>
    <row r="864" spans="1:10" x14ac:dyDescent="0.3">
      <c r="A864" t="s">
        <v>1877</v>
      </c>
      <c r="B864" t="s">
        <v>915</v>
      </c>
      <c r="C864" t="s">
        <v>945</v>
      </c>
      <c r="D864" t="s">
        <v>946</v>
      </c>
      <c r="E864">
        <v>3801</v>
      </c>
      <c r="F864">
        <v>2223</v>
      </c>
      <c r="G864">
        <v>1578</v>
      </c>
      <c r="H864">
        <v>1.0039888264999239</v>
      </c>
      <c r="I864">
        <v>0</v>
      </c>
      <c r="J864">
        <v>713147778.95061409</v>
      </c>
    </row>
    <row r="865" spans="1:10" x14ac:dyDescent="0.3">
      <c r="A865" t="s">
        <v>1878</v>
      </c>
      <c r="B865" t="s">
        <v>915</v>
      </c>
      <c r="C865" t="s">
        <v>945</v>
      </c>
      <c r="D865" t="s">
        <v>244</v>
      </c>
      <c r="E865">
        <v>3103</v>
      </c>
      <c r="F865">
        <v>1271</v>
      </c>
      <c r="G865">
        <v>1832</v>
      </c>
      <c r="H865">
        <v>0.72486146366239079</v>
      </c>
      <c r="I865">
        <v>0</v>
      </c>
      <c r="J865">
        <v>118040653.9065161</v>
      </c>
    </row>
    <row r="866" spans="1:10" x14ac:dyDescent="0.3">
      <c r="A866" t="s">
        <v>1879</v>
      </c>
      <c r="B866" t="s">
        <v>915</v>
      </c>
      <c r="C866" t="s">
        <v>945</v>
      </c>
      <c r="D866" t="s">
        <v>948</v>
      </c>
      <c r="E866">
        <v>4234</v>
      </c>
      <c r="F866">
        <v>474</v>
      </c>
      <c r="G866">
        <v>3760</v>
      </c>
      <c r="H866">
        <v>0.55558102183751268</v>
      </c>
      <c r="I866">
        <v>0</v>
      </c>
      <c r="J866">
        <v>372194216.44688791</v>
      </c>
    </row>
    <row r="867" spans="1:10" x14ac:dyDescent="0.3">
      <c r="A867" t="s">
        <v>1880</v>
      </c>
      <c r="B867" t="s">
        <v>915</v>
      </c>
      <c r="C867" t="s">
        <v>949</v>
      </c>
      <c r="D867" t="s">
        <v>949</v>
      </c>
      <c r="E867">
        <v>435</v>
      </c>
      <c r="F867">
        <v>185</v>
      </c>
      <c r="G867">
        <v>250</v>
      </c>
      <c r="H867">
        <v>0.48205638429800152</v>
      </c>
      <c r="I867">
        <v>0</v>
      </c>
      <c r="J867">
        <v>2267544996.8578529</v>
      </c>
    </row>
    <row r="868" spans="1:10" x14ac:dyDescent="0.3">
      <c r="A868" t="s">
        <v>1881</v>
      </c>
      <c r="B868" t="s">
        <v>952</v>
      </c>
      <c r="C868" t="s">
        <v>953</v>
      </c>
      <c r="D868" t="s">
        <v>955</v>
      </c>
      <c r="E868">
        <v>7248</v>
      </c>
      <c r="F868">
        <v>1592</v>
      </c>
      <c r="G868">
        <v>5656</v>
      </c>
      <c r="H868">
        <v>5.6393302727095476</v>
      </c>
      <c r="I868">
        <v>0</v>
      </c>
      <c r="J868">
        <v>1238449566.7895081</v>
      </c>
    </row>
    <row r="869" spans="1:10" x14ac:dyDescent="0.3">
      <c r="A869" t="s">
        <v>1882</v>
      </c>
      <c r="B869" t="s">
        <v>952</v>
      </c>
      <c r="C869" t="s">
        <v>953</v>
      </c>
      <c r="D869" t="s">
        <v>956</v>
      </c>
      <c r="E869">
        <v>3107</v>
      </c>
      <c r="F869">
        <v>892</v>
      </c>
      <c r="G869">
        <v>2215</v>
      </c>
      <c r="H869">
        <v>5.9831496355680418</v>
      </c>
      <c r="I869">
        <v>0</v>
      </c>
      <c r="J869">
        <v>408319512.25487357</v>
      </c>
    </row>
    <row r="870" spans="1:10" x14ac:dyDescent="0.3">
      <c r="A870" t="s">
        <v>1883</v>
      </c>
      <c r="B870" t="s">
        <v>952</v>
      </c>
      <c r="C870" t="s">
        <v>953</v>
      </c>
      <c r="D870" t="s">
        <v>957</v>
      </c>
      <c r="E870">
        <v>1559</v>
      </c>
      <c r="F870">
        <v>21</v>
      </c>
      <c r="G870">
        <v>1538</v>
      </c>
      <c r="H870">
        <v>0.59728706153514599</v>
      </c>
      <c r="I870">
        <v>0</v>
      </c>
      <c r="J870">
        <v>982094826.70175695</v>
      </c>
    </row>
    <row r="871" spans="1:10" x14ac:dyDescent="0.3">
      <c r="A871" t="s">
        <v>1884</v>
      </c>
      <c r="B871" t="s">
        <v>952</v>
      </c>
      <c r="C871" t="s">
        <v>953</v>
      </c>
      <c r="D871" t="s">
        <v>958</v>
      </c>
      <c r="E871">
        <v>3279</v>
      </c>
      <c r="F871">
        <v>898</v>
      </c>
      <c r="G871">
        <v>2381</v>
      </c>
      <c r="H871">
        <v>17.27819327855229</v>
      </c>
      <c r="I871">
        <v>0</v>
      </c>
      <c r="J871">
        <v>136803564.21903411</v>
      </c>
    </row>
    <row r="872" spans="1:10" x14ac:dyDescent="0.3">
      <c r="A872" t="s">
        <v>1885</v>
      </c>
      <c r="B872" t="s">
        <v>952</v>
      </c>
      <c r="C872" t="s">
        <v>953</v>
      </c>
      <c r="D872" t="s">
        <v>959</v>
      </c>
      <c r="E872">
        <v>1246</v>
      </c>
      <c r="F872">
        <v>8</v>
      </c>
      <c r="G872">
        <v>1238</v>
      </c>
      <c r="H872">
        <v>5.53117598043759</v>
      </c>
      <c r="I872">
        <v>0</v>
      </c>
      <c r="J872">
        <v>871819078.3671912</v>
      </c>
    </row>
    <row r="873" spans="1:10" x14ac:dyDescent="0.3">
      <c r="A873" t="s">
        <v>1886</v>
      </c>
      <c r="B873" t="s">
        <v>952</v>
      </c>
      <c r="C873" t="s">
        <v>953</v>
      </c>
      <c r="D873" t="s">
        <v>160</v>
      </c>
      <c r="E873">
        <v>1491</v>
      </c>
      <c r="F873">
        <v>131</v>
      </c>
      <c r="G873">
        <v>1360</v>
      </c>
      <c r="H873">
        <v>1.7769509815786759</v>
      </c>
      <c r="I873">
        <v>0</v>
      </c>
      <c r="J873">
        <v>130948424.9244604</v>
      </c>
    </row>
    <row r="874" spans="1:10" x14ac:dyDescent="0.3">
      <c r="A874" t="s">
        <v>1887</v>
      </c>
      <c r="B874" t="s">
        <v>952</v>
      </c>
      <c r="C874" t="s">
        <v>953</v>
      </c>
      <c r="D874" t="s">
        <v>960</v>
      </c>
      <c r="E874">
        <v>3639</v>
      </c>
      <c r="F874">
        <v>246</v>
      </c>
      <c r="G874">
        <v>3393</v>
      </c>
      <c r="H874">
        <v>1.2667953122292579</v>
      </c>
      <c r="I874">
        <v>0</v>
      </c>
      <c r="J874">
        <v>1478548421.4867339</v>
      </c>
    </row>
    <row r="875" spans="1:10" x14ac:dyDescent="0.3">
      <c r="A875" t="s">
        <v>1888</v>
      </c>
      <c r="B875" t="s">
        <v>952</v>
      </c>
      <c r="C875" t="s">
        <v>953</v>
      </c>
      <c r="D875" t="s">
        <v>883</v>
      </c>
      <c r="E875">
        <v>3511</v>
      </c>
      <c r="F875">
        <v>272</v>
      </c>
      <c r="G875">
        <v>3239</v>
      </c>
      <c r="H875">
        <v>1.8769811476470291</v>
      </c>
      <c r="I875">
        <v>0</v>
      </c>
      <c r="J875">
        <v>308387838.13876569</v>
      </c>
    </row>
    <row r="876" spans="1:10" x14ac:dyDescent="0.3">
      <c r="A876" t="s">
        <v>1889</v>
      </c>
      <c r="B876" t="s">
        <v>952</v>
      </c>
      <c r="C876" t="s">
        <v>953</v>
      </c>
      <c r="D876" t="s">
        <v>962</v>
      </c>
      <c r="E876">
        <v>3255</v>
      </c>
      <c r="F876">
        <v>262</v>
      </c>
      <c r="G876">
        <v>2993</v>
      </c>
      <c r="H876">
        <v>0.59860717409757769</v>
      </c>
      <c r="I876">
        <v>0</v>
      </c>
      <c r="J876">
        <v>457599351.78716987</v>
      </c>
    </row>
    <row r="877" spans="1:10" x14ac:dyDescent="0.3">
      <c r="A877" t="s">
        <v>1890</v>
      </c>
      <c r="B877" t="s">
        <v>952</v>
      </c>
      <c r="C877" t="s">
        <v>953</v>
      </c>
      <c r="D877" t="s">
        <v>963</v>
      </c>
      <c r="E877">
        <v>2496</v>
      </c>
      <c r="F877">
        <v>0</v>
      </c>
      <c r="G877">
        <v>2496</v>
      </c>
      <c r="H877">
        <v>1.1637225223681891</v>
      </c>
      <c r="I877">
        <v>0</v>
      </c>
      <c r="J877">
        <v>313930742.83686417</v>
      </c>
    </row>
    <row r="878" spans="1:10" x14ac:dyDescent="0.3">
      <c r="A878" t="s">
        <v>1891</v>
      </c>
      <c r="B878" t="s">
        <v>952</v>
      </c>
      <c r="C878" t="s">
        <v>964</v>
      </c>
      <c r="D878" t="s">
        <v>966</v>
      </c>
      <c r="E878">
        <v>1137</v>
      </c>
      <c r="F878">
        <v>14</v>
      </c>
      <c r="G878">
        <v>1123</v>
      </c>
      <c r="H878">
        <v>0.52598693747757319</v>
      </c>
      <c r="I878">
        <v>0</v>
      </c>
      <c r="J878">
        <v>921515864.98987877</v>
      </c>
    </row>
    <row r="879" spans="1:10" x14ac:dyDescent="0.3">
      <c r="A879" t="s">
        <v>1892</v>
      </c>
      <c r="B879" t="s">
        <v>952</v>
      </c>
      <c r="C879" t="s">
        <v>964</v>
      </c>
      <c r="D879" t="s">
        <v>967</v>
      </c>
      <c r="E879">
        <v>708</v>
      </c>
      <c r="F879">
        <v>35</v>
      </c>
      <c r="G879">
        <v>673</v>
      </c>
      <c r="H879">
        <v>0.50920870795834861</v>
      </c>
      <c r="I879">
        <v>0</v>
      </c>
      <c r="J879">
        <v>7124362352.9952555</v>
      </c>
    </row>
    <row r="880" spans="1:10" x14ac:dyDescent="0.3">
      <c r="A880" t="s">
        <v>1893</v>
      </c>
      <c r="B880" t="s">
        <v>952</v>
      </c>
      <c r="C880" t="s">
        <v>964</v>
      </c>
      <c r="D880" t="s">
        <v>968</v>
      </c>
      <c r="E880">
        <v>938</v>
      </c>
      <c r="F880">
        <v>78</v>
      </c>
      <c r="G880">
        <v>860</v>
      </c>
      <c r="H880">
        <v>0.53150632011650978</v>
      </c>
      <c r="I880">
        <v>0</v>
      </c>
      <c r="J880">
        <v>657302441.8760854</v>
      </c>
    </row>
    <row r="881" spans="1:10" x14ac:dyDescent="0.3">
      <c r="A881" t="s">
        <v>1894</v>
      </c>
      <c r="B881" t="s">
        <v>952</v>
      </c>
      <c r="C881" t="s">
        <v>970</v>
      </c>
      <c r="D881" t="s">
        <v>972</v>
      </c>
      <c r="E881">
        <v>1652</v>
      </c>
      <c r="F881">
        <v>13</v>
      </c>
      <c r="G881">
        <v>1639</v>
      </c>
      <c r="H881">
        <v>1.4194965369282899</v>
      </c>
      <c r="I881">
        <v>0</v>
      </c>
      <c r="J881">
        <v>97964738.69385384</v>
      </c>
    </row>
    <row r="882" spans="1:10" x14ac:dyDescent="0.3">
      <c r="A882" t="s">
        <v>1895</v>
      </c>
      <c r="B882" t="s">
        <v>952</v>
      </c>
      <c r="C882" t="s">
        <v>970</v>
      </c>
      <c r="D882" t="s">
        <v>424</v>
      </c>
      <c r="E882">
        <v>4243</v>
      </c>
      <c r="F882">
        <v>493</v>
      </c>
      <c r="G882">
        <v>3750</v>
      </c>
      <c r="H882">
        <v>65.333523134509633</v>
      </c>
      <c r="I882">
        <v>0</v>
      </c>
      <c r="J882">
        <v>133678987.8361751</v>
      </c>
    </row>
    <row r="883" spans="1:10" x14ac:dyDescent="0.3">
      <c r="A883" t="s">
        <v>1896</v>
      </c>
      <c r="B883" t="s">
        <v>952</v>
      </c>
      <c r="C883" t="s">
        <v>970</v>
      </c>
      <c r="D883" t="s">
        <v>973</v>
      </c>
      <c r="E883">
        <v>5280</v>
      </c>
      <c r="F883">
        <v>417</v>
      </c>
      <c r="G883">
        <v>4863</v>
      </c>
      <c r="H883">
        <v>9.0586049725868687</v>
      </c>
      <c r="I883">
        <v>0</v>
      </c>
      <c r="J883">
        <v>282144379.33992231</v>
      </c>
    </row>
    <row r="884" spans="1:10" x14ac:dyDescent="0.3">
      <c r="A884" t="s">
        <v>1897</v>
      </c>
      <c r="B884" t="s">
        <v>952</v>
      </c>
      <c r="C884" t="s">
        <v>970</v>
      </c>
      <c r="D884" t="s">
        <v>975</v>
      </c>
      <c r="E884">
        <v>3945</v>
      </c>
      <c r="F884">
        <v>467</v>
      </c>
      <c r="G884">
        <v>3478</v>
      </c>
      <c r="H884">
        <v>2.120264844293549</v>
      </c>
      <c r="I884">
        <v>0</v>
      </c>
      <c r="J884">
        <v>124723771.4622442</v>
      </c>
    </row>
    <row r="885" spans="1:10" x14ac:dyDescent="0.3">
      <c r="A885" t="s">
        <v>1898</v>
      </c>
      <c r="B885" t="s">
        <v>952</v>
      </c>
      <c r="C885" t="s">
        <v>977</v>
      </c>
      <c r="D885" t="s">
        <v>979</v>
      </c>
      <c r="E885">
        <v>3934</v>
      </c>
      <c r="F885">
        <v>83</v>
      </c>
      <c r="G885">
        <v>3851</v>
      </c>
      <c r="H885">
        <v>2.45541829361524</v>
      </c>
      <c r="I885">
        <v>0</v>
      </c>
      <c r="J885">
        <v>189851663.68595821</v>
      </c>
    </row>
    <row r="886" spans="1:10" x14ac:dyDescent="0.3">
      <c r="A886" t="s">
        <v>1899</v>
      </c>
      <c r="B886" t="s">
        <v>952</v>
      </c>
      <c r="C886" t="s">
        <v>977</v>
      </c>
      <c r="D886" t="s">
        <v>980</v>
      </c>
      <c r="E886">
        <v>3575</v>
      </c>
      <c r="F886">
        <v>53</v>
      </c>
      <c r="G886">
        <v>3522</v>
      </c>
      <c r="H886">
        <v>0.4603726287138285</v>
      </c>
      <c r="I886">
        <v>0</v>
      </c>
      <c r="J886">
        <v>841107970.33125377</v>
      </c>
    </row>
    <row r="887" spans="1:10" x14ac:dyDescent="0.3">
      <c r="A887" t="s">
        <v>1900</v>
      </c>
      <c r="B887" t="s">
        <v>983</v>
      </c>
      <c r="C887" t="s">
        <v>984</v>
      </c>
      <c r="D887" t="s">
        <v>986</v>
      </c>
      <c r="E887">
        <v>8600</v>
      </c>
      <c r="F887">
        <v>1041</v>
      </c>
      <c r="G887">
        <v>7559</v>
      </c>
      <c r="H887">
        <v>0.92882831561634815</v>
      </c>
      <c r="I887">
        <v>0</v>
      </c>
      <c r="J887">
        <v>678074685.62177205</v>
      </c>
    </row>
    <row r="888" spans="1:10" x14ac:dyDescent="0.3">
      <c r="A888" t="s">
        <v>1901</v>
      </c>
      <c r="B888" t="s">
        <v>983</v>
      </c>
      <c r="C888" t="s">
        <v>984</v>
      </c>
      <c r="D888" t="s">
        <v>988</v>
      </c>
      <c r="E888">
        <v>11438</v>
      </c>
      <c r="F888">
        <v>3138</v>
      </c>
      <c r="G888">
        <v>8300</v>
      </c>
      <c r="H888">
        <v>1.447581154959249</v>
      </c>
      <c r="I888">
        <v>0</v>
      </c>
      <c r="J888">
        <v>310964368.11171311</v>
      </c>
    </row>
    <row r="889" spans="1:10" x14ac:dyDescent="0.3">
      <c r="A889" t="s">
        <v>1902</v>
      </c>
      <c r="B889" t="s">
        <v>983</v>
      </c>
      <c r="C889" t="s">
        <v>984</v>
      </c>
      <c r="D889" t="s">
        <v>989</v>
      </c>
      <c r="E889">
        <v>13624</v>
      </c>
      <c r="F889">
        <v>2543</v>
      </c>
      <c r="G889">
        <v>11081</v>
      </c>
      <c r="H889">
        <v>1.388976272130297</v>
      </c>
      <c r="I889">
        <v>0</v>
      </c>
      <c r="J889">
        <v>204159319.6655238</v>
      </c>
    </row>
    <row r="890" spans="1:10" x14ac:dyDescent="0.3">
      <c r="A890" t="s">
        <v>1903</v>
      </c>
      <c r="B890" t="s">
        <v>983</v>
      </c>
      <c r="C890" t="s">
        <v>984</v>
      </c>
      <c r="D890" t="s">
        <v>990</v>
      </c>
      <c r="E890">
        <v>9865</v>
      </c>
      <c r="F890">
        <v>2051</v>
      </c>
      <c r="G890">
        <v>7814</v>
      </c>
      <c r="H890">
        <v>1.528736259412143</v>
      </c>
      <c r="I890">
        <v>0</v>
      </c>
      <c r="J890">
        <v>310253416.01449829</v>
      </c>
    </row>
    <row r="891" spans="1:10" x14ac:dyDescent="0.3">
      <c r="A891" t="s">
        <v>1904</v>
      </c>
      <c r="B891" t="s">
        <v>983</v>
      </c>
      <c r="C891" t="s">
        <v>984</v>
      </c>
      <c r="D891" t="s">
        <v>991</v>
      </c>
      <c r="E891">
        <v>5939</v>
      </c>
      <c r="F891">
        <v>1532</v>
      </c>
      <c r="G891">
        <v>4407</v>
      </c>
      <c r="H891">
        <v>0.89562937402625376</v>
      </c>
      <c r="I891">
        <v>0</v>
      </c>
      <c r="J891">
        <v>282755587.33769262</v>
      </c>
    </row>
    <row r="892" spans="1:10" x14ac:dyDescent="0.3">
      <c r="A892" t="s">
        <v>1905</v>
      </c>
      <c r="B892" t="s">
        <v>983</v>
      </c>
      <c r="C892" t="s">
        <v>984</v>
      </c>
      <c r="D892" t="s">
        <v>992</v>
      </c>
      <c r="E892">
        <v>7040</v>
      </c>
      <c r="F892">
        <v>1662</v>
      </c>
      <c r="G892">
        <v>5378</v>
      </c>
      <c r="H892">
        <v>0.71004517236254805</v>
      </c>
      <c r="I892">
        <v>0</v>
      </c>
      <c r="J892">
        <v>352339824.62275881</v>
      </c>
    </row>
    <row r="893" spans="1:10" x14ac:dyDescent="0.3">
      <c r="A893" t="s">
        <v>1906</v>
      </c>
      <c r="B893" t="s">
        <v>983</v>
      </c>
      <c r="C893" t="s">
        <v>993</v>
      </c>
      <c r="D893" t="s">
        <v>994</v>
      </c>
      <c r="E893">
        <v>7386</v>
      </c>
      <c r="F893">
        <v>1356</v>
      </c>
      <c r="G893">
        <v>6030</v>
      </c>
      <c r="H893">
        <v>1.3216624137162729</v>
      </c>
      <c r="I893">
        <v>0</v>
      </c>
      <c r="J893">
        <v>102140525.5603929</v>
      </c>
    </row>
    <row r="894" spans="1:10" x14ac:dyDescent="0.3">
      <c r="A894" t="s">
        <v>1907</v>
      </c>
      <c r="B894" t="s">
        <v>983</v>
      </c>
      <c r="C894" t="s">
        <v>993</v>
      </c>
      <c r="D894" t="s">
        <v>995</v>
      </c>
      <c r="E894">
        <v>4529</v>
      </c>
      <c r="F894">
        <v>1121</v>
      </c>
      <c r="G894">
        <v>3408</v>
      </c>
      <c r="H894">
        <v>1.4695788180136209</v>
      </c>
      <c r="I894">
        <v>0</v>
      </c>
      <c r="J894">
        <v>58505104.55903329</v>
      </c>
    </row>
    <row r="895" spans="1:10" x14ac:dyDescent="0.3">
      <c r="A895" t="s">
        <v>1908</v>
      </c>
      <c r="B895" t="s">
        <v>983</v>
      </c>
      <c r="C895" t="s">
        <v>993</v>
      </c>
      <c r="D895" t="s">
        <v>996</v>
      </c>
      <c r="E895">
        <v>2293</v>
      </c>
      <c r="F895">
        <v>311</v>
      </c>
      <c r="G895">
        <v>1982</v>
      </c>
      <c r="H895">
        <v>1.844905613388355</v>
      </c>
      <c r="I895">
        <v>0</v>
      </c>
      <c r="J895">
        <v>82791428.481541321</v>
      </c>
    </row>
    <row r="896" spans="1:10" x14ac:dyDescent="0.3">
      <c r="A896" t="s">
        <v>1909</v>
      </c>
      <c r="B896" t="s">
        <v>13</v>
      </c>
      <c r="C896" t="s">
        <v>14</v>
      </c>
      <c r="D896" t="s">
        <v>17</v>
      </c>
      <c r="E896">
        <v>1720</v>
      </c>
      <c r="F896">
        <v>540</v>
      </c>
      <c r="G896">
        <v>1180</v>
      </c>
      <c r="H896">
        <v>0.67879509032127427</v>
      </c>
      <c r="I896">
        <v>0</v>
      </c>
      <c r="J896">
        <v>380002100.73220432</v>
      </c>
    </row>
    <row r="897" spans="1:10" x14ac:dyDescent="0.3">
      <c r="A897" t="s">
        <v>1910</v>
      </c>
      <c r="B897" t="s">
        <v>13</v>
      </c>
      <c r="C897" t="s">
        <v>39</v>
      </c>
      <c r="D897" t="s">
        <v>40</v>
      </c>
      <c r="E897">
        <v>1552</v>
      </c>
      <c r="F897">
        <v>600</v>
      </c>
      <c r="G897">
        <v>952</v>
      </c>
      <c r="H897">
        <v>2.331000138616611</v>
      </c>
      <c r="I897">
        <v>0</v>
      </c>
      <c r="J897">
        <v>20024826.706904691</v>
      </c>
    </row>
    <row r="898" spans="1:10" x14ac:dyDescent="0.3">
      <c r="A898" t="s">
        <v>1911</v>
      </c>
      <c r="B898" t="s">
        <v>13</v>
      </c>
      <c r="C898" t="s">
        <v>39</v>
      </c>
      <c r="D898" t="s">
        <v>42</v>
      </c>
      <c r="E898">
        <v>2511</v>
      </c>
      <c r="F898">
        <v>720</v>
      </c>
      <c r="G898">
        <v>1791</v>
      </c>
      <c r="H898">
        <v>2.1431513008996301</v>
      </c>
      <c r="I898">
        <v>0</v>
      </c>
      <c r="J898">
        <v>37890839.594574757</v>
      </c>
    </row>
    <row r="899" spans="1:10" x14ac:dyDescent="0.3">
      <c r="A899" t="s">
        <v>1912</v>
      </c>
      <c r="B899" t="s">
        <v>13</v>
      </c>
      <c r="C899" t="s">
        <v>52</v>
      </c>
      <c r="D899" t="s">
        <v>58</v>
      </c>
      <c r="E899">
        <v>1315</v>
      </c>
      <c r="F899">
        <v>710</v>
      </c>
      <c r="G899">
        <v>605</v>
      </c>
      <c r="H899">
        <v>1.196282050214718</v>
      </c>
      <c r="I899">
        <v>0</v>
      </c>
      <c r="J899">
        <v>38819228.484779269</v>
      </c>
    </row>
    <row r="900" spans="1:10" x14ac:dyDescent="0.3">
      <c r="A900" t="s">
        <v>1913</v>
      </c>
      <c r="B900" t="s">
        <v>13</v>
      </c>
      <c r="C900" t="s">
        <v>64</v>
      </c>
      <c r="D900" t="s">
        <v>66</v>
      </c>
      <c r="E900">
        <v>2646</v>
      </c>
      <c r="F900">
        <v>914</v>
      </c>
      <c r="G900">
        <v>1732</v>
      </c>
      <c r="H900">
        <v>0.79634765929847839</v>
      </c>
      <c r="I900">
        <v>0</v>
      </c>
      <c r="J900">
        <v>197973639.02855709</v>
      </c>
    </row>
    <row r="901" spans="1:10" x14ac:dyDescent="0.3">
      <c r="A901" t="s">
        <v>1914</v>
      </c>
      <c r="B901" t="s">
        <v>13</v>
      </c>
      <c r="C901" t="s">
        <v>69</v>
      </c>
      <c r="D901" t="s">
        <v>71</v>
      </c>
      <c r="E901">
        <v>1058</v>
      </c>
      <c r="F901">
        <v>386</v>
      </c>
      <c r="G901">
        <v>672</v>
      </c>
      <c r="H901">
        <v>3.3895745065995331</v>
      </c>
      <c r="I901">
        <v>0</v>
      </c>
      <c r="J901">
        <v>16458595.445361581</v>
      </c>
    </row>
    <row r="902" spans="1:10" x14ac:dyDescent="0.3">
      <c r="A902" t="s">
        <v>1915</v>
      </c>
      <c r="B902" t="s">
        <v>13</v>
      </c>
      <c r="C902" t="s">
        <v>69</v>
      </c>
      <c r="D902" t="s">
        <v>72</v>
      </c>
      <c r="E902">
        <v>3428</v>
      </c>
      <c r="F902">
        <v>825</v>
      </c>
      <c r="G902">
        <v>2603</v>
      </c>
      <c r="H902">
        <v>1.1164821647682011</v>
      </c>
      <c r="I902">
        <v>0</v>
      </c>
      <c r="J902">
        <v>79229823.918953538</v>
      </c>
    </row>
    <row r="903" spans="1:10" x14ac:dyDescent="0.3">
      <c r="A903" t="s">
        <v>1916</v>
      </c>
      <c r="B903" t="s">
        <v>13</v>
      </c>
      <c r="C903" t="s">
        <v>69</v>
      </c>
      <c r="D903" t="s">
        <v>74</v>
      </c>
      <c r="E903">
        <v>2065</v>
      </c>
      <c r="F903">
        <v>727</v>
      </c>
      <c r="G903">
        <v>1338</v>
      </c>
      <c r="H903">
        <v>1.2512707379923711</v>
      </c>
      <c r="I903">
        <v>0</v>
      </c>
      <c r="J903">
        <v>42986860.922375113</v>
      </c>
    </row>
    <row r="904" spans="1:10" x14ac:dyDescent="0.3">
      <c r="A904" t="s">
        <v>1917</v>
      </c>
      <c r="B904" t="s">
        <v>13</v>
      </c>
      <c r="C904" t="s">
        <v>78</v>
      </c>
      <c r="D904" t="s">
        <v>79</v>
      </c>
      <c r="E904">
        <v>1158</v>
      </c>
      <c r="F904">
        <v>733</v>
      </c>
      <c r="G904">
        <v>425</v>
      </c>
      <c r="H904">
        <v>1.6496209290331261</v>
      </c>
      <c r="I904">
        <v>0</v>
      </c>
      <c r="J904">
        <v>30656831.914547201</v>
      </c>
    </row>
    <row r="905" spans="1:10" x14ac:dyDescent="0.3">
      <c r="A905" t="s">
        <v>1918</v>
      </c>
      <c r="B905" t="s">
        <v>13</v>
      </c>
      <c r="C905" t="s">
        <v>78</v>
      </c>
      <c r="D905" t="s">
        <v>82</v>
      </c>
      <c r="E905">
        <v>1020</v>
      </c>
      <c r="F905">
        <v>570</v>
      </c>
      <c r="G905">
        <v>450</v>
      </c>
      <c r="H905">
        <v>2.210971806104165</v>
      </c>
      <c r="I905">
        <v>0</v>
      </c>
      <c r="J905">
        <v>14010563.931088479</v>
      </c>
    </row>
    <row r="906" spans="1:10" x14ac:dyDescent="0.3">
      <c r="A906" t="s">
        <v>1919</v>
      </c>
      <c r="B906" t="s">
        <v>13</v>
      </c>
      <c r="C906" t="s">
        <v>83</v>
      </c>
      <c r="D906" t="s">
        <v>83</v>
      </c>
      <c r="E906">
        <v>1085</v>
      </c>
      <c r="F906">
        <v>895</v>
      </c>
      <c r="G906">
        <v>190</v>
      </c>
      <c r="H906">
        <v>3.4428777207105261</v>
      </c>
      <c r="I906">
        <v>0</v>
      </c>
      <c r="J906">
        <v>17713102.856892992</v>
      </c>
    </row>
    <row r="907" spans="1:10" x14ac:dyDescent="0.3">
      <c r="A907" t="s">
        <v>1920</v>
      </c>
      <c r="B907" t="s">
        <v>13</v>
      </c>
      <c r="C907" t="s">
        <v>83</v>
      </c>
      <c r="D907" t="s">
        <v>84</v>
      </c>
      <c r="E907">
        <v>1691</v>
      </c>
      <c r="F907">
        <v>1170</v>
      </c>
      <c r="G907">
        <v>521</v>
      </c>
      <c r="H907">
        <v>1.1142107597827779</v>
      </c>
      <c r="I907">
        <v>0</v>
      </c>
      <c r="J907">
        <v>121604394.17264</v>
      </c>
    </row>
    <row r="908" spans="1:10" x14ac:dyDescent="0.3">
      <c r="A908" t="s">
        <v>1921</v>
      </c>
      <c r="B908" t="s">
        <v>13</v>
      </c>
      <c r="C908" t="s">
        <v>85</v>
      </c>
      <c r="D908" t="s">
        <v>85</v>
      </c>
      <c r="E908">
        <v>2026</v>
      </c>
      <c r="F908">
        <v>1548</v>
      </c>
      <c r="G908">
        <v>478</v>
      </c>
      <c r="H908">
        <v>1.902208075904237</v>
      </c>
      <c r="I908">
        <v>0</v>
      </c>
      <c r="J908">
        <v>65398488.14263054</v>
      </c>
    </row>
    <row r="909" spans="1:10" x14ac:dyDescent="0.3">
      <c r="A909" t="s">
        <v>1922</v>
      </c>
      <c r="B909" t="s">
        <v>13</v>
      </c>
      <c r="C909" t="s">
        <v>85</v>
      </c>
      <c r="D909" t="s">
        <v>87</v>
      </c>
      <c r="E909">
        <v>1690</v>
      </c>
      <c r="F909">
        <v>1336</v>
      </c>
      <c r="G909">
        <v>354</v>
      </c>
      <c r="H909">
        <v>1.691445833603074</v>
      </c>
      <c r="I909">
        <v>0</v>
      </c>
      <c r="J909">
        <v>70129985.711157143</v>
      </c>
    </row>
    <row r="910" spans="1:10" x14ac:dyDescent="0.3">
      <c r="A910" t="s">
        <v>1923</v>
      </c>
      <c r="B910" t="s">
        <v>90</v>
      </c>
      <c r="C910" t="s">
        <v>91</v>
      </c>
      <c r="D910" t="s">
        <v>92</v>
      </c>
      <c r="E910">
        <v>1859</v>
      </c>
      <c r="F910">
        <v>240</v>
      </c>
      <c r="G910">
        <v>1619</v>
      </c>
      <c r="H910">
        <v>0.75574304503746836</v>
      </c>
      <c r="I910">
        <v>0</v>
      </c>
      <c r="J910">
        <v>117759129.1017286</v>
      </c>
    </row>
    <row r="911" spans="1:10" x14ac:dyDescent="0.3">
      <c r="A911" t="s">
        <v>1924</v>
      </c>
      <c r="B911" t="s">
        <v>117</v>
      </c>
      <c r="C911" t="s">
        <v>117</v>
      </c>
      <c r="D911" t="s">
        <v>131</v>
      </c>
      <c r="E911">
        <v>3191</v>
      </c>
      <c r="F911">
        <v>871</v>
      </c>
      <c r="G911">
        <v>2320</v>
      </c>
      <c r="H911">
        <v>0.8764552350516388</v>
      </c>
      <c r="I911">
        <v>0</v>
      </c>
      <c r="J911">
        <v>217778200.36489359</v>
      </c>
    </row>
    <row r="912" spans="1:10" x14ac:dyDescent="0.3">
      <c r="A912" t="s">
        <v>1925</v>
      </c>
      <c r="B912" t="s">
        <v>117</v>
      </c>
      <c r="C912" t="s">
        <v>117</v>
      </c>
      <c r="D912" t="s">
        <v>140</v>
      </c>
      <c r="E912">
        <v>1356</v>
      </c>
      <c r="F912">
        <v>581</v>
      </c>
      <c r="G912">
        <v>775</v>
      </c>
      <c r="H912">
        <v>0.78781994349914941</v>
      </c>
      <c r="I912">
        <v>0</v>
      </c>
      <c r="J912">
        <v>68036862.187057689</v>
      </c>
    </row>
    <row r="913" spans="1:10" x14ac:dyDescent="0.3">
      <c r="A913" t="s">
        <v>1926</v>
      </c>
      <c r="B913" t="s">
        <v>117</v>
      </c>
      <c r="C913" t="s">
        <v>142</v>
      </c>
      <c r="D913" t="s">
        <v>144</v>
      </c>
      <c r="E913">
        <v>10864</v>
      </c>
      <c r="F913">
        <v>3942</v>
      </c>
      <c r="G913">
        <v>6922</v>
      </c>
      <c r="H913">
        <v>1.613393549207605</v>
      </c>
      <c r="I913">
        <v>0</v>
      </c>
      <c r="J913">
        <v>151420475.41930261</v>
      </c>
    </row>
    <row r="914" spans="1:10" x14ac:dyDescent="0.3">
      <c r="A914" t="s">
        <v>1927</v>
      </c>
      <c r="B914" t="s">
        <v>149</v>
      </c>
      <c r="C914" t="s">
        <v>174</v>
      </c>
      <c r="D914" t="s">
        <v>177</v>
      </c>
      <c r="E914">
        <v>641</v>
      </c>
      <c r="F914">
        <v>305</v>
      </c>
      <c r="G914">
        <v>336</v>
      </c>
      <c r="H914">
        <v>0.97937460475310656</v>
      </c>
      <c r="I914">
        <v>0</v>
      </c>
      <c r="J914">
        <v>39427389.115394592</v>
      </c>
    </row>
    <row r="915" spans="1:10" x14ac:dyDescent="0.3">
      <c r="A915" t="s">
        <v>1928</v>
      </c>
      <c r="B915" t="s">
        <v>149</v>
      </c>
      <c r="C915" t="s">
        <v>174</v>
      </c>
      <c r="D915" t="s">
        <v>179</v>
      </c>
      <c r="E915">
        <v>3386</v>
      </c>
      <c r="F915">
        <v>2006</v>
      </c>
      <c r="G915">
        <v>1380</v>
      </c>
      <c r="H915">
        <v>1.7907285725864179</v>
      </c>
      <c r="I915">
        <v>0</v>
      </c>
      <c r="J915">
        <v>112034428.8035332</v>
      </c>
    </row>
    <row r="916" spans="1:10" x14ac:dyDescent="0.3">
      <c r="A916" t="s">
        <v>1929</v>
      </c>
      <c r="B916" t="s">
        <v>149</v>
      </c>
      <c r="C916" t="s">
        <v>174</v>
      </c>
      <c r="D916" t="s">
        <v>180</v>
      </c>
      <c r="E916">
        <v>929</v>
      </c>
      <c r="F916">
        <v>366</v>
      </c>
      <c r="G916">
        <v>563</v>
      </c>
      <c r="H916">
        <v>1.6450034122128629</v>
      </c>
      <c r="I916">
        <v>0</v>
      </c>
      <c r="J916">
        <v>18618360.87754301</v>
      </c>
    </row>
    <row r="917" spans="1:10" x14ac:dyDescent="0.3">
      <c r="A917" t="s">
        <v>1930</v>
      </c>
      <c r="B917" t="s">
        <v>149</v>
      </c>
      <c r="C917" t="s">
        <v>181</v>
      </c>
      <c r="D917" t="s">
        <v>183</v>
      </c>
      <c r="E917">
        <v>1482</v>
      </c>
      <c r="F917">
        <v>809</v>
      </c>
      <c r="G917">
        <v>673</v>
      </c>
      <c r="H917">
        <v>1.616261806335848</v>
      </c>
      <c r="I917">
        <v>0</v>
      </c>
      <c r="J917">
        <v>33210375.741317101</v>
      </c>
    </row>
    <row r="918" spans="1:10" x14ac:dyDescent="0.3">
      <c r="A918" t="s">
        <v>1931</v>
      </c>
      <c r="B918" t="s">
        <v>184</v>
      </c>
      <c r="C918" t="s">
        <v>199</v>
      </c>
      <c r="D918" t="s">
        <v>203</v>
      </c>
      <c r="E918">
        <v>1762</v>
      </c>
      <c r="F918">
        <v>39</v>
      </c>
      <c r="G918">
        <v>1723</v>
      </c>
      <c r="H918">
        <v>0.61712242153411145</v>
      </c>
      <c r="I918">
        <v>0</v>
      </c>
      <c r="J918">
        <v>117963625.61211181</v>
      </c>
    </row>
    <row r="919" spans="1:10" x14ac:dyDescent="0.3">
      <c r="A919" t="s">
        <v>1932</v>
      </c>
      <c r="B919" t="s">
        <v>225</v>
      </c>
      <c r="C919" t="s">
        <v>237</v>
      </c>
      <c r="D919" t="s">
        <v>243</v>
      </c>
      <c r="E919">
        <v>588</v>
      </c>
      <c r="F919">
        <v>123</v>
      </c>
      <c r="G919">
        <v>465</v>
      </c>
      <c r="H919">
        <v>1.3908473066818461</v>
      </c>
      <c r="I919">
        <v>0</v>
      </c>
      <c r="J919">
        <v>20635779.295242049</v>
      </c>
    </row>
    <row r="920" spans="1:10" x14ac:dyDescent="0.3">
      <c r="A920" t="s">
        <v>1933</v>
      </c>
      <c r="B920" t="s">
        <v>225</v>
      </c>
      <c r="C920" t="s">
        <v>237</v>
      </c>
      <c r="D920" t="s">
        <v>244</v>
      </c>
      <c r="E920">
        <v>630</v>
      </c>
      <c r="F920">
        <v>265</v>
      </c>
      <c r="G920">
        <v>365</v>
      </c>
      <c r="H920">
        <v>1.31108893252881</v>
      </c>
      <c r="I920">
        <v>0</v>
      </c>
      <c r="J920">
        <v>20844794.42192452</v>
      </c>
    </row>
    <row r="921" spans="1:10" x14ac:dyDescent="0.3">
      <c r="A921" t="s">
        <v>1934</v>
      </c>
      <c r="B921" t="s">
        <v>225</v>
      </c>
      <c r="C921" t="s">
        <v>237</v>
      </c>
      <c r="D921" t="s">
        <v>245</v>
      </c>
      <c r="E921">
        <v>3383</v>
      </c>
      <c r="F921">
        <v>604</v>
      </c>
      <c r="G921">
        <v>2779</v>
      </c>
      <c r="H921">
        <v>1.0897557558764841</v>
      </c>
      <c r="I921">
        <v>0</v>
      </c>
      <c r="J921">
        <v>142032173.86255279</v>
      </c>
    </row>
    <row r="922" spans="1:10" x14ac:dyDescent="0.3">
      <c r="A922" t="s">
        <v>1935</v>
      </c>
      <c r="B922" t="s">
        <v>225</v>
      </c>
      <c r="C922" t="s">
        <v>254</v>
      </c>
      <c r="D922" t="s">
        <v>255</v>
      </c>
      <c r="E922">
        <v>684</v>
      </c>
      <c r="F922">
        <v>201</v>
      </c>
      <c r="G922">
        <v>483</v>
      </c>
      <c r="H922">
        <v>1.541713863812177</v>
      </c>
      <c r="I922">
        <v>0</v>
      </c>
      <c r="J922">
        <v>25276717.458457969</v>
      </c>
    </row>
    <row r="923" spans="1:10" x14ac:dyDescent="0.3">
      <c r="A923" t="s">
        <v>1936</v>
      </c>
      <c r="B923" t="s">
        <v>225</v>
      </c>
      <c r="C923" t="s">
        <v>254</v>
      </c>
      <c r="D923" t="s">
        <v>256</v>
      </c>
      <c r="E923">
        <v>724</v>
      </c>
      <c r="F923">
        <v>94</v>
      </c>
      <c r="G923">
        <v>630</v>
      </c>
      <c r="H923">
        <v>0.93772937331128037</v>
      </c>
      <c r="I923">
        <v>0</v>
      </c>
      <c r="J923">
        <v>28853602.734274291</v>
      </c>
    </row>
    <row r="924" spans="1:10" x14ac:dyDescent="0.3">
      <c r="A924" t="s">
        <v>1937</v>
      </c>
      <c r="B924" t="s">
        <v>225</v>
      </c>
      <c r="C924" t="s">
        <v>254</v>
      </c>
      <c r="D924" t="s">
        <v>258</v>
      </c>
      <c r="E924">
        <v>1312</v>
      </c>
      <c r="F924">
        <v>567</v>
      </c>
      <c r="G924">
        <v>745</v>
      </c>
      <c r="H924">
        <v>1.0700512206572901</v>
      </c>
      <c r="I924">
        <v>0</v>
      </c>
      <c r="J924">
        <v>66557209.259205602</v>
      </c>
    </row>
    <row r="925" spans="1:10" x14ac:dyDescent="0.3">
      <c r="A925" t="s">
        <v>1938</v>
      </c>
      <c r="B925" t="s">
        <v>225</v>
      </c>
      <c r="C925" t="s">
        <v>262</v>
      </c>
      <c r="D925" t="s">
        <v>265</v>
      </c>
      <c r="E925">
        <v>659</v>
      </c>
      <c r="F925">
        <v>434</v>
      </c>
      <c r="G925">
        <v>225</v>
      </c>
      <c r="H925">
        <v>2.1385475952699999</v>
      </c>
      <c r="I925">
        <v>0</v>
      </c>
      <c r="J925">
        <v>10184544.229289589</v>
      </c>
    </row>
    <row r="926" spans="1:10" x14ac:dyDescent="0.3">
      <c r="A926" t="s">
        <v>1939</v>
      </c>
      <c r="B926" t="s">
        <v>225</v>
      </c>
      <c r="C926" t="s">
        <v>262</v>
      </c>
      <c r="D926" t="s">
        <v>268</v>
      </c>
      <c r="E926">
        <v>872</v>
      </c>
      <c r="F926">
        <v>233</v>
      </c>
      <c r="G926">
        <v>639</v>
      </c>
      <c r="H926">
        <v>1.460403757957071</v>
      </c>
      <c r="I926">
        <v>0</v>
      </c>
      <c r="J926">
        <v>14529066.327125899</v>
      </c>
    </row>
    <row r="927" spans="1:10" x14ac:dyDescent="0.3">
      <c r="A927" t="s">
        <v>1940</v>
      </c>
      <c r="B927" t="s">
        <v>225</v>
      </c>
      <c r="C927" t="s">
        <v>262</v>
      </c>
      <c r="D927" t="s">
        <v>269</v>
      </c>
      <c r="E927">
        <v>1471</v>
      </c>
      <c r="F927">
        <v>260</v>
      </c>
      <c r="G927">
        <v>1211</v>
      </c>
      <c r="H927">
        <v>1.153980736674042</v>
      </c>
      <c r="I927">
        <v>0</v>
      </c>
      <c r="J927">
        <v>29165410.919427998</v>
      </c>
    </row>
    <row r="928" spans="1:10" x14ac:dyDescent="0.3">
      <c r="A928" t="s">
        <v>1941</v>
      </c>
      <c r="B928" t="s">
        <v>225</v>
      </c>
      <c r="C928" t="s">
        <v>272</v>
      </c>
      <c r="D928" t="s">
        <v>274</v>
      </c>
      <c r="E928">
        <v>786</v>
      </c>
      <c r="F928">
        <v>294</v>
      </c>
      <c r="G928">
        <v>492</v>
      </c>
      <c r="H928">
        <v>0.73147741239589159</v>
      </c>
      <c r="I928">
        <v>0</v>
      </c>
      <c r="J928">
        <v>73937519.042771757</v>
      </c>
    </row>
    <row r="929" spans="1:10" x14ac:dyDescent="0.3">
      <c r="A929" t="s">
        <v>1942</v>
      </c>
      <c r="B929" t="s">
        <v>225</v>
      </c>
      <c r="C929" t="s">
        <v>272</v>
      </c>
      <c r="D929" t="s">
        <v>277</v>
      </c>
      <c r="E929">
        <v>389</v>
      </c>
      <c r="F929">
        <v>87</v>
      </c>
      <c r="G929">
        <v>302</v>
      </c>
      <c r="H929">
        <v>0.62547179802142006</v>
      </c>
      <c r="I929">
        <v>0</v>
      </c>
      <c r="J929">
        <v>89194304.464892507</v>
      </c>
    </row>
    <row r="930" spans="1:10" x14ac:dyDescent="0.3">
      <c r="A930" t="s">
        <v>1943</v>
      </c>
      <c r="B930" t="s">
        <v>280</v>
      </c>
      <c r="C930" t="s">
        <v>283</v>
      </c>
      <c r="D930" t="s">
        <v>287</v>
      </c>
      <c r="E930">
        <v>2243</v>
      </c>
      <c r="F930">
        <v>1079</v>
      </c>
      <c r="G930">
        <v>1164</v>
      </c>
      <c r="H930">
        <v>1.453420131411064</v>
      </c>
      <c r="I930">
        <v>0</v>
      </c>
      <c r="J930">
        <v>140647076.0288702</v>
      </c>
    </row>
    <row r="931" spans="1:10" x14ac:dyDescent="0.3">
      <c r="A931" t="s">
        <v>1944</v>
      </c>
      <c r="B931" t="s">
        <v>280</v>
      </c>
      <c r="C931" t="s">
        <v>288</v>
      </c>
      <c r="D931" t="s">
        <v>24</v>
      </c>
      <c r="E931">
        <v>2507</v>
      </c>
      <c r="F931">
        <v>1744</v>
      </c>
      <c r="G931">
        <v>763</v>
      </c>
      <c r="H931">
        <v>1.8713572880034539</v>
      </c>
      <c r="I931">
        <v>0</v>
      </c>
      <c r="J931">
        <v>49329009.940239184</v>
      </c>
    </row>
    <row r="932" spans="1:10" x14ac:dyDescent="0.3">
      <c r="A932" t="s">
        <v>1945</v>
      </c>
      <c r="B932" t="s">
        <v>280</v>
      </c>
      <c r="C932" t="s">
        <v>288</v>
      </c>
      <c r="D932" t="s">
        <v>289</v>
      </c>
      <c r="E932">
        <v>1413</v>
      </c>
      <c r="F932">
        <v>794</v>
      </c>
      <c r="G932">
        <v>619</v>
      </c>
      <c r="H932">
        <v>0.96931784983522962</v>
      </c>
      <c r="I932">
        <v>0</v>
      </c>
      <c r="J932">
        <v>100293053.3195058</v>
      </c>
    </row>
    <row r="933" spans="1:10" x14ac:dyDescent="0.3">
      <c r="A933" t="s">
        <v>1946</v>
      </c>
      <c r="B933" t="s">
        <v>280</v>
      </c>
      <c r="C933" t="s">
        <v>288</v>
      </c>
      <c r="D933" t="s">
        <v>290</v>
      </c>
      <c r="E933">
        <v>985</v>
      </c>
      <c r="F933">
        <v>466</v>
      </c>
      <c r="G933">
        <v>519</v>
      </c>
      <c r="H933">
        <v>1.2709346134373321</v>
      </c>
      <c r="I933">
        <v>0</v>
      </c>
      <c r="J933">
        <v>30533261.747789301</v>
      </c>
    </row>
    <row r="934" spans="1:10" x14ac:dyDescent="0.3">
      <c r="A934" t="s">
        <v>1947</v>
      </c>
      <c r="B934" t="s">
        <v>280</v>
      </c>
      <c r="C934" t="s">
        <v>288</v>
      </c>
      <c r="D934" t="s">
        <v>291</v>
      </c>
      <c r="E934">
        <v>435</v>
      </c>
      <c r="F934">
        <v>297</v>
      </c>
      <c r="G934">
        <v>138</v>
      </c>
      <c r="H934">
        <v>4.3982720809145013</v>
      </c>
      <c r="I934">
        <v>0</v>
      </c>
      <c r="J934">
        <v>2817837.484634256</v>
      </c>
    </row>
    <row r="935" spans="1:10" x14ac:dyDescent="0.3">
      <c r="A935" t="s">
        <v>1948</v>
      </c>
      <c r="B935" t="s">
        <v>280</v>
      </c>
      <c r="C935" t="s">
        <v>288</v>
      </c>
      <c r="D935" t="s">
        <v>292</v>
      </c>
      <c r="E935">
        <v>468</v>
      </c>
      <c r="F935">
        <v>248</v>
      </c>
      <c r="G935">
        <v>220</v>
      </c>
      <c r="H935">
        <v>3.3631023582069579</v>
      </c>
      <c r="I935">
        <v>0</v>
      </c>
      <c r="J935">
        <v>2443030.8031301619</v>
      </c>
    </row>
    <row r="936" spans="1:10" x14ac:dyDescent="0.3">
      <c r="A936" t="s">
        <v>1949</v>
      </c>
      <c r="B936" t="s">
        <v>280</v>
      </c>
      <c r="C936" t="s">
        <v>303</v>
      </c>
      <c r="D936" t="s">
        <v>304</v>
      </c>
      <c r="E936">
        <v>256</v>
      </c>
      <c r="F936">
        <v>139</v>
      </c>
      <c r="G936">
        <v>117</v>
      </c>
      <c r="H936">
        <v>0.97542646532897637</v>
      </c>
      <c r="I936">
        <v>0</v>
      </c>
      <c r="J936">
        <v>18608313.96193051</v>
      </c>
    </row>
    <row r="937" spans="1:10" x14ac:dyDescent="0.3">
      <c r="A937" t="s">
        <v>1950</v>
      </c>
      <c r="B937" t="s">
        <v>280</v>
      </c>
      <c r="C937" t="s">
        <v>305</v>
      </c>
      <c r="D937" t="s">
        <v>309</v>
      </c>
      <c r="E937">
        <v>4906</v>
      </c>
      <c r="F937">
        <v>2659</v>
      </c>
      <c r="G937">
        <v>2247</v>
      </c>
      <c r="H937">
        <v>1.2582735130012439</v>
      </c>
      <c r="I937">
        <v>0</v>
      </c>
      <c r="J937">
        <v>148901053.9082163</v>
      </c>
    </row>
    <row r="938" spans="1:10" x14ac:dyDescent="0.3">
      <c r="A938" t="s">
        <v>1951</v>
      </c>
      <c r="B938" t="s">
        <v>280</v>
      </c>
      <c r="C938" t="s">
        <v>305</v>
      </c>
      <c r="D938" t="s">
        <v>311</v>
      </c>
      <c r="E938">
        <v>2165</v>
      </c>
      <c r="F938">
        <v>1109</v>
      </c>
      <c r="G938">
        <v>1056</v>
      </c>
      <c r="H938">
        <v>3.7164063005254762</v>
      </c>
      <c r="I938">
        <v>0</v>
      </c>
      <c r="J938">
        <v>27119803.726722721</v>
      </c>
    </row>
    <row r="939" spans="1:10" x14ac:dyDescent="0.3">
      <c r="A939" t="s">
        <v>1952</v>
      </c>
      <c r="B939" t="s">
        <v>280</v>
      </c>
      <c r="C939" t="s">
        <v>312</v>
      </c>
      <c r="D939" t="s">
        <v>313</v>
      </c>
      <c r="E939">
        <v>1820</v>
      </c>
      <c r="F939">
        <v>540</v>
      </c>
      <c r="G939">
        <v>1280</v>
      </c>
      <c r="H939">
        <v>0.85994203596324204</v>
      </c>
      <c r="I939">
        <v>0</v>
      </c>
      <c r="J939">
        <v>145177015.58348289</v>
      </c>
    </row>
    <row r="940" spans="1:10" x14ac:dyDescent="0.3">
      <c r="A940" t="s">
        <v>1953</v>
      </c>
      <c r="B940" t="s">
        <v>280</v>
      </c>
      <c r="C940" t="s">
        <v>312</v>
      </c>
      <c r="D940" t="s">
        <v>314</v>
      </c>
      <c r="E940">
        <v>1357</v>
      </c>
      <c r="F940">
        <v>534</v>
      </c>
      <c r="G940">
        <v>823</v>
      </c>
      <c r="H940">
        <v>0.93745313327164281</v>
      </c>
      <c r="I940">
        <v>0</v>
      </c>
      <c r="J940">
        <v>60438593.771347947</v>
      </c>
    </row>
    <row r="941" spans="1:10" x14ac:dyDescent="0.3">
      <c r="A941" t="s">
        <v>1954</v>
      </c>
      <c r="B941" t="s">
        <v>280</v>
      </c>
      <c r="C941" t="s">
        <v>312</v>
      </c>
      <c r="D941" t="s">
        <v>316</v>
      </c>
      <c r="E941">
        <v>517</v>
      </c>
      <c r="F941">
        <v>370</v>
      </c>
      <c r="G941">
        <v>147</v>
      </c>
      <c r="H941">
        <v>1.0227378993045511</v>
      </c>
      <c r="I941">
        <v>0</v>
      </c>
      <c r="J941">
        <v>40347817.873863533</v>
      </c>
    </row>
    <row r="942" spans="1:10" x14ac:dyDescent="0.3">
      <c r="A942" t="s">
        <v>1955</v>
      </c>
      <c r="B942" t="s">
        <v>280</v>
      </c>
      <c r="C942" t="s">
        <v>312</v>
      </c>
      <c r="D942" t="s">
        <v>317</v>
      </c>
      <c r="E942">
        <v>1193</v>
      </c>
      <c r="F942">
        <v>507</v>
      </c>
      <c r="G942">
        <v>686</v>
      </c>
      <c r="H942">
        <v>1.5710452029938531</v>
      </c>
      <c r="I942">
        <v>0</v>
      </c>
      <c r="J942">
        <v>47599690.675527729</v>
      </c>
    </row>
    <row r="943" spans="1:10" x14ac:dyDescent="0.3">
      <c r="A943" t="s">
        <v>1956</v>
      </c>
      <c r="B943" t="s">
        <v>280</v>
      </c>
      <c r="C943" t="s">
        <v>319</v>
      </c>
      <c r="D943" t="s">
        <v>321</v>
      </c>
      <c r="E943">
        <v>692</v>
      </c>
      <c r="F943">
        <v>153</v>
      </c>
      <c r="G943">
        <v>539</v>
      </c>
      <c r="H943">
        <v>0.7799452111752464</v>
      </c>
      <c r="I943">
        <v>0</v>
      </c>
      <c r="J943">
        <v>77889224.575242832</v>
      </c>
    </row>
    <row r="944" spans="1:10" x14ac:dyDescent="0.3">
      <c r="A944" t="s">
        <v>1957</v>
      </c>
      <c r="B944" t="s">
        <v>280</v>
      </c>
      <c r="C944" t="s">
        <v>323</v>
      </c>
      <c r="D944" t="s">
        <v>326</v>
      </c>
      <c r="E944">
        <v>2435</v>
      </c>
      <c r="F944">
        <v>1621</v>
      </c>
      <c r="G944">
        <v>814</v>
      </c>
      <c r="H944">
        <v>1.5244077990888869</v>
      </c>
      <c r="I944">
        <v>0</v>
      </c>
      <c r="J944">
        <v>65927978.076058611</v>
      </c>
    </row>
    <row r="945" spans="1:10" x14ac:dyDescent="0.3">
      <c r="A945" t="s">
        <v>1958</v>
      </c>
      <c r="B945" t="s">
        <v>280</v>
      </c>
      <c r="C945" t="s">
        <v>323</v>
      </c>
      <c r="D945" t="s">
        <v>138</v>
      </c>
      <c r="E945">
        <v>1446</v>
      </c>
      <c r="F945">
        <v>951</v>
      </c>
      <c r="G945">
        <v>495</v>
      </c>
      <c r="H945">
        <v>3.1329064700110192</v>
      </c>
      <c r="I945">
        <v>0</v>
      </c>
      <c r="J945">
        <v>22550489.917779699</v>
      </c>
    </row>
    <row r="946" spans="1:10" x14ac:dyDescent="0.3">
      <c r="A946" t="s">
        <v>1959</v>
      </c>
      <c r="B946" t="s">
        <v>280</v>
      </c>
      <c r="C946" t="s">
        <v>323</v>
      </c>
      <c r="D946" t="s">
        <v>327</v>
      </c>
      <c r="E946">
        <v>2172</v>
      </c>
      <c r="F946">
        <v>1417</v>
      </c>
      <c r="G946">
        <v>755</v>
      </c>
      <c r="H946">
        <v>0.9798482136275064</v>
      </c>
      <c r="I946">
        <v>0</v>
      </c>
      <c r="J946">
        <v>66463810.690266088</v>
      </c>
    </row>
    <row r="947" spans="1:10" x14ac:dyDescent="0.3">
      <c r="A947" t="s">
        <v>1960</v>
      </c>
      <c r="B947" t="s">
        <v>280</v>
      </c>
      <c r="C947" t="s">
        <v>323</v>
      </c>
      <c r="D947" t="s">
        <v>328</v>
      </c>
      <c r="E947">
        <v>3701</v>
      </c>
      <c r="F947">
        <v>1768</v>
      </c>
      <c r="G947">
        <v>1933</v>
      </c>
      <c r="H947">
        <v>1.270035704378579</v>
      </c>
      <c r="I947">
        <v>0</v>
      </c>
      <c r="J947">
        <v>113230798.3465877</v>
      </c>
    </row>
    <row r="948" spans="1:10" x14ac:dyDescent="0.3">
      <c r="A948" t="s">
        <v>1961</v>
      </c>
      <c r="B948" t="s">
        <v>280</v>
      </c>
      <c r="C948" t="s">
        <v>329</v>
      </c>
      <c r="D948" t="s">
        <v>330</v>
      </c>
      <c r="E948">
        <v>1333</v>
      </c>
      <c r="F948">
        <v>40</v>
      </c>
      <c r="G948">
        <v>1293</v>
      </c>
      <c r="H948">
        <v>0.97063139381600161</v>
      </c>
      <c r="I948">
        <v>0</v>
      </c>
      <c r="J948">
        <v>75836396.468999714</v>
      </c>
    </row>
    <row r="949" spans="1:10" x14ac:dyDescent="0.3">
      <c r="A949" t="s">
        <v>1962</v>
      </c>
      <c r="B949" t="s">
        <v>280</v>
      </c>
      <c r="C949" t="s">
        <v>329</v>
      </c>
      <c r="D949" t="s">
        <v>332</v>
      </c>
      <c r="E949">
        <v>2195</v>
      </c>
      <c r="F949">
        <v>192</v>
      </c>
      <c r="G949">
        <v>2003</v>
      </c>
      <c r="H949">
        <v>0.7465488056061893</v>
      </c>
      <c r="I949">
        <v>0</v>
      </c>
      <c r="J949">
        <v>180620157.42646199</v>
      </c>
    </row>
    <row r="950" spans="1:10" x14ac:dyDescent="0.3">
      <c r="A950" t="s">
        <v>1963</v>
      </c>
      <c r="B950" t="s">
        <v>280</v>
      </c>
      <c r="C950" t="s">
        <v>329</v>
      </c>
      <c r="D950" t="s">
        <v>337</v>
      </c>
      <c r="E950">
        <v>1594</v>
      </c>
      <c r="F950">
        <v>520</v>
      </c>
      <c r="G950">
        <v>1074</v>
      </c>
      <c r="H950">
        <v>1.304139286678007</v>
      </c>
      <c r="I950">
        <v>0</v>
      </c>
      <c r="J950">
        <v>45254526.785903648</v>
      </c>
    </row>
    <row r="951" spans="1:10" x14ac:dyDescent="0.3">
      <c r="A951" t="s">
        <v>1964</v>
      </c>
      <c r="B951" t="s">
        <v>280</v>
      </c>
      <c r="C951" t="s">
        <v>339</v>
      </c>
      <c r="D951" t="s">
        <v>169</v>
      </c>
      <c r="E951">
        <v>700</v>
      </c>
      <c r="F951">
        <v>350</v>
      </c>
      <c r="G951">
        <v>350</v>
      </c>
      <c r="H951">
        <v>0.97778957565947044</v>
      </c>
      <c r="I951">
        <v>0</v>
      </c>
      <c r="J951">
        <v>28853870.309515242</v>
      </c>
    </row>
    <row r="952" spans="1:10" x14ac:dyDescent="0.3">
      <c r="A952" t="s">
        <v>1965</v>
      </c>
      <c r="B952" t="s">
        <v>341</v>
      </c>
      <c r="C952" t="s">
        <v>341</v>
      </c>
      <c r="D952" t="s">
        <v>343</v>
      </c>
      <c r="E952">
        <v>2760</v>
      </c>
      <c r="F952">
        <v>106</v>
      </c>
      <c r="G952">
        <v>2654</v>
      </c>
      <c r="H952">
        <v>0.64883190745969044</v>
      </c>
      <c r="I952">
        <v>0</v>
      </c>
      <c r="J952">
        <v>289336121.58748162</v>
      </c>
    </row>
    <row r="953" spans="1:10" x14ac:dyDescent="0.3">
      <c r="A953" t="s">
        <v>1966</v>
      </c>
      <c r="B953" t="s">
        <v>341</v>
      </c>
      <c r="C953" t="s">
        <v>350</v>
      </c>
      <c r="D953" t="s">
        <v>351</v>
      </c>
      <c r="E953">
        <v>5779</v>
      </c>
      <c r="F953">
        <v>1503</v>
      </c>
      <c r="G953">
        <v>4276</v>
      </c>
      <c r="H953">
        <v>1.358908736329997</v>
      </c>
      <c r="I953">
        <v>0</v>
      </c>
      <c r="J953">
        <v>97176027.729120359</v>
      </c>
    </row>
    <row r="954" spans="1:10" x14ac:dyDescent="0.3">
      <c r="A954" t="s">
        <v>1967</v>
      </c>
      <c r="B954" t="s">
        <v>341</v>
      </c>
      <c r="C954" t="s">
        <v>350</v>
      </c>
      <c r="D954" t="s">
        <v>352</v>
      </c>
      <c r="E954">
        <v>3075</v>
      </c>
      <c r="F954">
        <v>64</v>
      </c>
      <c r="G954">
        <v>3011</v>
      </c>
      <c r="H954">
        <v>0.66057988269743884</v>
      </c>
      <c r="I954">
        <v>0</v>
      </c>
      <c r="J954">
        <v>218743928.82419151</v>
      </c>
    </row>
    <row r="955" spans="1:10" x14ac:dyDescent="0.3">
      <c r="A955" t="s">
        <v>1968</v>
      </c>
      <c r="B955" t="s">
        <v>341</v>
      </c>
      <c r="C955" t="s">
        <v>350</v>
      </c>
      <c r="D955" t="s">
        <v>355</v>
      </c>
      <c r="E955">
        <v>534</v>
      </c>
      <c r="F955">
        <v>26</v>
      </c>
      <c r="G955">
        <v>508</v>
      </c>
      <c r="H955">
        <v>0.57242533570148635</v>
      </c>
      <c r="I955">
        <v>0</v>
      </c>
      <c r="J955">
        <v>765238654.66826546</v>
      </c>
    </row>
    <row r="956" spans="1:10" x14ac:dyDescent="0.3">
      <c r="A956" t="s">
        <v>1969</v>
      </c>
      <c r="B956" t="s">
        <v>341</v>
      </c>
      <c r="C956" t="s">
        <v>350</v>
      </c>
      <c r="D956" t="s">
        <v>357</v>
      </c>
      <c r="E956">
        <v>1838</v>
      </c>
      <c r="F956">
        <v>0</v>
      </c>
      <c r="G956">
        <v>1838</v>
      </c>
      <c r="H956">
        <v>0.66535429825992409</v>
      </c>
      <c r="I956">
        <v>0</v>
      </c>
      <c r="J956">
        <v>181207924.6181117</v>
      </c>
    </row>
    <row r="957" spans="1:10" x14ac:dyDescent="0.3">
      <c r="A957" t="s">
        <v>1970</v>
      </c>
      <c r="B957" t="s">
        <v>341</v>
      </c>
      <c r="C957" t="s">
        <v>350</v>
      </c>
      <c r="D957" t="s">
        <v>359</v>
      </c>
      <c r="E957">
        <v>1466</v>
      </c>
      <c r="F957">
        <v>199</v>
      </c>
      <c r="G957">
        <v>1267</v>
      </c>
      <c r="H957">
        <v>0.57120354826072561</v>
      </c>
      <c r="I957">
        <v>0</v>
      </c>
      <c r="J957">
        <v>49668353.162611783</v>
      </c>
    </row>
    <row r="958" spans="1:10" x14ac:dyDescent="0.3">
      <c r="A958" t="s">
        <v>1971</v>
      </c>
      <c r="B958" t="s">
        <v>341</v>
      </c>
      <c r="C958" t="s">
        <v>350</v>
      </c>
      <c r="D958" t="s">
        <v>361</v>
      </c>
      <c r="E958">
        <v>2200</v>
      </c>
      <c r="F958">
        <v>206</v>
      </c>
      <c r="G958">
        <v>1994</v>
      </c>
      <c r="H958">
        <v>0.67030489853391406</v>
      </c>
      <c r="I958">
        <v>0</v>
      </c>
      <c r="J958">
        <v>71897297.233913884</v>
      </c>
    </row>
    <row r="959" spans="1:10" x14ac:dyDescent="0.3">
      <c r="A959" t="s">
        <v>1972</v>
      </c>
      <c r="B959" t="s">
        <v>341</v>
      </c>
      <c r="C959" t="s">
        <v>350</v>
      </c>
      <c r="D959" t="s">
        <v>363</v>
      </c>
      <c r="E959">
        <v>1153</v>
      </c>
      <c r="F959">
        <v>490</v>
      </c>
      <c r="G959">
        <v>663</v>
      </c>
      <c r="H959">
        <v>0.68372641962730407</v>
      </c>
      <c r="I959">
        <v>0</v>
      </c>
      <c r="J959">
        <v>21948291.39352686</v>
      </c>
    </row>
    <row r="960" spans="1:10" x14ac:dyDescent="0.3">
      <c r="A960" t="s">
        <v>1973</v>
      </c>
      <c r="B960" t="s">
        <v>341</v>
      </c>
      <c r="C960" t="s">
        <v>373</v>
      </c>
      <c r="D960" t="s">
        <v>376</v>
      </c>
      <c r="E960">
        <v>3241</v>
      </c>
      <c r="F960">
        <v>184</v>
      </c>
      <c r="G960">
        <v>3057</v>
      </c>
      <c r="H960">
        <v>0.60877187445529957</v>
      </c>
      <c r="I960">
        <v>0</v>
      </c>
      <c r="J960">
        <v>183621271.44426239</v>
      </c>
    </row>
    <row r="961" spans="1:10" x14ac:dyDescent="0.3">
      <c r="A961" t="s">
        <v>1974</v>
      </c>
      <c r="B961" t="s">
        <v>341</v>
      </c>
      <c r="C961" t="s">
        <v>373</v>
      </c>
      <c r="D961" t="s">
        <v>377</v>
      </c>
      <c r="E961">
        <v>19862</v>
      </c>
      <c r="F961">
        <v>602</v>
      </c>
      <c r="G961">
        <v>19260</v>
      </c>
      <c r="H961">
        <v>0.69682098796915137</v>
      </c>
      <c r="I961">
        <v>0</v>
      </c>
      <c r="J961">
        <v>1005162969.782281</v>
      </c>
    </row>
    <row r="962" spans="1:10" x14ac:dyDescent="0.3">
      <c r="A962" t="s">
        <v>1975</v>
      </c>
      <c r="B962" t="s">
        <v>341</v>
      </c>
      <c r="C962" t="s">
        <v>95</v>
      </c>
      <c r="D962" t="s">
        <v>379</v>
      </c>
      <c r="E962">
        <v>1866</v>
      </c>
      <c r="F962">
        <v>304</v>
      </c>
      <c r="G962">
        <v>1562</v>
      </c>
      <c r="H962">
        <v>0.61159911911747544</v>
      </c>
      <c r="I962">
        <v>0</v>
      </c>
      <c r="J962">
        <v>1136258665.6468711</v>
      </c>
    </row>
    <row r="963" spans="1:10" x14ac:dyDescent="0.3">
      <c r="A963" t="s">
        <v>1976</v>
      </c>
      <c r="B963" t="s">
        <v>341</v>
      </c>
      <c r="C963" t="s">
        <v>95</v>
      </c>
      <c r="D963" t="s">
        <v>381</v>
      </c>
      <c r="E963">
        <v>1164</v>
      </c>
      <c r="F963">
        <v>32</v>
      </c>
      <c r="G963">
        <v>1132</v>
      </c>
      <c r="H963">
        <v>1.3354157933853339</v>
      </c>
      <c r="I963">
        <v>0</v>
      </c>
      <c r="J963">
        <v>31979169.523108281</v>
      </c>
    </row>
    <row r="964" spans="1:10" x14ac:dyDescent="0.3">
      <c r="A964" t="s">
        <v>1977</v>
      </c>
      <c r="B964" t="s">
        <v>341</v>
      </c>
      <c r="C964" t="s">
        <v>95</v>
      </c>
      <c r="D964" t="s">
        <v>382</v>
      </c>
      <c r="E964">
        <v>1117</v>
      </c>
      <c r="F964">
        <v>326</v>
      </c>
      <c r="G964">
        <v>791</v>
      </c>
      <c r="H964">
        <v>0.81306742797711462</v>
      </c>
      <c r="I964">
        <v>0</v>
      </c>
      <c r="J964">
        <v>69116135.142892689</v>
      </c>
    </row>
    <row r="965" spans="1:10" x14ac:dyDescent="0.3">
      <c r="A965" t="s">
        <v>1978</v>
      </c>
      <c r="B965" t="s">
        <v>341</v>
      </c>
      <c r="C965" t="s">
        <v>95</v>
      </c>
      <c r="D965" t="s">
        <v>383</v>
      </c>
      <c r="E965">
        <v>247</v>
      </c>
      <c r="F965">
        <v>95</v>
      </c>
      <c r="G965">
        <v>152</v>
      </c>
      <c r="H965">
        <v>0.66726879609880463</v>
      </c>
      <c r="I965">
        <v>0</v>
      </c>
      <c r="J965">
        <v>218794192.20440769</v>
      </c>
    </row>
    <row r="966" spans="1:10" x14ac:dyDescent="0.3">
      <c r="A966" t="s">
        <v>1979</v>
      </c>
      <c r="B966" t="s">
        <v>341</v>
      </c>
      <c r="C966" t="s">
        <v>95</v>
      </c>
      <c r="D966" t="s">
        <v>385</v>
      </c>
      <c r="E966">
        <v>786</v>
      </c>
      <c r="F966">
        <v>219</v>
      </c>
      <c r="G966">
        <v>567</v>
      </c>
      <c r="H966">
        <v>0.92209480936212995</v>
      </c>
      <c r="I966">
        <v>0</v>
      </c>
      <c r="J966">
        <v>45830605.596574172</v>
      </c>
    </row>
    <row r="967" spans="1:10" x14ac:dyDescent="0.3">
      <c r="A967" t="s">
        <v>1980</v>
      </c>
      <c r="B967" t="s">
        <v>341</v>
      </c>
      <c r="C967" t="s">
        <v>95</v>
      </c>
      <c r="D967" t="s">
        <v>386</v>
      </c>
      <c r="E967">
        <v>1636</v>
      </c>
      <c r="F967">
        <v>429</v>
      </c>
      <c r="G967">
        <v>1207</v>
      </c>
      <c r="H967">
        <v>0.63237843868602395</v>
      </c>
      <c r="I967">
        <v>0</v>
      </c>
      <c r="J967">
        <v>81137789.007875264</v>
      </c>
    </row>
    <row r="968" spans="1:10" x14ac:dyDescent="0.3">
      <c r="A968" t="s">
        <v>1981</v>
      </c>
      <c r="B968" t="s">
        <v>341</v>
      </c>
      <c r="C968" t="s">
        <v>95</v>
      </c>
      <c r="D968" t="s">
        <v>387</v>
      </c>
      <c r="E968">
        <v>1360</v>
      </c>
      <c r="F968">
        <v>9</v>
      </c>
      <c r="G968">
        <v>1351</v>
      </c>
      <c r="H968">
        <v>1.0248810942890221</v>
      </c>
      <c r="I968">
        <v>0</v>
      </c>
      <c r="J968">
        <v>227148267.35547569</v>
      </c>
    </row>
    <row r="969" spans="1:10" x14ac:dyDescent="0.3">
      <c r="A969" t="s">
        <v>1982</v>
      </c>
      <c r="B969" t="s">
        <v>341</v>
      </c>
      <c r="C969" t="s">
        <v>95</v>
      </c>
      <c r="D969" t="s">
        <v>157</v>
      </c>
      <c r="E969">
        <v>511</v>
      </c>
      <c r="F969">
        <v>149</v>
      </c>
      <c r="G969">
        <v>362</v>
      </c>
      <c r="H969">
        <v>0.676576943624146</v>
      </c>
      <c r="I969">
        <v>0</v>
      </c>
      <c r="J969">
        <v>100300686.3581726</v>
      </c>
    </row>
    <row r="970" spans="1:10" x14ac:dyDescent="0.3">
      <c r="A970" t="s">
        <v>1983</v>
      </c>
      <c r="B970" t="s">
        <v>341</v>
      </c>
      <c r="C970" t="s">
        <v>393</v>
      </c>
      <c r="D970" t="s">
        <v>395</v>
      </c>
      <c r="E970">
        <v>4508</v>
      </c>
      <c r="F970">
        <v>58</v>
      </c>
      <c r="G970">
        <v>4450</v>
      </c>
      <c r="H970">
        <v>0.58924699297620986</v>
      </c>
      <c r="I970">
        <v>0</v>
      </c>
      <c r="J970">
        <v>539470235.17225051</v>
      </c>
    </row>
    <row r="971" spans="1:10" x14ac:dyDescent="0.3">
      <c r="A971" t="s">
        <v>1984</v>
      </c>
      <c r="B971" t="s">
        <v>399</v>
      </c>
      <c r="C971" t="s">
        <v>409</v>
      </c>
      <c r="D971" t="s">
        <v>410</v>
      </c>
      <c r="E971">
        <v>5904</v>
      </c>
      <c r="F971">
        <v>689</v>
      </c>
      <c r="G971">
        <v>5215</v>
      </c>
      <c r="H971">
        <v>0.89000387503566392</v>
      </c>
      <c r="I971">
        <v>0</v>
      </c>
      <c r="J971">
        <v>213264023.9504894</v>
      </c>
    </row>
    <row r="972" spans="1:10" x14ac:dyDescent="0.3">
      <c r="A972" t="s">
        <v>1985</v>
      </c>
      <c r="B972" t="s">
        <v>399</v>
      </c>
      <c r="C972" t="s">
        <v>422</v>
      </c>
      <c r="D972" t="s">
        <v>425</v>
      </c>
      <c r="E972">
        <v>6182</v>
      </c>
      <c r="F972">
        <v>2284</v>
      </c>
      <c r="G972">
        <v>3898</v>
      </c>
      <c r="H972">
        <v>1.1852576088230571</v>
      </c>
      <c r="I972">
        <v>0</v>
      </c>
      <c r="J972">
        <v>131532543.6010212</v>
      </c>
    </row>
    <row r="973" spans="1:10" x14ac:dyDescent="0.3">
      <c r="A973" t="s">
        <v>1986</v>
      </c>
      <c r="B973" t="s">
        <v>399</v>
      </c>
      <c r="C973" t="s">
        <v>429</v>
      </c>
      <c r="D973" t="s">
        <v>430</v>
      </c>
      <c r="E973">
        <v>5751</v>
      </c>
      <c r="F973">
        <v>385</v>
      </c>
      <c r="G973">
        <v>5366</v>
      </c>
      <c r="H973">
        <v>1.477878817659356</v>
      </c>
      <c r="I973">
        <v>0</v>
      </c>
      <c r="J973">
        <v>100035165.85415339</v>
      </c>
    </row>
    <row r="974" spans="1:10" x14ac:dyDescent="0.3">
      <c r="A974" t="s">
        <v>1987</v>
      </c>
      <c r="B974" t="s">
        <v>399</v>
      </c>
      <c r="C974" t="s">
        <v>439</v>
      </c>
      <c r="D974" t="s">
        <v>441</v>
      </c>
      <c r="E974">
        <v>13139</v>
      </c>
      <c r="F974">
        <v>2775</v>
      </c>
      <c r="G974">
        <v>10364</v>
      </c>
      <c r="H974">
        <v>3.899582696874373</v>
      </c>
      <c r="I974">
        <v>0</v>
      </c>
      <c r="J974">
        <v>107528482.93559989</v>
      </c>
    </row>
    <row r="975" spans="1:10" x14ac:dyDescent="0.3">
      <c r="A975" t="s">
        <v>1988</v>
      </c>
      <c r="B975" t="s">
        <v>453</v>
      </c>
      <c r="C975" t="s">
        <v>466</v>
      </c>
      <c r="D975" t="s">
        <v>473</v>
      </c>
      <c r="E975">
        <v>592</v>
      </c>
      <c r="F975">
        <v>185</v>
      </c>
      <c r="G975">
        <v>407</v>
      </c>
      <c r="H975">
        <v>0.84561712041859749</v>
      </c>
      <c r="I975">
        <v>0</v>
      </c>
      <c r="J975">
        <v>54906513.331152722</v>
      </c>
    </row>
    <row r="976" spans="1:10" x14ac:dyDescent="0.3">
      <c r="A976" t="s">
        <v>1989</v>
      </c>
      <c r="B976" t="s">
        <v>453</v>
      </c>
      <c r="C976" t="s">
        <v>474</v>
      </c>
      <c r="D976" t="s">
        <v>478</v>
      </c>
      <c r="E976">
        <v>221</v>
      </c>
      <c r="F976">
        <v>86</v>
      </c>
      <c r="G976">
        <v>135</v>
      </c>
      <c r="H976">
        <v>0.95189448638765639</v>
      </c>
      <c r="I976">
        <v>0</v>
      </c>
      <c r="J976">
        <v>9955712.7632541247</v>
      </c>
    </row>
    <row r="977" spans="1:10" x14ac:dyDescent="0.3">
      <c r="A977" t="s">
        <v>1990</v>
      </c>
      <c r="B977" t="s">
        <v>453</v>
      </c>
      <c r="C977" t="s">
        <v>481</v>
      </c>
      <c r="D977" t="s">
        <v>482</v>
      </c>
      <c r="E977">
        <v>1020</v>
      </c>
      <c r="F977">
        <v>95</v>
      </c>
      <c r="G977">
        <v>925</v>
      </c>
      <c r="H977">
        <v>1.096873872729875</v>
      </c>
      <c r="I977">
        <v>0</v>
      </c>
      <c r="J977">
        <v>49488185.804452352</v>
      </c>
    </row>
    <row r="978" spans="1:10" x14ac:dyDescent="0.3">
      <c r="A978" t="s">
        <v>1991</v>
      </c>
      <c r="B978" t="s">
        <v>492</v>
      </c>
      <c r="C978" t="s">
        <v>492</v>
      </c>
      <c r="D978" t="s">
        <v>496</v>
      </c>
      <c r="E978">
        <v>2082</v>
      </c>
      <c r="F978">
        <v>464</v>
      </c>
      <c r="G978">
        <v>1618</v>
      </c>
      <c r="H978">
        <v>0.57594343826105443</v>
      </c>
      <c r="I978">
        <v>0</v>
      </c>
      <c r="J978">
        <v>99931558.129725635</v>
      </c>
    </row>
    <row r="979" spans="1:10" x14ac:dyDescent="0.3">
      <c r="A979" t="s">
        <v>1992</v>
      </c>
      <c r="B979" t="s">
        <v>492</v>
      </c>
      <c r="C979" t="s">
        <v>492</v>
      </c>
      <c r="D979" t="s">
        <v>497</v>
      </c>
      <c r="E979">
        <v>1010</v>
      </c>
      <c r="F979">
        <v>123</v>
      </c>
      <c r="G979">
        <v>887</v>
      </c>
      <c r="H979">
        <v>0.65595155484389922</v>
      </c>
      <c r="I979">
        <v>0</v>
      </c>
      <c r="J979">
        <v>102249186.0508755</v>
      </c>
    </row>
    <row r="980" spans="1:10" x14ac:dyDescent="0.3">
      <c r="A980" t="s">
        <v>1993</v>
      </c>
      <c r="B980" t="s">
        <v>492</v>
      </c>
      <c r="C980" t="s">
        <v>505</v>
      </c>
      <c r="D980" t="s">
        <v>509</v>
      </c>
      <c r="E980">
        <v>1016</v>
      </c>
      <c r="F980">
        <v>136</v>
      </c>
      <c r="G980">
        <v>880</v>
      </c>
      <c r="H980">
        <v>0.56337150480284248</v>
      </c>
      <c r="I980">
        <v>0</v>
      </c>
      <c r="J980">
        <v>116909433.6790434</v>
      </c>
    </row>
    <row r="981" spans="1:10" x14ac:dyDescent="0.3">
      <c r="A981" t="s">
        <v>1994</v>
      </c>
      <c r="B981" t="s">
        <v>492</v>
      </c>
      <c r="C981" t="s">
        <v>511</v>
      </c>
      <c r="D981" t="s">
        <v>512</v>
      </c>
      <c r="E981">
        <v>293</v>
      </c>
      <c r="F981">
        <v>106</v>
      </c>
      <c r="G981">
        <v>187</v>
      </c>
      <c r="H981">
        <v>0.66236826384313641</v>
      </c>
      <c r="I981">
        <v>0</v>
      </c>
      <c r="J981">
        <v>105755160.1507453</v>
      </c>
    </row>
    <row r="982" spans="1:10" x14ac:dyDescent="0.3">
      <c r="A982" t="s">
        <v>1995</v>
      </c>
      <c r="B982" t="s">
        <v>492</v>
      </c>
      <c r="C982" t="s">
        <v>519</v>
      </c>
      <c r="D982" t="s">
        <v>306</v>
      </c>
      <c r="E982">
        <v>1193</v>
      </c>
      <c r="F982">
        <v>538</v>
      </c>
      <c r="G982">
        <v>655</v>
      </c>
      <c r="H982">
        <v>0.7656988478661515</v>
      </c>
      <c r="I982">
        <v>0</v>
      </c>
      <c r="J982">
        <v>44463617.494865216</v>
      </c>
    </row>
    <row r="983" spans="1:10" x14ac:dyDescent="0.3">
      <c r="A983" t="s">
        <v>1996</v>
      </c>
      <c r="B983" t="s">
        <v>492</v>
      </c>
      <c r="C983" t="s">
        <v>519</v>
      </c>
      <c r="D983" t="s">
        <v>418</v>
      </c>
      <c r="E983">
        <v>382</v>
      </c>
      <c r="F983">
        <v>147</v>
      </c>
      <c r="G983">
        <v>235</v>
      </c>
      <c r="H983">
        <v>0.80532840415197027</v>
      </c>
      <c r="I983">
        <v>0</v>
      </c>
      <c r="J983">
        <v>91663599.263196275</v>
      </c>
    </row>
    <row r="984" spans="1:10" x14ac:dyDescent="0.3">
      <c r="A984" t="s">
        <v>1997</v>
      </c>
      <c r="B984" t="s">
        <v>492</v>
      </c>
      <c r="C984" t="s">
        <v>519</v>
      </c>
      <c r="D984" t="s">
        <v>520</v>
      </c>
      <c r="E984">
        <v>1211</v>
      </c>
      <c r="F984">
        <v>389</v>
      </c>
      <c r="G984">
        <v>822</v>
      </c>
      <c r="H984">
        <v>0.67342873562057648</v>
      </c>
      <c r="I984">
        <v>0</v>
      </c>
      <c r="J984">
        <v>54348475.498921439</v>
      </c>
    </row>
    <row r="985" spans="1:10" x14ac:dyDescent="0.3">
      <c r="A985" t="s">
        <v>1998</v>
      </c>
      <c r="B985" t="s">
        <v>492</v>
      </c>
      <c r="C985" t="s">
        <v>519</v>
      </c>
      <c r="D985" t="s">
        <v>521</v>
      </c>
      <c r="E985">
        <v>605</v>
      </c>
      <c r="F985">
        <v>145</v>
      </c>
      <c r="G985">
        <v>460</v>
      </c>
      <c r="H985">
        <v>0.73705649539592366</v>
      </c>
      <c r="I985">
        <v>0</v>
      </c>
      <c r="J985">
        <v>21630839.112522651</v>
      </c>
    </row>
    <row r="986" spans="1:10" x14ac:dyDescent="0.3">
      <c r="A986" t="s">
        <v>1999</v>
      </c>
      <c r="B986" t="s">
        <v>492</v>
      </c>
      <c r="C986" t="s">
        <v>522</v>
      </c>
      <c r="D986" t="s">
        <v>526</v>
      </c>
      <c r="E986">
        <v>802</v>
      </c>
      <c r="F986">
        <v>317</v>
      </c>
      <c r="G986">
        <v>485</v>
      </c>
      <c r="H986">
        <v>0.70340191260726803</v>
      </c>
      <c r="I986">
        <v>0</v>
      </c>
      <c r="J986">
        <v>28071947.627938081</v>
      </c>
    </row>
    <row r="987" spans="1:10" x14ac:dyDescent="0.3">
      <c r="A987" t="s">
        <v>2000</v>
      </c>
      <c r="B987" t="s">
        <v>492</v>
      </c>
      <c r="C987" t="s">
        <v>527</v>
      </c>
      <c r="D987" t="s">
        <v>529</v>
      </c>
      <c r="E987">
        <v>4252</v>
      </c>
      <c r="F987">
        <v>937</v>
      </c>
      <c r="G987">
        <v>3315</v>
      </c>
      <c r="H987">
        <v>0.97245283664411963</v>
      </c>
      <c r="I987">
        <v>0</v>
      </c>
      <c r="J987">
        <v>297409362.25008738</v>
      </c>
    </row>
    <row r="988" spans="1:10" x14ac:dyDescent="0.3">
      <c r="A988" t="s">
        <v>2001</v>
      </c>
      <c r="B988" t="s">
        <v>492</v>
      </c>
      <c r="C988" t="s">
        <v>535</v>
      </c>
      <c r="D988" t="s">
        <v>537</v>
      </c>
      <c r="E988">
        <v>991</v>
      </c>
      <c r="F988">
        <v>213</v>
      </c>
      <c r="G988">
        <v>778</v>
      </c>
      <c r="H988">
        <v>0.71708454991668469</v>
      </c>
      <c r="I988">
        <v>0</v>
      </c>
      <c r="J988">
        <v>48058714.871265627</v>
      </c>
    </row>
    <row r="989" spans="1:10" x14ac:dyDescent="0.3">
      <c r="A989" t="s">
        <v>2002</v>
      </c>
      <c r="B989" t="s">
        <v>492</v>
      </c>
      <c r="C989" t="s">
        <v>535</v>
      </c>
      <c r="D989" t="s">
        <v>540</v>
      </c>
      <c r="E989">
        <v>1585</v>
      </c>
      <c r="F989">
        <v>475</v>
      </c>
      <c r="G989">
        <v>1110</v>
      </c>
      <c r="H989">
        <v>0.60554074372853706</v>
      </c>
      <c r="I989">
        <v>0</v>
      </c>
      <c r="J989">
        <v>180263509.82799339</v>
      </c>
    </row>
    <row r="990" spans="1:10" x14ac:dyDescent="0.3">
      <c r="A990" t="s">
        <v>2003</v>
      </c>
      <c r="B990" t="s">
        <v>492</v>
      </c>
      <c r="C990" t="s">
        <v>550</v>
      </c>
      <c r="D990" t="s">
        <v>556</v>
      </c>
      <c r="E990">
        <v>3283</v>
      </c>
      <c r="F990">
        <v>617</v>
      </c>
      <c r="G990">
        <v>2666</v>
      </c>
      <c r="H990">
        <v>0.75146369380451705</v>
      </c>
      <c r="I990">
        <v>0</v>
      </c>
      <c r="J990">
        <v>155031213.8102037</v>
      </c>
    </row>
    <row r="991" spans="1:10" x14ac:dyDescent="0.3">
      <c r="A991" t="s">
        <v>2004</v>
      </c>
      <c r="B991" t="s">
        <v>492</v>
      </c>
      <c r="C991" t="s">
        <v>560</v>
      </c>
      <c r="D991" t="s">
        <v>561</v>
      </c>
      <c r="E991">
        <v>816</v>
      </c>
      <c r="F991">
        <v>248</v>
      </c>
      <c r="G991">
        <v>568</v>
      </c>
      <c r="H991">
        <v>0.61911976173069005</v>
      </c>
      <c r="I991">
        <v>0</v>
      </c>
      <c r="J991">
        <v>51529850.842323624</v>
      </c>
    </row>
    <row r="992" spans="1:10" x14ac:dyDescent="0.3">
      <c r="A992" t="s">
        <v>2005</v>
      </c>
      <c r="B992" t="s">
        <v>492</v>
      </c>
      <c r="C992" t="s">
        <v>560</v>
      </c>
      <c r="D992" t="s">
        <v>562</v>
      </c>
      <c r="E992">
        <v>2483</v>
      </c>
      <c r="F992">
        <v>386</v>
      </c>
      <c r="G992">
        <v>2097</v>
      </c>
      <c r="H992">
        <v>0.65904590088643744</v>
      </c>
      <c r="I992">
        <v>0</v>
      </c>
      <c r="J992">
        <v>76510059.24702844</v>
      </c>
    </row>
    <row r="993" spans="1:10" x14ac:dyDescent="0.3">
      <c r="A993" t="s">
        <v>2006</v>
      </c>
      <c r="B993" t="s">
        <v>492</v>
      </c>
      <c r="C993" t="s">
        <v>563</v>
      </c>
      <c r="D993" t="s">
        <v>568</v>
      </c>
      <c r="E993">
        <v>1207</v>
      </c>
      <c r="F993">
        <v>188</v>
      </c>
      <c r="G993">
        <v>1019</v>
      </c>
      <c r="H993">
        <v>0.55831963402209561</v>
      </c>
      <c r="I993">
        <v>0</v>
      </c>
      <c r="J993">
        <v>131383168.5524154</v>
      </c>
    </row>
    <row r="994" spans="1:10" x14ac:dyDescent="0.3">
      <c r="A994" t="s">
        <v>2007</v>
      </c>
      <c r="B994" t="s">
        <v>492</v>
      </c>
      <c r="C994" t="s">
        <v>563</v>
      </c>
      <c r="D994" t="s">
        <v>569</v>
      </c>
      <c r="E994">
        <v>473</v>
      </c>
      <c r="F994">
        <v>44</v>
      </c>
      <c r="G994">
        <v>429</v>
      </c>
      <c r="H994">
        <v>0.50330775911661352</v>
      </c>
      <c r="I994">
        <v>0</v>
      </c>
      <c r="J994">
        <v>119534287.1799134</v>
      </c>
    </row>
    <row r="995" spans="1:10" x14ac:dyDescent="0.3">
      <c r="A995" t="s">
        <v>2008</v>
      </c>
      <c r="B995" t="s">
        <v>492</v>
      </c>
      <c r="C995" t="s">
        <v>570</v>
      </c>
      <c r="D995" t="s">
        <v>571</v>
      </c>
      <c r="E995">
        <v>995</v>
      </c>
      <c r="F995">
        <v>45</v>
      </c>
      <c r="G995">
        <v>950</v>
      </c>
      <c r="H995">
        <v>0.99899774936975916</v>
      </c>
      <c r="I995">
        <v>0</v>
      </c>
      <c r="J995">
        <v>17250199.643547349</v>
      </c>
    </row>
    <row r="996" spans="1:10" x14ac:dyDescent="0.3">
      <c r="A996" t="s">
        <v>2009</v>
      </c>
      <c r="B996" t="s">
        <v>492</v>
      </c>
      <c r="C996" t="s">
        <v>574</v>
      </c>
      <c r="D996" t="s">
        <v>575</v>
      </c>
      <c r="E996">
        <v>293</v>
      </c>
      <c r="F996">
        <v>108</v>
      </c>
      <c r="G996">
        <v>185</v>
      </c>
      <c r="H996">
        <v>0.65740784381501216</v>
      </c>
      <c r="I996">
        <v>0</v>
      </c>
      <c r="J996">
        <v>36291725.363845542</v>
      </c>
    </row>
    <row r="997" spans="1:10" x14ac:dyDescent="0.3">
      <c r="A997" t="s">
        <v>2010</v>
      </c>
      <c r="B997" t="s">
        <v>579</v>
      </c>
      <c r="C997" t="s">
        <v>397</v>
      </c>
      <c r="D997" t="s">
        <v>587</v>
      </c>
      <c r="E997">
        <v>2479</v>
      </c>
      <c r="F997">
        <v>1230</v>
      </c>
      <c r="G997">
        <v>1249</v>
      </c>
      <c r="H997">
        <v>0.75283791145314483</v>
      </c>
      <c r="I997">
        <v>0</v>
      </c>
      <c r="J997">
        <v>56790411.747147173</v>
      </c>
    </row>
    <row r="998" spans="1:10" x14ac:dyDescent="0.3">
      <c r="A998" t="s">
        <v>2011</v>
      </c>
      <c r="B998" t="s">
        <v>579</v>
      </c>
      <c r="C998" t="s">
        <v>588</v>
      </c>
      <c r="D998" t="s">
        <v>589</v>
      </c>
      <c r="E998">
        <v>5221</v>
      </c>
      <c r="F998">
        <v>477</v>
      </c>
      <c r="G998">
        <v>4744</v>
      </c>
      <c r="H998">
        <v>0.96400612979740841</v>
      </c>
      <c r="I998">
        <v>0</v>
      </c>
      <c r="J998">
        <v>81590771.157541454</v>
      </c>
    </row>
    <row r="999" spans="1:10" x14ac:dyDescent="0.3">
      <c r="A999" t="s">
        <v>2012</v>
      </c>
      <c r="B999" t="s">
        <v>579</v>
      </c>
      <c r="C999" t="s">
        <v>592</v>
      </c>
      <c r="D999" t="s">
        <v>595</v>
      </c>
      <c r="E999">
        <v>2728</v>
      </c>
      <c r="F999">
        <v>95</v>
      </c>
      <c r="G999">
        <v>2633</v>
      </c>
      <c r="H999">
        <v>1.2208471722720931</v>
      </c>
      <c r="I999">
        <v>0</v>
      </c>
      <c r="J999">
        <v>53046575.123113327</v>
      </c>
    </row>
    <row r="1000" spans="1:10" x14ac:dyDescent="0.3">
      <c r="A1000" t="s">
        <v>2013</v>
      </c>
      <c r="B1000" t="s">
        <v>605</v>
      </c>
      <c r="C1000" t="s">
        <v>628</v>
      </c>
      <c r="D1000" t="s">
        <v>80</v>
      </c>
      <c r="E1000">
        <v>1747</v>
      </c>
      <c r="F1000">
        <v>54</v>
      </c>
      <c r="G1000">
        <v>1693</v>
      </c>
      <c r="H1000">
        <v>1.1023192334638621</v>
      </c>
      <c r="I1000">
        <v>0</v>
      </c>
      <c r="J1000">
        <v>47659225.191705503</v>
      </c>
    </row>
    <row r="1001" spans="1:10" x14ac:dyDescent="0.3">
      <c r="A1001" t="s">
        <v>2014</v>
      </c>
      <c r="B1001" t="s">
        <v>605</v>
      </c>
      <c r="C1001" t="s">
        <v>640</v>
      </c>
      <c r="D1001" t="s">
        <v>641</v>
      </c>
      <c r="E1001">
        <v>8734</v>
      </c>
      <c r="F1001">
        <v>69</v>
      </c>
      <c r="G1001">
        <v>8665</v>
      </c>
      <c r="H1001">
        <v>1.0668415436015131</v>
      </c>
      <c r="I1001">
        <v>0</v>
      </c>
      <c r="J1001">
        <v>239047639.1736562</v>
      </c>
    </row>
    <row r="1002" spans="1:10" x14ac:dyDescent="0.3">
      <c r="A1002" t="s">
        <v>2015</v>
      </c>
      <c r="B1002" t="s">
        <v>605</v>
      </c>
      <c r="C1002" t="s">
        <v>640</v>
      </c>
      <c r="D1002" t="s">
        <v>642</v>
      </c>
      <c r="E1002">
        <v>8764</v>
      </c>
      <c r="F1002">
        <v>617</v>
      </c>
      <c r="G1002">
        <v>8147</v>
      </c>
      <c r="H1002">
        <v>0.75704118483744443</v>
      </c>
      <c r="I1002">
        <v>0</v>
      </c>
      <c r="J1002">
        <v>465021037.90550733</v>
      </c>
    </row>
    <row r="1003" spans="1:10" x14ac:dyDescent="0.3">
      <c r="A1003" t="s">
        <v>2016</v>
      </c>
      <c r="B1003" t="s">
        <v>605</v>
      </c>
      <c r="C1003" t="s">
        <v>655</v>
      </c>
      <c r="D1003" t="s">
        <v>657</v>
      </c>
      <c r="E1003">
        <v>3064</v>
      </c>
      <c r="F1003">
        <v>2</v>
      </c>
      <c r="G1003">
        <v>3062</v>
      </c>
      <c r="H1003">
        <v>0.81520529841166789</v>
      </c>
      <c r="I1003">
        <v>0</v>
      </c>
      <c r="J1003">
        <v>74684135.842351422</v>
      </c>
    </row>
    <row r="1004" spans="1:10" x14ac:dyDescent="0.3">
      <c r="A1004" t="s">
        <v>2017</v>
      </c>
      <c r="B1004" t="s">
        <v>667</v>
      </c>
      <c r="C1004" t="s">
        <v>677</v>
      </c>
      <c r="D1004" t="s">
        <v>679</v>
      </c>
      <c r="E1004">
        <v>209</v>
      </c>
      <c r="F1004">
        <v>106</v>
      </c>
      <c r="G1004">
        <v>103</v>
      </c>
      <c r="H1004">
        <v>0.66191226208185383</v>
      </c>
      <c r="I1004">
        <v>0</v>
      </c>
      <c r="J1004">
        <v>104246007.5284629</v>
      </c>
    </row>
    <row r="1005" spans="1:10" x14ac:dyDescent="0.3">
      <c r="A1005" t="s">
        <v>2018</v>
      </c>
      <c r="B1005" t="s">
        <v>667</v>
      </c>
      <c r="C1005" t="s">
        <v>677</v>
      </c>
      <c r="D1005" t="s">
        <v>681</v>
      </c>
      <c r="E1005">
        <v>549</v>
      </c>
      <c r="F1005">
        <v>145</v>
      </c>
      <c r="G1005">
        <v>404</v>
      </c>
      <c r="H1005">
        <v>0.67993484066270471</v>
      </c>
      <c r="I1005">
        <v>0</v>
      </c>
      <c r="J1005">
        <v>161475654.64069799</v>
      </c>
    </row>
    <row r="1006" spans="1:10" x14ac:dyDescent="0.3">
      <c r="A1006" t="s">
        <v>2019</v>
      </c>
      <c r="B1006" t="s">
        <v>667</v>
      </c>
      <c r="C1006" t="s">
        <v>677</v>
      </c>
      <c r="D1006" t="s">
        <v>684</v>
      </c>
      <c r="E1006">
        <v>729</v>
      </c>
      <c r="F1006">
        <v>314</v>
      </c>
      <c r="G1006">
        <v>415</v>
      </c>
      <c r="H1006">
        <v>0.66954303439735918</v>
      </c>
      <c r="I1006">
        <v>0</v>
      </c>
      <c r="J1006">
        <v>98685235.560575783</v>
      </c>
    </row>
    <row r="1007" spans="1:10" x14ac:dyDescent="0.3">
      <c r="A1007" t="s">
        <v>2020</v>
      </c>
      <c r="B1007" t="s">
        <v>667</v>
      </c>
      <c r="C1007" t="s">
        <v>685</v>
      </c>
      <c r="D1007" t="s">
        <v>138</v>
      </c>
      <c r="E1007">
        <v>1468</v>
      </c>
      <c r="F1007">
        <v>36</v>
      </c>
      <c r="G1007">
        <v>1432</v>
      </c>
      <c r="H1007">
        <v>0.55890888231275826</v>
      </c>
      <c r="I1007">
        <v>0</v>
      </c>
      <c r="J1007">
        <v>802324157.91760099</v>
      </c>
    </row>
    <row r="1008" spans="1:10" x14ac:dyDescent="0.3">
      <c r="A1008" t="s">
        <v>2021</v>
      </c>
      <c r="B1008" t="s">
        <v>667</v>
      </c>
      <c r="C1008" t="s">
        <v>685</v>
      </c>
      <c r="D1008" t="s">
        <v>688</v>
      </c>
      <c r="E1008">
        <v>424</v>
      </c>
      <c r="F1008">
        <v>94</v>
      </c>
      <c r="G1008">
        <v>330</v>
      </c>
      <c r="H1008">
        <v>0.66122502979709341</v>
      </c>
      <c r="I1008">
        <v>0</v>
      </c>
      <c r="J1008">
        <v>129381556.9942342</v>
      </c>
    </row>
    <row r="1009" spans="1:10" x14ac:dyDescent="0.3">
      <c r="A1009" t="s">
        <v>2022</v>
      </c>
      <c r="B1009" t="s">
        <v>667</v>
      </c>
      <c r="C1009" t="s">
        <v>707</v>
      </c>
      <c r="D1009" t="s">
        <v>708</v>
      </c>
      <c r="E1009">
        <v>218</v>
      </c>
      <c r="F1009">
        <v>69</v>
      </c>
      <c r="G1009">
        <v>149</v>
      </c>
      <c r="H1009">
        <v>0.77026642638005083</v>
      </c>
      <c r="I1009">
        <v>0</v>
      </c>
      <c r="J1009">
        <v>150039130.51966521</v>
      </c>
    </row>
    <row r="1010" spans="1:10" x14ac:dyDescent="0.3">
      <c r="A1010" t="s">
        <v>2023</v>
      </c>
      <c r="B1010" t="s">
        <v>667</v>
      </c>
      <c r="C1010" t="s">
        <v>707</v>
      </c>
      <c r="D1010" t="s">
        <v>709</v>
      </c>
      <c r="E1010">
        <v>911</v>
      </c>
      <c r="F1010">
        <v>27</v>
      </c>
      <c r="G1010">
        <v>884</v>
      </c>
      <c r="H1010">
        <v>0.5279413128937539</v>
      </c>
      <c r="I1010">
        <v>0</v>
      </c>
      <c r="J1010">
        <v>679423752.17609477</v>
      </c>
    </row>
    <row r="1011" spans="1:10" x14ac:dyDescent="0.3">
      <c r="A1011" t="s">
        <v>2024</v>
      </c>
      <c r="B1011" t="s">
        <v>667</v>
      </c>
      <c r="C1011" t="s">
        <v>707</v>
      </c>
      <c r="D1011" t="s">
        <v>710</v>
      </c>
      <c r="E1011">
        <v>219</v>
      </c>
      <c r="F1011">
        <v>57</v>
      </c>
      <c r="G1011">
        <v>162</v>
      </c>
      <c r="H1011">
        <v>0.71087003868920906</v>
      </c>
      <c r="I1011">
        <v>0</v>
      </c>
      <c r="J1011">
        <v>44493730.206956677</v>
      </c>
    </row>
    <row r="1012" spans="1:10" x14ac:dyDescent="0.3">
      <c r="A1012" t="s">
        <v>2025</v>
      </c>
      <c r="B1012" t="s">
        <v>667</v>
      </c>
      <c r="C1012" t="s">
        <v>707</v>
      </c>
      <c r="D1012" t="s">
        <v>711</v>
      </c>
      <c r="E1012">
        <v>477</v>
      </c>
      <c r="F1012">
        <v>160</v>
      </c>
      <c r="G1012">
        <v>317</v>
      </c>
      <c r="H1012">
        <v>0.75639352658646508</v>
      </c>
      <c r="I1012">
        <v>0</v>
      </c>
      <c r="J1012">
        <v>87579453.392705366</v>
      </c>
    </row>
    <row r="1013" spans="1:10" x14ac:dyDescent="0.3">
      <c r="A1013" t="s">
        <v>2026</v>
      </c>
      <c r="B1013" t="s">
        <v>667</v>
      </c>
      <c r="C1013" t="s">
        <v>717</v>
      </c>
      <c r="D1013" t="s">
        <v>718</v>
      </c>
      <c r="E1013">
        <v>2198</v>
      </c>
      <c r="F1013">
        <v>22</v>
      </c>
      <c r="G1013">
        <v>2176</v>
      </c>
      <c r="H1013">
        <v>0.50425307501383709</v>
      </c>
      <c r="I1013">
        <v>0</v>
      </c>
      <c r="J1013">
        <v>858786918.96142697</v>
      </c>
    </row>
    <row r="1014" spans="1:10" x14ac:dyDescent="0.3">
      <c r="A1014" t="s">
        <v>2027</v>
      </c>
      <c r="B1014" t="s">
        <v>723</v>
      </c>
      <c r="C1014" t="s">
        <v>732</v>
      </c>
      <c r="D1014" t="s">
        <v>734</v>
      </c>
      <c r="E1014">
        <v>5657</v>
      </c>
      <c r="F1014">
        <v>312</v>
      </c>
      <c r="G1014">
        <v>5345</v>
      </c>
      <c r="H1014">
        <v>1.1206380379859771</v>
      </c>
      <c r="I1014">
        <v>0</v>
      </c>
      <c r="J1014">
        <v>153242842.22034651</v>
      </c>
    </row>
    <row r="1015" spans="1:10" x14ac:dyDescent="0.3">
      <c r="A1015" t="s">
        <v>2028</v>
      </c>
      <c r="B1015" t="s">
        <v>723</v>
      </c>
      <c r="C1015" t="s">
        <v>741</v>
      </c>
      <c r="D1015" t="s">
        <v>744</v>
      </c>
      <c r="E1015">
        <v>504</v>
      </c>
      <c r="F1015">
        <v>257</v>
      </c>
      <c r="G1015">
        <v>247</v>
      </c>
      <c r="H1015">
        <v>0.55847213904832216</v>
      </c>
      <c r="I1015">
        <v>0</v>
      </c>
      <c r="J1015">
        <v>258464753.273972</v>
      </c>
    </row>
    <row r="1016" spans="1:10" x14ac:dyDescent="0.3">
      <c r="A1016" t="s">
        <v>2029</v>
      </c>
      <c r="B1016" t="s">
        <v>749</v>
      </c>
      <c r="C1016" t="s">
        <v>749</v>
      </c>
      <c r="D1016" t="s">
        <v>755</v>
      </c>
      <c r="E1016">
        <v>1055</v>
      </c>
      <c r="F1016">
        <v>0</v>
      </c>
      <c r="G1016">
        <v>1055</v>
      </c>
      <c r="H1016">
        <v>0.5056902927361584</v>
      </c>
      <c r="I1016">
        <v>0</v>
      </c>
      <c r="J1016">
        <v>5643071876.774394</v>
      </c>
    </row>
    <row r="1017" spans="1:10" x14ac:dyDescent="0.3">
      <c r="A1017" t="s">
        <v>2030</v>
      </c>
      <c r="B1017" t="s">
        <v>749</v>
      </c>
      <c r="C1017" t="s">
        <v>762</v>
      </c>
      <c r="D1017" t="s">
        <v>292</v>
      </c>
      <c r="E1017">
        <v>879</v>
      </c>
      <c r="F1017">
        <v>405</v>
      </c>
      <c r="G1017">
        <v>474</v>
      </c>
      <c r="H1017">
        <v>0.94695879655972237</v>
      </c>
      <c r="I1017">
        <v>0</v>
      </c>
      <c r="J1017">
        <v>69332113.78079547</v>
      </c>
    </row>
    <row r="1018" spans="1:10" x14ac:dyDescent="0.3">
      <c r="A1018" t="s">
        <v>2031</v>
      </c>
      <c r="B1018" t="s">
        <v>645</v>
      </c>
      <c r="C1018" t="s">
        <v>765</v>
      </c>
      <c r="D1018" t="s">
        <v>772</v>
      </c>
      <c r="E1018">
        <v>579</v>
      </c>
      <c r="F1018">
        <v>356</v>
      </c>
      <c r="G1018">
        <v>223</v>
      </c>
      <c r="H1018">
        <v>12.467808106321099</v>
      </c>
      <c r="I1018">
        <v>0</v>
      </c>
      <c r="J1018">
        <v>11494679.08478865</v>
      </c>
    </row>
    <row r="1019" spans="1:10" x14ac:dyDescent="0.3">
      <c r="A1019" t="s">
        <v>2032</v>
      </c>
      <c r="B1019" t="s">
        <v>823</v>
      </c>
      <c r="C1019" t="s">
        <v>847</v>
      </c>
      <c r="D1019" t="s">
        <v>419</v>
      </c>
      <c r="E1019">
        <v>1360</v>
      </c>
      <c r="F1019">
        <v>568</v>
      </c>
      <c r="G1019">
        <v>792</v>
      </c>
      <c r="H1019">
        <v>0.86415474114867641</v>
      </c>
      <c r="I1019">
        <v>0</v>
      </c>
      <c r="J1019">
        <v>140421427.73627421</v>
      </c>
    </row>
    <row r="1020" spans="1:10" x14ac:dyDescent="0.3">
      <c r="A1020" t="s">
        <v>2033</v>
      </c>
      <c r="B1020" t="s">
        <v>867</v>
      </c>
      <c r="C1020" t="s">
        <v>868</v>
      </c>
      <c r="D1020" t="s">
        <v>871</v>
      </c>
      <c r="E1020">
        <v>874</v>
      </c>
      <c r="F1020">
        <v>102</v>
      </c>
      <c r="G1020">
        <v>772</v>
      </c>
      <c r="H1020">
        <v>0.54910312364586755</v>
      </c>
      <c r="I1020">
        <v>0</v>
      </c>
      <c r="J1020">
        <v>339999724.56737202</v>
      </c>
    </row>
    <row r="1021" spans="1:10" x14ac:dyDescent="0.3">
      <c r="A1021" t="s">
        <v>2034</v>
      </c>
      <c r="B1021" t="s">
        <v>867</v>
      </c>
      <c r="C1021" t="s">
        <v>880</v>
      </c>
      <c r="D1021" t="s">
        <v>881</v>
      </c>
      <c r="E1021">
        <v>3158</v>
      </c>
      <c r="F1021">
        <v>1888</v>
      </c>
      <c r="G1021">
        <v>1270</v>
      </c>
      <c r="H1021">
        <v>0.84190274551092703</v>
      </c>
      <c r="I1021">
        <v>0</v>
      </c>
      <c r="J1021">
        <v>117143683.7883061</v>
      </c>
    </row>
    <row r="1022" spans="1:10" x14ac:dyDescent="0.3">
      <c r="A1022" t="s">
        <v>2035</v>
      </c>
      <c r="B1022" t="s">
        <v>867</v>
      </c>
      <c r="C1022" t="s">
        <v>880</v>
      </c>
      <c r="D1022" t="s">
        <v>882</v>
      </c>
      <c r="E1022">
        <v>1905</v>
      </c>
      <c r="F1022">
        <v>829</v>
      </c>
      <c r="G1022">
        <v>1076</v>
      </c>
      <c r="H1022">
        <v>0.49891884079771898</v>
      </c>
      <c r="I1022">
        <v>0</v>
      </c>
      <c r="J1022">
        <v>905259010.52016103</v>
      </c>
    </row>
    <row r="1023" spans="1:10" x14ac:dyDescent="0.3">
      <c r="A1023" t="s">
        <v>2036</v>
      </c>
      <c r="B1023" t="s">
        <v>867</v>
      </c>
      <c r="C1023" t="s">
        <v>880</v>
      </c>
      <c r="D1023" t="s">
        <v>883</v>
      </c>
      <c r="E1023">
        <v>801</v>
      </c>
      <c r="F1023">
        <v>38</v>
      </c>
      <c r="G1023">
        <v>763</v>
      </c>
      <c r="H1023">
        <v>0.48508955297931539</v>
      </c>
      <c r="I1023">
        <v>0</v>
      </c>
      <c r="J1023">
        <v>920741065.44035602</v>
      </c>
    </row>
    <row r="1024" spans="1:10" x14ac:dyDescent="0.3">
      <c r="A1024" t="s">
        <v>2037</v>
      </c>
      <c r="B1024" t="s">
        <v>867</v>
      </c>
      <c r="C1024" t="s">
        <v>880</v>
      </c>
      <c r="D1024" t="s">
        <v>884</v>
      </c>
      <c r="E1024">
        <v>555</v>
      </c>
      <c r="F1024">
        <v>37</v>
      </c>
      <c r="G1024">
        <v>518</v>
      </c>
      <c r="H1024">
        <v>0.61640458322918756</v>
      </c>
      <c r="I1024">
        <v>0</v>
      </c>
      <c r="J1024">
        <v>78361951.657047004</v>
      </c>
    </row>
    <row r="1025" spans="1:10" x14ac:dyDescent="0.3">
      <c r="A1025" t="s">
        <v>2038</v>
      </c>
      <c r="B1025" t="s">
        <v>867</v>
      </c>
      <c r="C1025" t="s">
        <v>895</v>
      </c>
      <c r="D1025" t="s">
        <v>897</v>
      </c>
      <c r="E1025">
        <v>986</v>
      </c>
      <c r="F1025">
        <v>241</v>
      </c>
      <c r="G1025">
        <v>745</v>
      </c>
      <c r="H1025">
        <v>0.98243042122216184</v>
      </c>
      <c r="I1025">
        <v>0</v>
      </c>
      <c r="J1025">
        <v>50497188.159643158</v>
      </c>
    </row>
    <row r="1026" spans="1:10" x14ac:dyDescent="0.3">
      <c r="A1026" t="s">
        <v>2039</v>
      </c>
      <c r="B1026" t="s">
        <v>867</v>
      </c>
      <c r="C1026" t="s">
        <v>895</v>
      </c>
      <c r="D1026" t="s">
        <v>898</v>
      </c>
      <c r="E1026">
        <v>1704</v>
      </c>
      <c r="F1026">
        <v>923</v>
      </c>
      <c r="G1026">
        <v>781</v>
      </c>
      <c r="H1026">
        <v>1.570521017194171</v>
      </c>
      <c r="I1026">
        <v>0</v>
      </c>
      <c r="J1026">
        <v>44785282.317155421</v>
      </c>
    </row>
    <row r="1027" spans="1:10" x14ac:dyDescent="0.3">
      <c r="A1027" t="s">
        <v>2040</v>
      </c>
      <c r="B1027" t="s">
        <v>867</v>
      </c>
      <c r="C1027" t="s">
        <v>899</v>
      </c>
      <c r="D1027" t="s">
        <v>903</v>
      </c>
      <c r="E1027">
        <v>455</v>
      </c>
      <c r="F1027">
        <v>94</v>
      </c>
      <c r="G1027">
        <v>361</v>
      </c>
      <c r="H1027">
        <v>0.48714858952549001</v>
      </c>
      <c r="I1027">
        <v>0</v>
      </c>
      <c r="J1027">
        <v>242501814.24606881</v>
      </c>
    </row>
    <row r="1028" spans="1:10" x14ac:dyDescent="0.3">
      <c r="A1028" t="s">
        <v>2041</v>
      </c>
      <c r="B1028" t="s">
        <v>867</v>
      </c>
      <c r="C1028" t="s">
        <v>904</v>
      </c>
      <c r="D1028" t="s">
        <v>324</v>
      </c>
      <c r="E1028">
        <v>440</v>
      </c>
      <c r="F1028">
        <v>127</v>
      </c>
      <c r="G1028">
        <v>313</v>
      </c>
      <c r="H1028">
        <v>0.56479923094161533</v>
      </c>
      <c r="I1028">
        <v>0</v>
      </c>
      <c r="J1028">
        <v>57421181.533481538</v>
      </c>
    </row>
    <row r="1029" spans="1:10" x14ac:dyDescent="0.3">
      <c r="A1029" t="s">
        <v>2042</v>
      </c>
      <c r="B1029" t="s">
        <v>867</v>
      </c>
      <c r="C1029" t="s">
        <v>904</v>
      </c>
      <c r="D1029" t="s">
        <v>905</v>
      </c>
      <c r="E1029">
        <v>2024</v>
      </c>
      <c r="F1029">
        <v>422</v>
      </c>
      <c r="G1029">
        <v>1602</v>
      </c>
      <c r="H1029">
        <v>0.67462782453668158</v>
      </c>
      <c r="I1029">
        <v>0</v>
      </c>
      <c r="J1029">
        <v>115688797.53532019</v>
      </c>
    </row>
    <row r="1030" spans="1:10" x14ac:dyDescent="0.3">
      <c r="A1030" t="s">
        <v>2043</v>
      </c>
      <c r="B1030" t="s">
        <v>915</v>
      </c>
      <c r="C1030" t="s">
        <v>916</v>
      </c>
      <c r="D1030" t="s">
        <v>923</v>
      </c>
      <c r="E1030">
        <v>1930</v>
      </c>
      <c r="F1030">
        <v>420</v>
      </c>
      <c r="G1030">
        <v>1510</v>
      </c>
      <c r="H1030">
        <v>0.81216324753040448</v>
      </c>
      <c r="I1030">
        <v>0</v>
      </c>
      <c r="J1030">
        <v>154606898.84418669</v>
      </c>
    </row>
    <row r="1031" spans="1:10" x14ac:dyDescent="0.3">
      <c r="A1031" t="s">
        <v>2044</v>
      </c>
      <c r="B1031" t="s">
        <v>915</v>
      </c>
      <c r="C1031" t="s">
        <v>928</v>
      </c>
      <c r="D1031" t="s">
        <v>932</v>
      </c>
      <c r="E1031">
        <v>295</v>
      </c>
      <c r="F1031">
        <v>22</v>
      </c>
      <c r="G1031">
        <v>273</v>
      </c>
      <c r="H1031">
        <v>0.42624471617539911</v>
      </c>
      <c r="I1031">
        <v>0</v>
      </c>
      <c r="J1031">
        <v>382434141.3960281</v>
      </c>
    </row>
    <row r="1032" spans="1:10" x14ac:dyDescent="0.3">
      <c r="A1032" t="s">
        <v>2045</v>
      </c>
      <c r="B1032" t="s">
        <v>915</v>
      </c>
      <c r="C1032" t="s">
        <v>935</v>
      </c>
      <c r="D1032" t="s">
        <v>939</v>
      </c>
      <c r="E1032">
        <v>4346</v>
      </c>
      <c r="F1032">
        <v>1939</v>
      </c>
      <c r="G1032">
        <v>2407</v>
      </c>
      <c r="H1032">
        <v>10.828448572531091</v>
      </c>
      <c r="I1032">
        <v>0</v>
      </c>
      <c r="J1032">
        <v>120426925.41734339</v>
      </c>
    </row>
    <row r="1033" spans="1:10" x14ac:dyDescent="0.3">
      <c r="A1033" t="s">
        <v>2046</v>
      </c>
      <c r="B1033" t="s">
        <v>915</v>
      </c>
      <c r="C1033" t="s">
        <v>915</v>
      </c>
      <c r="D1033" t="s">
        <v>942</v>
      </c>
      <c r="E1033">
        <v>122</v>
      </c>
      <c r="F1033">
        <v>52</v>
      </c>
      <c r="G1033">
        <v>70</v>
      </c>
      <c r="H1033">
        <v>0.54495494235717146</v>
      </c>
      <c r="I1033">
        <v>0</v>
      </c>
      <c r="J1033">
        <v>649049123.73094893</v>
      </c>
    </row>
    <row r="1034" spans="1:10" x14ac:dyDescent="0.3">
      <c r="A1034" t="s">
        <v>2047</v>
      </c>
      <c r="B1034" t="s">
        <v>915</v>
      </c>
      <c r="C1034" t="s">
        <v>915</v>
      </c>
      <c r="D1034" t="s">
        <v>943</v>
      </c>
      <c r="E1034">
        <v>270</v>
      </c>
      <c r="F1034">
        <v>105</v>
      </c>
      <c r="G1034">
        <v>165</v>
      </c>
      <c r="H1034">
        <v>0.52089196865952991</v>
      </c>
      <c r="I1034">
        <v>0</v>
      </c>
      <c r="J1034">
        <v>355826085.83933079</v>
      </c>
    </row>
    <row r="1035" spans="1:10" x14ac:dyDescent="0.3">
      <c r="A1035" t="s">
        <v>2048</v>
      </c>
      <c r="B1035" t="s">
        <v>915</v>
      </c>
      <c r="C1035" t="s">
        <v>945</v>
      </c>
      <c r="D1035" t="s">
        <v>947</v>
      </c>
      <c r="E1035">
        <v>603</v>
      </c>
      <c r="F1035">
        <v>152</v>
      </c>
      <c r="G1035">
        <v>451</v>
      </c>
      <c r="H1035">
        <v>0.61467732555951571</v>
      </c>
      <c r="I1035">
        <v>0</v>
      </c>
      <c r="J1035">
        <v>58647411.438182458</v>
      </c>
    </row>
    <row r="1036" spans="1:10" x14ac:dyDescent="0.3">
      <c r="A1036" t="s">
        <v>2049</v>
      </c>
      <c r="B1036" t="s">
        <v>952</v>
      </c>
      <c r="C1036" t="s">
        <v>953</v>
      </c>
      <c r="D1036" t="s">
        <v>961</v>
      </c>
      <c r="E1036">
        <v>5167</v>
      </c>
      <c r="F1036">
        <v>110</v>
      </c>
      <c r="G1036">
        <v>5057</v>
      </c>
      <c r="H1036">
        <v>0.66870750947102631</v>
      </c>
      <c r="I1036">
        <v>0</v>
      </c>
      <c r="J1036">
        <v>608047332.80043447</v>
      </c>
    </row>
    <row r="1037" spans="1:10" x14ac:dyDescent="0.3">
      <c r="A1037" t="s">
        <v>2050</v>
      </c>
      <c r="B1037" t="s">
        <v>952</v>
      </c>
      <c r="C1037" t="s">
        <v>970</v>
      </c>
      <c r="D1037" t="s">
        <v>971</v>
      </c>
      <c r="E1037">
        <v>3229</v>
      </c>
      <c r="F1037">
        <v>253</v>
      </c>
      <c r="G1037">
        <v>2976</v>
      </c>
      <c r="H1037">
        <v>52.606804763188187</v>
      </c>
      <c r="I1037">
        <v>0</v>
      </c>
      <c r="J1037">
        <v>76044469.270960808</v>
      </c>
    </row>
    <row r="1038" spans="1:10" x14ac:dyDescent="0.3">
      <c r="A1038" t="s">
        <v>2051</v>
      </c>
      <c r="B1038" t="s">
        <v>952</v>
      </c>
      <c r="C1038" t="s">
        <v>970</v>
      </c>
      <c r="D1038" t="s">
        <v>974</v>
      </c>
      <c r="E1038">
        <v>2279</v>
      </c>
      <c r="F1038">
        <v>397</v>
      </c>
      <c r="G1038">
        <v>1882</v>
      </c>
      <c r="H1038">
        <v>2.3823275001236892</v>
      </c>
      <c r="I1038">
        <v>0</v>
      </c>
      <c r="J1038">
        <v>76837197.526661396</v>
      </c>
    </row>
    <row r="1039" spans="1:10" x14ac:dyDescent="0.3">
      <c r="A1039" t="s">
        <v>2052</v>
      </c>
      <c r="B1039" t="s">
        <v>952</v>
      </c>
      <c r="C1039" t="s">
        <v>970</v>
      </c>
      <c r="D1039" t="s">
        <v>818</v>
      </c>
      <c r="E1039">
        <v>2144</v>
      </c>
      <c r="F1039">
        <v>471</v>
      </c>
      <c r="G1039">
        <v>1673</v>
      </c>
      <c r="H1039">
        <v>0.84099035045415371</v>
      </c>
      <c r="I1039">
        <v>0</v>
      </c>
      <c r="J1039">
        <v>73186080.961640462</v>
      </c>
    </row>
    <row r="1040" spans="1:10" x14ac:dyDescent="0.3">
      <c r="A1040" t="s">
        <v>2053</v>
      </c>
      <c r="B1040" t="s">
        <v>952</v>
      </c>
      <c r="C1040" t="s">
        <v>970</v>
      </c>
      <c r="D1040" t="s">
        <v>976</v>
      </c>
      <c r="E1040">
        <v>3663</v>
      </c>
      <c r="F1040">
        <v>666</v>
      </c>
      <c r="G1040">
        <v>2997</v>
      </c>
      <c r="H1040">
        <v>34.610048527583423</v>
      </c>
      <c r="I1040">
        <v>0</v>
      </c>
      <c r="J1040">
        <v>145742806.02229819</v>
      </c>
    </row>
    <row r="1041" spans="1:10" x14ac:dyDescent="0.3">
      <c r="A1041" t="s">
        <v>2054</v>
      </c>
      <c r="B1041" t="s">
        <v>952</v>
      </c>
      <c r="C1041" t="s">
        <v>977</v>
      </c>
      <c r="D1041" t="s">
        <v>982</v>
      </c>
      <c r="E1041">
        <v>1204</v>
      </c>
      <c r="F1041">
        <v>366</v>
      </c>
      <c r="G1041">
        <v>838</v>
      </c>
      <c r="H1041">
        <v>0.52692437467753239</v>
      </c>
      <c r="I1041">
        <v>0</v>
      </c>
      <c r="J1041">
        <v>191994325.19024649</v>
      </c>
    </row>
    <row r="1042" spans="1:10" x14ac:dyDescent="0.3">
      <c r="A1042" t="s">
        <v>2055</v>
      </c>
      <c r="B1042" t="s">
        <v>13</v>
      </c>
      <c r="C1042" t="s">
        <v>69</v>
      </c>
      <c r="D1042" t="s">
        <v>1003</v>
      </c>
      <c r="E1042">
        <v>1638</v>
      </c>
      <c r="F1042">
        <v>974</v>
      </c>
      <c r="G1042">
        <v>664</v>
      </c>
      <c r="H1042">
        <v>0.94849424814582317</v>
      </c>
      <c r="I1042">
        <v>0</v>
      </c>
      <c r="J1042">
        <v>125734535.5552583</v>
      </c>
    </row>
    <row r="1043" spans="1:10" x14ac:dyDescent="0.3">
      <c r="A1043" t="s">
        <v>2056</v>
      </c>
      <c r="B1043" t="s">
        <v>749</v>
      </c>
      <c r="C1043" t="s">
        <v>749</v>
      </c>
      <c r="D1043" t="s">
        <v>397</v>
      </c>
      <c r="E1043">
        <v>4861</v>
      </c>
      <c r="F1043">
        <v>0</v>
      </c>
      <c r="G1043">
        <v>4861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EC8E-2867-4595-AB51-6F9B6D69144F}">
  <dimension ref="A1:E1043"/>
  <sheetViews>
    <sheetView workbookViewId="0"/>
  </sheetViews>
  <sheetFormatPr baseColWidth="10" defaultColWidth="8.88671875" defaultRowHeight="14.4" x14ac:dyDescent="0.3"/>
  <sheetData>
    <row r="1" spans="1:5" ht="82.8" x14ac:dyDescent="0.3">
      <c r="A1" s="1" t="s">
        <v>0</v>
      </c>
      <c r="B1" s="16" t="s">
        <v>2058</v>
      </c>
      <c r="C1" s="17" t="s">
        <v>2059</v>
      </c>
      <c r="D1" s="17" t="s">
        <v>2060</v>
      </c>
      <c r="E1" s="16" t="s">
        <v>2061</v>
      </c>
    </row>
    <row r="2" spans="1:5" x14ac:dyDescent="0.3">
      <c r="A2" s="20" t="s">
        <v>1334</v>
      </c>
      <c r="B2" s="19">
        <v>285453</v>
      </c>
      <c r="C2">
        <v>174082</v>
      </c>
      <c r="D2">
        <v>12325</v>
      </c>
      <c r="E2" s="19">
        <v>99046</v>
      </c>
    </row>
    <row r="3" spans="1:5" x14ac:dyDescent="0.3">
      <c r="A3" s="20" t="s">
        <v>1387</v>
      </c>
      <c r="B3" s="19">
        <v>15916</v>
      </c>
      <c r="C3">
        <v>9401</v>
      </c>
      <c r="D3">
        <v>831</v>
      </c>
      <c r="E3" s="19">
        <v>5684</v>
      </c>
    </row>
    <row r="4" spans="1:5" x14ac:dyDescent="0.3">
      <c r="A4" s="20" t="s">
        <v>1476</v>
      </c>
      <c r="B4" s="19">
        <v>4754</v>
      </c>
      <c r="C4">
        <v>2191</v>
      </c>
      <c r="D4">
        <v>191</v>
      </c>
      <c r="E4" s="19">
        <v>2372</v>
      </c>
    </row>
    <row r="5" spans="1:5" x14ac:dyDescent="0.3">
      <c r="A5" s="20" t="s">
        <v>1909</v>
      </c>
      <c r="B5" s="19">
        <v>1229</v>
      </c>
      <c r="C5">
        <v>460</v>
      </c>
      <c r="D5">
        <v>61</v>
      </c>
      <c r="E5" s="19">
        <v>708</v>
      </c>
    </row>
    <row r="6" spans="1:5" x14ac:dyDescent="0.3">
      <c r="A6" s="20" t="s">
        <v>1157</v>
      </c>
      <c r="B6" s="19">
        <v>2468</v>
      </c>
      <c r="C6">
        <v>1095</v>
      </c>
      <c r="D6">
        <v>126</v>
      </c>
      <c r="E6" s="19">
        <v>1247</v>
      </c>
    </row>
    <row r="7" spans="1:5" x14ac:dyDescent="0.3">
      <c r="A7" s="20" t="s">
        <v>1015</v>
      </c>
      <c r="B7" s="19">
        <v>4360</v>
      </c>
      <c r="C7">
        <v>2274</v>
      </c>
      <c r="D7">
        <v>194</v>
      </c>
      <c r="E7" s="19">
        <v>1892</v>
      </c>
    </row>
    <row r="8" spans="1:5" x14ac:dyDescent="0.3">
      <c r="A8" s="20" t="s">
        <v>1055</v>
      </c>
      <c r="B8" s="19">
        <v>5491</v>
      </c>
      <c r="C8">
        <v>3064</v>
      </c>
      <c r="D8">
        <v>229</v>
      </c>
      <c r="E8" s="19">
        <v>2198</v>
      </c>
    </row>
    <row r="9" spans="1:5" x14ac:dyDescent="0.3">
      <c r="A9" s="20" t="s">
        <v>1343</v>
      </c>
      <c r="B9" s="19">
        <v>4748</v>
      </c>
      <c r="C9">
        <v>2181</v>
      </c>
      <c r="D9">
        <v>266</v>
      </c>
      <c r="E9" s="19">
        <v>2301</v>
      </c>
    </row>
    <row r="10" spans="1:5" x14ac:dyDescent="0.3">
      <c r="A10" s="20" t="s">
        <v>1303</v>
      </c>
      <c r="B10" s="19">
        <v>5055</v>
      </c>
      <c r="C10">
        <v>3022</v>
      </c>
      <c r="D10">
        <v>176</v>
      </c>
      <c r="E10" s="19">
        <v>1857</v>
      </c>
    </row>
    <row r="11" spans="1:5" x14ac:dyDescent="0.3">
      <c r="A11" s="20" t="s">
        <v>1135</v>
      </c>
      <c r="B11" s="19">
        <v>1892</v>
      </c>
      <c r="C11">
        <v>871</v>
      </c>
      <c r="D11">
        <v>99</v>
      </c>
      <c r="E11" s="19">
        <v>922</v>
      </c>
    </row>
    <row r="12" spans="1:5" x14ac:dyDescent="0.3">
      <c r="A12" s="20" t="s">
        <v>1344</v>
      </c>
      <c r="B12" s="19">
        <v>6421</v>
      </c>
      <c r="C12">
        <v>3526</v>
      </c>
      <c r="D12">
        <v>267</v>
      </c>
      <c r="E12" s="19">
        <v>2628</v>
      </c>
    </row>
    <row r="13" spans="1:5" x14ac:dyDescent="0.3">
      <c r="A13" s="20" t="s">
        <v>1477</v>
      </c>
      <c r="B13" s="19">
        <v>5002</v>
      </c>
      <c r="C13">
        <v>1882</v>
      </c>
      <c r="D13">
        <v>171</v>
      </c>
      <c r="E13" s="19">
        <v>2949</v>
      </c>
    </row>
    <row r="14" spans="1:5" x14ac:dyDescent="0.3">
      <c r="A14" s="20" t="s">
        <v>1085</v>
      </c>
      <c r="B14" s="19">
        <v>20077</v>
      </c>
      <c r="C14">
        <v>11606</v>
      </c>
      <c r="D14">
        <v>1168</v>
      </c>
      <c r="E14" s="19">
        <v>7303</v>
      </c>
    </row>
    <row r="15" spans="1:5" x14ac:dyDescent="0.3">
      <c r="A15" s="20" t="s">
        <v>1374</v>
      </c>
      <c r="B15" s="19">
        <v>7864</v>
      </c>
      <c r="C15">
        <v>5045</v>
      </c>
      <c r="D15">
        <v>270</v>
      </c>
      <c r="E15" s="19">
        <v>2549</v>
      </c>
    </row>
    <row r="16" spans="1:5" x14ac:dyDescent="0.3">
      <c r="A16" s="20" t="s">
        <v>1079</v>
      </c>
      <c r="B16" s="19">
        <v>5222</v>
      </c>
      <c r="C16">
        <v>2706</v>
      </c>
      <c r="D16">
        <v>171</v>
      </c>
      <c r="E16" s="19">
        <v>2345</v>
      </c>
    </row>
    <row r="17" spans="1:5" x14ac:dyDescent="0.3">
      <c r="A17" s="20" t="s">
        <v>1393</v>
      </c>
      <c r="B17" s="19">
        <v>7531</v>
      </c>
      <c r="C17">
        <v>4358</v>
      </c>
      <c r="D17">
        <v>483</v>
      </c>
      <c r="E17" s="19">
        <v>2690</v>
      </c>
    </row>
    <row r="18" spans="1:5" x14ac:dyDescent="0.3">
      <c r="A18" s="20" t="s">
        <v>1215</v>
      </c>
      <c r="B18" s="19">
        <v>3794</v>
      </c>
      <c r="C18">
        <v>1893</v>
      </c>
      <c r="D18">
        <v>194</v>
      </c>
      <c r="E18" s="19">
        <v>1707</v>
      </c>
    </row>
    <row r="19" spans="1:5" x14ac:dyDescent="0.3">
      <c r="A19" s="20" t="s">
        <v>1162</v>
      </c>
      <c r="B19" s="19">
        <v>19627</v>
      </c>
      <c r="C19">
        <v>11259</v>
      </c>
      <c r="D19">
        <v>977</v>
      </c>
      <c r="E19" s="19">
        <v>7391</v>
      </c>
    </row>
    <row r="20" spans="1:5" x14ac:dyDescent="0.3">
      <c r="A20" s="20" t="s">
        <v>1478</v>
      </c>
      <c r="B20" s="19">
        <v>10366</v>
      </c>
      <c r="C20">
        <v>5592</v>
      </c>
      <c r="D20">
        <v>375</v>
      </c>
      <c r="E20" s="19">
        <v>4399</v>
      </c>
    </row>
    <row r="21" spans="1:5" x14ac:dyDescent="0.3">
      <c r="A21" s="20" t="s">
        <v>1269</v>
      </c>
      <c r="B21" s="19">
        <v>10503</v>
      </c>
      <c r="C21">
        <v>6108</v>
      </c>
      <c r="D21">
        <v>812</v>
      </c>
      <c r="E21" s="19">
        <v>3583</v>
      </c>
    </row>
    <row r="22" spans="1:5" x14ac:dyDescent="0.3">
      <c r="A22" s="20" t="s">
        <v>1200</v>
      </c>
      <c r="B22" s="19">
        <v>26235</v>
      </c>
      <c r="C22">
        <v>15510</v>
      </c>
      <c r="D22">
        <v>1201</v>
      </c>
      <c r="E22" s="19">
        <v>9524</v>
      </c>
    </row>
    <row r="23" spans="1:5" x14ac:dyDescent="0.3">
      <c r="A23" s="20" t="s">
        <v>1479</v>
      </c>
      <c r="B23" s="19">
        <v>4821</v>
      </c>
      <c r="C23">
        <v>2474</v>
      </c>
      <c r="D23">
        <v>207</v>
      </c>
      <c r="E23" s="19">
        <v>2140</v>
      </c>
    </row>
    <row r="24" spans="1:5" x14ac:dyDescent="0.3">
      <c r="A24" s="20" t="s">
        <v>1403</v>
      </c>
      <c r="B24" s="19">
        <v>6271</v>
      </c>
      <c r="C24">
        <v>3001</v>
      </c>
      <c r="D24">
        <v>348</v>
      </c>
      <c r="E24" s="19">
        <v>2922</v>
      </c>
    </row>
    <row r="25" spans="1:5" x14ac:dyDescent="0.3">
      <c r="A25" s="20" t="s">
        <v>1133</v>
      </c>
      <c r="B25" s="19">
        <v>2063</v>
      </c>
      <c r="C25">
        <v>1006</v>
      </c>
      <c r="D25">
        <v>128</v>
      </c>
      <c r="E25" s="19">
        <v>929</v>
      </c>
    </row>
    <row r="26" spans="1:5" x14ac:dyDescent="0.3">
      <c r="A26" s="20" t="s">
        <v>1480</v>
      </c>
      <c r="B26" s="19">
        <v>755</v>
      </c>
      <c r="C26">
        <v>374</v>
      </c>
      <c r="D26">
        <v>25</v>
      </c>
      <c r="E26" s="19">
        <v>356</v>
      </c>
    </row>
    <row r="27" spans="1:5" x14ac:dyDescent="0.3">
      <c r="A27" s="20" t="s">
        <v>1307</v>
      </c>
      <c r="B27" s="19">
        <v>16060</v>
      </c>
      <c r="C27">
        <v>9379</v>
      </c>
      <c r="D27">
        <v>833</v>
      </c>
      <c r="E27" s="19">
        <v>5848</v>
      </c>
    </row>
    <row r="28" spans="1:5" x14ac:dyDescent="0.3">
      <c r="A28" s="20" t="s">
        <v>1910</v>
      </c>
      <c r="B28" s="19">
        <v>1187</v>
      </c>
      <c r="C28">
        <v>629</v>
      </c>
      <c r="D28">
        <v>65</v>
      </c>
      <c r="E28" s="19">
        <v>493</v>
      </c>
    </row>
    <row r="29" spans="1:5" x14ac:dyDescent="0.3">
      <c r="A29" s="20" t="s">
        <v>1481</v>
      </c>
      <c r="B29" s="19">
        <v>3261</v>
      </c>
      <c r="C29">
        <v>1559</v>
      </c>
      <c r="D29">
        <v>147</v>
      </c>
      <c r="E29" s="19">
        <v>1555</v>
      </c>
    </row>
    <row r="30" spans="1:5" x14ac:dyDescent="0.3">
      <c r="A30" s="20" t="s">
        <v>1911</v>
      </c>
      <c r="B30" s="19">
        <v>1821</v>
      </c>
      <c r="C30">
        <v>823</v>
      </c>
      <c r="D30">
        <v>105</v>
      </c>
      <c r="E30" s="19">
        <v>893</v>
      </c>
    </row>
    <row r="31" spans="1:5" x14ac:dyDescent="0.3">
      <c r="A31" s="20" t="s">
        <v>1123</v>
      </c>
      <c r="B31" s="19">
        <v>1074</v>
      </c>
      <c r="C31">
        <v>591</v>
      </c>
      <c r="D31">
        <v>82</v>
      </c>
      <c r="E31" s="19">
        <v>401</v>
      </c>
    </row>
    <row r="32" spans="1:5" x14ac:dyDescent="0.3">
      <c r="A32" s="20" t="s">
        <v>1095</v>
      </c>
      <c r="B32" s="19">
        <v>3228</v>
      </c>
      <c r="C32">
        <v>1204</v>
      </c>
      <c r="D32">
        <v>183</v>
      </c>
      <c r="E32" s="19">
        <v>1841</v>
      </c>
    </row>
    <row r="33" spans="1:5" x14ac:dyDescent="0.3">
      <c r="A33" s="20" t="s">
        <v>1219</v>
      </c>
      <c r="B33" s="19">
        <v>2182</v>
      </c>
      <c r="C33">
        <v>976</v>
      </c>
      <c r="D33">
        <v>105</v>
      </c>
      <c r="E33" s="19">
        <v>1101</v>
      </c>
    </row>
    <row r="34" spans="1:5" x14ac:dyDescent="0.3">
      <c r="A34" s="20" t="s">
        <v>1204</v>
      </c>
      <c r="B34" s="19">
        <v>1968</v>
      </c>
      <c r="C34">
        <v>1045</v>
      </c>
      <c r="D34">
        <v>116</v>
      </c>
      <c r="E34" s="19">
        <v>807</v>
      </c>
    </row>
    <row r="35" spans="1:5" x14ac:dyDescent="0.3">
      <c r="A35" s="20" t="s">
        <v>1016</v>
      </c>
      <c r="B35" s="19">
        <v>556</v>
      </c>
      <c r="C35">
        <v>285</v>
      </c>
      <c r="D35">
        <v>22</v>
      </c>
      <c r="E35" s="19">
        <v>249</v>
      </c>
    </row>
    <row r="36" spans="1:5" x14ac:dyDescent="0.3">
      <c r="A36" s="20" t="s">
        <v>1297</v>
      </c>
      <c r="B36" s="19">
        <v>6827</v>
      </c>
      <c r="C36">
        <v>2813</v>
      </c>
      <c r="D36">
        <v>433</v>
      </c>
      <c r="E36" s="19">
        <v>3581</v>
      </c>
    </row>
    <row r="37" spans="1:5" x14ac:dyDescent="0.3">
      <c r="A37" s="20" t="s">
        <v>1017</v>
      </c>
      <c r="B37" s="19">
        <v>2239</v>
      </c>
      <c r="C37">
        <v>1002</v>
      </c>
      <c r="D37">
        <v>79</v>
      </c>
      <c r="E37" s="19">
        <v>1158</v>
      </c>
    </row>
    <row r="38" spans="1:5" x14ac:dyDescent="0.3">
      <c r="A38" s="20" t="s">
        <v>1366</v>
      </c>
      <c r="B38" s="19">
        <v>1108</v>
      </c>
      <c r="C38">
        <v>338</v>
      </c>
      <c r="D38">
        <v>33</v>
      </c>
      <c r="E38" s="19">
        <v>737</v>
      </c>
    </row>
    <row r="39" spans="1:5" x14ac:dyDescent="0.3">
      <c r="A39" s="20" t="s">
        <v>1482</v>
      </c>
      <c r="B39" s="19">
        <v>1015</v>
      </c>
      <c r="C39">
        <v>472</v>
      </c>
      <c r="D39">
        <v>25</v>
      </c>
      <c r="E39" s="19">
        <v>518</v>
      </c>
    </row>
    <row r="40" spans="1:5" x14ac:dyDescent="0.3">
      <c r="A40" s="20" t="s">
        <v>1077</v>
      </c>
      <c r="B40" s="19">
        <v>8554</v>
      </c>
      <c r="C40">
        <v>4913</v>
      </c>
      <c r="D40">
        <v>393</v>
      </c>
      <c r="E40" s="19">
        <v>3248</v>
      </c>
    </row>
    <row r="41" spans="1:5" x14ac:dyDescent="0.3">
      <c r="A41" s="20" t="s">
        <v>1483</v>
      </c>
      <c r="B41" s="19">
        <v>1481</v>
      </c>
      <c r="C41">
        <v>808</v>
      </c>
      <c r="D41">
        <v>32</v>
      </c>
      <c r="E41" s="19">
        <v>641</v>
      </c>
    </row>
    <row r="42" spans="1:5" x14ac:dyDescent="0.3">
      <c r="A42" s="20" t="s">
        <v>1100</v>
      </c>
      <c r="B42" s="19">
        <v>2534</v>
      </c>
      <c r="C42">
        <v>1220</v>
      </c>
      <c r="D42">
        <v>102</v>
      </c>
      <c r="E42" s="19">
        <v>1212</v>
      </c>
    </row>
    <row r="43" spans="1:5" x14ac:dyDescent="0.3">
      <c r="A43" s="20" t="s">
        <v>1053</v>
      </c>
      <c r="B43" s="19">
        <v>2491</v>
      </c>
      <c r="C43">
        <v>1286</v>
      </c>
      <c r="D43">
        <v>146</v>
      </c>
      <c r="E43" s="19">
        <v>1059</v>
      </c>
    </row>
    <row r="44" spans="1:5" x14ac:dyDescent="0.3">
      <c r="A44" s="20" t="s">
        <v>1018</v>
      </c>
      <c r="B44" s="19">
        <v>585</v>
      </c>
      <c r="C44">
        <v>187</v>
      </c>
      <c r="D44">
        <v>49</v>
      </c>
      <c r="E44" s="19">
        <v>349</v>
      </c>
    </row>
    <row r="45" spans="1:5" x14ac:dyDescent="0.3">
      <c r="A45" s="20" t="s">
        <v>1075</v>
      </c>
      <c r="B45" s="19">
        <v>2093</v>
      </c>
      <c r="C45">
        <v>1135</v>
      </c>
      <c r="D45">
        <v>89</v>
      </c>
      <c r="E45" s="19">
        <v>869</v>
      </c>
    </row>
    <row r="46" spans="1:5" x14ac:dyDescent="0.3">
      <c r="A46" s="20" t="s">
        <v>1912</v>
      </c>
      <c r="B46" s="19">
        <v>989</v>
      </c>
      <c r="C46">
        <v>249</v>
      </c>
      <c r="D46">
        <v>97</v>
      </c>
      <c r="E46" s="19">
        <v>643</v>
      </c>
    </row>
    <row r="47" spans="1:5" x14ac:dyDescent="0.3">
      <c r="A47" s="20" t="s">
        <v>1081</v>
      </c>
      <c r="B47" s="19">
        <v>1360</v>
      </c>
      <c r="C47">
        <v>619</v>
      </c>
      <c r="D47">
        <v>64</v>
      </c>
      <c r="E47" s="19">
        <v>677</v>
      </c>
    </row>
    <row r="48" spans="1:5" x14ac:dyDescent="0.3">
      <c r="A48" s="20" t="s">
        <v>1484</v>
      </c>
      <c r="B48" s="19">
        <v>5805</v>
      </c>
      <c r="C48">
        <v>2149</v>
      </c>
      <c r="D48">
        <v>452</v>
      </c>
      <c r="E48" s="19">
        <v>3204</v>
      </c>
    </row>
    <row r="49" spans="1:5" x14ac:dyDescent="0.3">
      <c r="A49" s="20" t="s">
        <v>1485</v>
      </c>
      <c r="B49" s="19">
        <v>1213</v>
      </c>
      <c r="C49">
        <v>354</v>
      </c>
      <c r="D49">
        <v>102</v>
      </c>
      <c r="E49" s="19">
        <v>757</v>
      </c>
    </row>
    <row r="50" spans="1:5" x14ac:dyDescent="0.3">
      <c r="A50" s="20" t="s">
        <v>1120</v>
      </c>
      <c r="B50" s="19">
        <v>2286</v>
      </c>
      <c r="C50">
        <v>1176</v>
      </c>
      <c r="D50">
        <v>68</v>
      </c>
      <c r="E50" s="19">
        <v>1042</v>
      </c>
    </row>
    <row r="51" spans="1:5" x14ac:dyDescent="0.3">
      <c r="A51" s="20" t="s">
        <v>1063</v>
      </c>
      <c r="B51" s="19">
        <v>583</v>
      </c>
      <c r="C51">
        <v>343</v>
      </c>
      <c r="D51">
        <v>36</v>
      </c>
      <c r="E51" s="19">
        <v>204</v>
      </c>
    </row>
    <row r="52" spans="1:5" x14ac:dyDescent="0.3">
      <c r="A52" s="20" t="s">
        <v>1090</v>
      </c>
      <c r="B52" s="19">
        <v>7785</v>
      </c>
      <c r="C52">
        <v>4548</v>
      </c>
      <c r="D52">
        <v>298</v>
      </c>
      <c r="E52" s="19">
        <v>2939</v>
      </c>
    </row>
    <row r="53" spans="1:5" x14ac:dyDescent="0.3">
      <c r="A53" s="20" t="s">
        <v>1389</v>
      </c>
      <c r="B53" s="19">
        <v>3267</v>
      </c>
      <c r="C53">
        <v>1699</v>
      </c>
      <c r="D53">
        <v>214</v>
      </c>
      <c r="E53" s="19">
        <v>1354</v>
      </c>
    </row>
    <row r="54" spans="1:5" x14ac:dyDescent="0.3">
      <c r="A54" s="20" t="s">
        <v>1913</v>
      </c>
      <c r="B54" s="19">
        <v>1823</v>
      </c>
      <c r="C54">
        <v>848</v>
      </c>
      <c r="D54">
        <v>50</v>
      </c>
      <c r="E54" s="19">
        <v>925</v>
      </c>
    </row>
    <row r="55" spans="1:5" x14ac:dyDescent="0.3">
      <c r="A55" s="20" t="s">
        <v>1486</v>
      </c>
      <c r="B55" s="19">
        <v>1312</v>
      </c>
      <c r="C55">
        <v>548</v>
      </c>
      <c r="D55">
        <v>52</v>
      </c>
      <c r="E55" s="19">
        <v>712</v>
      </c>
    </row>
    <row r="56" spans="1:5" x14ac:dyDescent="0.3">
      <c r="A56" s="20" t="s">
        <v>1487</v>
      </c>
      <c r="B56" s="19">
        <v>1161</v>
      </c>
      <c r="C56">
        <v>558</v>
      </c>
      <c r="D56">
        <v>52</v>
      </c>
      <c r="E56" s="19">
        <v>551</v>
      </c>
    </row>
    <row r="57" spans="1:5" x14ac:dyDescent="0.3">
      <c r="A57" s="20" t="s">
        <v>1193</v>
      </c>
      <c r="B57" s="19">
        <v>7817</v>
      </c>
      <c r="C57">
        <v>4734</v>
      </c>
      <c r="D57">
        <v>246</v>
      </c>
      <c r="E57" s="19">
        <v>2837</v>
      </c>
    </row>
    <row r="58" spans="1:5" x14ac:dyDescent="0.3">
      <c r="A58" s="20" t="s">
        <v>2055</v>
      </c>
      <c r="B58" s="19">
        <v>1245</v>
      </c>
      <c r="C58">
        <v>719</v>
      </c>
      <c r="D58">
        <v>48</v>
      </c>
      <c r="E58" s="19">
        <v>478</v>
      </c>
    </row>
    <row r="59" spans="1:5" x14ac:dyDescent="0.3">
      <c r="A59" s="20" t="s">
        <v>1488</v>
      </c>
      <c r="B59" s="19">
        <v>2074</v>
      </c>
      <c r="C59">
        <v>892</v>
      </c>
      <c r="D59">
        <v>182</v>
      </c>
      <c r="E59" s="19">
        <v>1000</v>
      </c>
    </row>
    <row r="60" spans="1:5" x14ac:dyDescent="0.3">
      <c r="A60" s="20" t="s">
        <v>1914</v>
      </c>
      <c r="B60" s="19">
        <v>799</v>
      </c>
      <c r="C60">
        <v>427</v>
      </c>
      <c r="D60">
        <v>22</v>
      </c>
      <c r="E60" s="19">
        <v>350</v>
      </c>
    </row>
    <row r="61" spans="1:5" x14ac:dyDescent="0.3">
      <c r="A61" s="20" t="s">
        <v>1915</v>
      </c>
      <c r="B61" s="19">
        <v>2279</v>
      </c>
      <c r="C61">
        <v>1323</v>
      </c>
      <c r="D61">
        <v>58</v>
      </c>
      <c r="E61" s="19">
        <v>898</v>
      </c>
    </row>
    <row r="62" spans="1:5" x14ac:dyDescent="0.3">
      <c r="A62" s="20" t="s">
        <v>1489</v>
      </c>
      <c r="B62" s="19">
        <v>2471</v>
      </c>
      <c r="C62">
        <v>1036</v>
      </c>
      <c r="D62">
        <v>188</v>
      </c>
      <c r="E62" s="19">
        <v>1247</v>
      </c>
    </row>
    <row r="63" spans="1:5" x14ac:dyDescent="0.3">
      <c r="A63" s="20" t="s">
        <v>1916</v>
      </c>
      <c r="B63" s="19">
        <v>1369</v>
      </c>
      <c r="C63">
        <v>847</v>
      </c>
      <c r="D63">
        <v>53</v>
      </c>
      <c r="E63" s="19">
        <v>469</v>
      </c>
    </row>
    <row r="64" spans="1:5" x14ac:dyDescent="0.3">
      <c r="A64" s="20" t="s">
        <v>1325</v>
      </c>
      <c r="B64" s="19">
        <v>1872</v>
      </c>
      <c r="C64">
        <v>854</v>
      </c>
      <c r="D64">
        <v>119</v>
      </c>
      <c r="E64" s="19">
        <v>899</v>
      </c>
    </row>
    <row r="65" spans="1:5" x14ac:dyDescent="0.3">
      <c r="A65" s="20" t="s">
        <v>1381</v>
      </c>
      <c r="B65" s="19">
        <v>717</v>
      </c>
      <c r="C65">
        <v>391</v>
      </c>
      <c r="D65">
        <v>52</v>
      </c>
      <c r="E65" s="19">
        <v>274</v>
      </c>
    </row>
    <row r="66" spans="1:5" x14ac:dyDescent="0.3">
      <c r="A66" s="20" t="s">
        <v>1069</v>
      </c>
      <c r="B66" s="19">
        <v>5038</v>
      </c>
      <c r="C66">
        <v>3042</v>
      </c>
      <c r="D66">
        <v>169</v>
      </c>
      <c r="E66" s="19">
        <v>1827</v>
      </c>
    </row>
    <row r="67" spans="1:5" x14ac:dyDescent="0.3">
      <c r="A67" s="20" t="s">
        <v>1917</v>
      </c>
      <c r="B67" s="19">
        <v>853</v>
      </c>
      <c r="C67">
        <v>531</v>
      </c>
      <c r="D67">
        <v>59</v>
      </c>
      <c r="E67" s="19">
        <v>263</v>
      </c>
    </row>
    <row r="68" spans="1:5" x14ac:dyDescent="0.3">
      <c r="A68" s="20" t="s">
        <v>1019</v>
      </c>
      <c r="B68" s="19">
        <v>1346</v>
      </c>
      <c r="C68">
        <v>830</v>
      </c>
      <c r="D68">
        <v>50</v>
      </c>
      <c r="E68" s="19">
        <v>466</v>
      </c>
    </row>
    <row r="69" spans="1:5" x14ac:dyDescent="0.3">
      <c r="A69" s="20" t="s">
        <v>1490</v>
      </c>
      <c r="B69" s="19">
        <v>916</v>
      </c>
      <c r="C69">
        <v>685</v>
      </c>
      <c r="D69">
        <v>17</v>
      </c>
      <c r="E69" s="19">
        <v>214</v>
      </c>
    </row>
    <row r="70" spans="1:5" x14ac:dyDescent="0.3">
      <c r="A70" s="20" t="s">
        <v>1918</v>
      </c>
      <c r="B70" s="19">
        <v>720</v>
      </c>
      <c r="C70">
        <v>465</v>
      </c>
      <c r="D70">
        <v>21</v>
      </c>
      <c r="E70" s="19">
        <v>234</v>
      </c>
    </row>
    <row r="71" spans="1:5" x14ac:dyDescent="0.3">
      <c r="A71" s="20" t="s">
        <v>1919</v>
      </c>
      <c r="B71" s="19">
        <v>860</v>
      </c>
      <c r="C71">
        <v>401</v>
      </c>
      <c r="D71">
        <v>31</v>
      </c>
      <c r="E71" s="19">
        <v>428</v>
      </c>
    </row>
    <row r="72" spans="1:5" x14ac:dyDescent="0.3">
      <c r="A72" s="20" t="s">
        <v>1920</v>
      </c>
      <c r="B72" s="19">
        <v>1346</v>
      </c>
      <c r="C72">
        <v>571</v>
      </c>
      <c r="D72">
        <v>76</v>
      </c>
      <c r="E72" s="19">
        <v>699</v>
      </c>
    </row>
    <row r="73" spans="1:5" x14ac:dyDescent="0.3">
      <c r="A73" s="20" t="s">
        <v>1921</v>
      </c>
      <c r="B73" s="19">
        <v>1553</v>
      </c>
      <c r="C73">
        <v>779</v>
      </c>
      <c r="D73">
        <v>111</v>
      </c>
      <c r="E73" s="19">
        <v>663</v>
      </c>
    </row>
    <row r="74" spans="1:5" x14ac:dyDescent="0.3">
      <c r="A74" s="20" t="s">
        <v>1491</v>
      </c>
      <c r="B74" s="19">
        <v>635</v>
      </c>
      <c r="C74">
        <v>257</v>
      </c>
      <c r="D74">
        <v>66</v>
      </c>
      <c r="E74" s="19">
        <v>312</v>
      </c>
    </row>
    <row r="75" spans="1:5" x14ac:dyDescent="0.3">
      <c r="A75" s="20" t="s">
        <v>1922</v>
      </c>
      <c r="B75" s="19">
        <v>1309</v>
      </c>
      <c r="C75">
        <v>830</v>
      </c>
      <c r="D75">
        <v>43</v>
      </c>
      <c r="E75" s="19">
        <v>436</v>
      </c>
    </row>
    <row r="76" spans="1:5" x14ac:dyDescent="0.3">
      <c r="A76" s="20" t="s">
        <v>1197</v>
      </c>
      <c r="B76" s="19">
        <v>2715</v>
      </c>
      <c r="C76">
        <v>1522</v>
      </c>
      <c r="D76">
        <v>157</v>
      </c>
      <c r="E76" s="19">
        <v>1036</v>
      </c>
    </row>
    <row r="77" spans="1:5" x14ac:dyDescent="0.3">
      <c r="A77" s="20" t="s">
        <v>1492</v>
      </c>
      <c r="B77" s="19">
        <v>15888</v>
      </c>
      <c r="C77">
        <v>9056</v>
      </c>
      <c r="D77">
        <v>718</v>
      </c>
      <c r="E77" s="19">
        <v>6114</v>
      </c>
    </row>
    <row r="78" spans="1:5" x14ac:dyDescent="0.3">
      <c r="A78" s="20" t="s">
        <v>1355</v>
      </c>
      <c r="B78" s="19">
        <v>46843</v>
      </c>
      <c r="C78">
        <v>19885</v>
      </c>
      <c r="D78">
        <v>4300</v>
      </c>
      <c r="E78" s="19">
        <v>22658</v>
      </c>
    </row>
    <row r="79" spans="1:5" x14ac:dyDescent="0.3">
      <c r="A79" s="20" t="s">
        <v>1923</v>
      </c>
      <c r="B79" s="19">
        <v>1348</v>
      </c>
      <c r="C79">
        <v>562</v>
      </c>
      <c r="D79">
        <v>174</v>
      </c>
      <c r="E79" s="19">
        <v>612</v>
      </c>
    </row>
    <row r="80" spans="1:5" x14ac:dyDescent="0.3">
      <c r="A80" s="20" t="s">
        <v>1137</v>
      </c>
      <c r="B80" s="19">
        <v>1784</v>
      </c>
      <c r="C80">
        <v>651</v>
      </c>
      <c r="D80">
        <v>121</v>
      </c>
      <c r="E80" s="19">
        <v>1012</v>
      </c>
    </row>
    <row r="81" spans="1:5" x14ac:dyDescent="0.3">
      <c r="A81" s="20" t="s">
        <v>1493</v>
      </c>
      <c r="B81" s="19">
        <v>4103</v>
      </c>
      <c r="C81">
        <v>1790</v>
      </c>
      <c r="D81">
        <v>268</v>
      </c>
      <c r="E81" s="19">
        <v>2045</v>
      </c>
    </row>
    <row r="82" spans="1:5" x14ac:dyDescent="0.3">
      <c r="A82" s="20" t="s">
        <v>1494</v>
      </c>
      <c r="B82" s="19">
        <v>1399</v>
      </c>
      <c r="C82">
        <v>434</v>
      </c>
      <c r="D82">
        <v>91</v>
      </c>
      <c r="E82" s="19">
        <v>874</v>
      </c>
    </row>
    <row r="83" spans="1:5" x14ac:dyDescent="0.3">
      <c r="A83" s="20" t="s">
        <v>1495</v>
      </c>
      <c r="B83" s="19">
        <v>3262</v>
      </c>
      <c r="C83">
        <v>1191</v>
      </c>
      <c r="D83">
        <v>311</v>
      </c>
      <c r="E83" s="19">
        <v>1760</v>
      </c>
    </row>
    <row r="84" spans="1:5" x14ac:dyDescent="0.3">
      <c r="A84" s="20" t="s">
        <v>1236</v>
      </c>
      <c r="B84" s="19">
        <v>1450</v>
      </c>
      <c r="C84">
        <v>534</v>
      </c>
      <c r="D84">
        <v>113</v>
      </c>
      <c r="E84" s="19">
        <v>803</v>
      </c>
    </row>
    <row r="85" spans="1:5" x14ac:dyDescent="0.3">
      <c r="A85" s="20" t="s">
        <v>1295</v>
      </c>
      <c r="B85" s="19">
        <v>6215</v>
      </c>
      <c r="C85">
        <v>960</v>
      </c>
      <c r="D85">
        <v>585</v>
      </c>
      <c r="E85" s="19">
        <v>4670</v>
      </c>
    </row>
    <row r="86" spans="1:5" x14ac:dyDescent="0.3">
      <c r="A86" s="20" t="s">
        <v>1496</v>
      </c>
      <c r="B86" s="19">
        <v>5812</v>
      </c>
      <c r="C86">
        <v>3137</v>
      </c>
      <c r="D86">
        <v>399</v>
      </c>
      <c r="E86" s="19">
        <v>2276</v>
      </c>
    </row>
    <row r="87" spans="1:5" x14ac:dyDescent="0.3">
      <c r="A87" s="20" t="s">
        <v>1497</v>
      </c>
      <c r="B87" s="19">
        <v>10433</v>
      </c>
      <c r="C87">
        <v>4853</v>
      </c>
      <c r="D87">
        <v>628</v>
      </c>
      <c r="E87" s="19">
        <v>4952</v>
      </c>
    </row>
    <row r="88" spans="1:5" x14ac:dyDescent="0.3">
      <c r="A88" s="20" t="s">
        <v>1498</v>
      </c>
      <c r="B88" s="19">
        <v>4369</v>
      </c>
      <c r="C88">
        <v>2017</v>
      </c>
      <c r="D88">
        <v>309</v>
      </c>
      <c r="E88" s="19">
        <v>2043</v>
      </c>
    </row>
    <row r="89" spans="1:5" x14ac:dyDescent="0.3">
      <c r="A89" s="20" t="s">
        <v>1119</v>
      </c>
      <c r="B89" s="19">
        <v>4754</v>
      </c>
      <c r="C89">
        <v>2262</v>
      </c>
      <c r="D89">
        <v>446</v>
      </c>
      <c r="E89" s="19">
        <v>2046</v>
      </c>
    </row>
    <row r="90" spans="1:5" x14ac:dyDescent="0.3">
      <c r="A90" s="20" t="s">
        <v>1221</v>
      </c>
      <c r="B90" s="19">
        <v>2085</v>
      </c>
      <c r="C90">
        <v>663</v>
      </c>
      <c r="D90">
        <v>390</v>
      </c>
      <c r="E90" s="19">
        <v>1032</v>
      </c>
    </row>
    <row r="91" spans="1:5" x14ac:dyDescent="0.3">
      <c r="A91" s="20" t="s">
        <v>1499</v>
      </c>
      <c r="B91" s="19">
        <v>1993</v>
      </c>
      <c r="C91">
        <v>897</v>
      </c>
      <c r="D91">
        <v>106</v>
      </c>
      <c r="E91" s="19">
        <v>990</v>
      </c>
    </row>
    <row r="92" spans="1:5" x14ac:dyDescent="0.3">
      <c r="A92" s="20" t="s">
        <v>1160</v>
      </c>
      <c r="B92" s="19">
        <v>907</v>
      </c>
      <c r="C92">
        <v>353</v>
      </c>
      <c r="D92">
        <v>111</v>
      </c>
      <c r="E92" s="19">
        <v>443</v>
      </c>
    </row>
    <row r="93" spans="1:5" x14ac:dyDescent="0.3">
      <c r="A93" s="20" t="s">
        <v>1500</v>
      </c>
      <c r="B93" s="19">
        <v>2330</v>
      </c>
      <c r="C93">
        <v>964</v>
      </c>
      <c r="D93">
        <v>208</v>
      </c>
      <c r="E93" s="19">
        <v>1158</v>
      </c>
    </row>
    <row r="94" spans="1:5" x14ac:dyDescent="0.3">
      <c r="A94" s="20" t="s">
        <v>1501</v>
      </c>
      <c r="B94" s="19">
        <v>10987</v>
      </c>
      <c r="C94">
        <v>5125</v>
      </c>
      <c r="D94">
        <v>972</v>
      </c>
      <c r="E94" s="19">
        <v>4890</v>
      </c>
    </row>
    <row r="95" spans="1:5" x14ac:dyDescent="0.3">
      <c r="A95" s="20" t="s">
        <v>1262</v>
      </c>
      <c r="B95" s="19">
        <v>10911</v>
      </c>
      <c r="C95">
        <v>5371</v>
      </c>
      <c r="D95">
        <v>652</v>
      </c>
      <c r="E95" s="19">
        <v>4888</v>
      </c>
    </row>
    <row r="96" spans="1:5" x14ac:dyDescent="0.3">
      <c r="A96" s="20" t="s">
        <v>1502</v>
      </c>
      <c r="B96" s="19">
        <v>1990</v>
      </c>
      <c r="C96">
        <v>859</v>
      </c>
      <c r="D96">
        <v>213</v>
      </c>
      <c r="E96" s="19">
        <v>918</v>
      </c>
    </row>
    <row r="97" spans="1:5" x14ac:dyDescent="0.3">
      <c r="A97" s="20" t="s">
        <v>1503</v>
      </c>
      <c r="B97" s="19">
        <v>2292</v>
      </c>
      <c r="C97">
        <v>896</v>
      </c>
      <c r="D97">
        <v>78</v>
      </c>
      <c r="E97" s="19">
        <v>1318</v>
      </c>
    </row>
    <row r="98" spans="1:5" x14ac:dyDescent="0.3">
      <c r="A98" s="20" t="s">
        <v>1504</v>
      </c>
      <c r="B98" s="19">
        <v>766</v>
      </c>
      <c r="C98">
        <v>272</v>
      </c>
      <c r="D98">
        <v>56</v>
      </c>
      <c r="E98" s="19">
        <v>438</v>
      </c>
    </row>
    <row r="99" spans="1:5" x14ac:dyDescent="0.3">
      <c r="A99" s="20" t="s">
        <v>1505</v>
      </c>
      <c r="B99" s="19">
        <v>3996</v>
      </c>
      <c r="C99">
        <v>1315</v>
      </c>
      <c r="D99">
        <v>583</v>
      </c>
      <c r="E99" s="19">
        <v>2098</v>
      </c>
    </row>
    <row r="100" spans="1:5" x14ac:dyDescent="0.3">
      <c r="A100" s="20" t="s">
        <v>1506</v>
      </c>
      <c r="B100" s="19">
        <v>1260</v>
      </c>
      <c r="C100">
        <v>443</v>
      </c>
      <c r="D100">
        <v>113</v>
      </c>
      <c r="E100" s="19">
        <v>704</v>
      </c>
    </row>
    <row r="101" spans="1:5" x14ac:dyDescent="0.3">
      <c r="A101" s="20" t="s">
        <v>1507</v>
      </c>
      <c r="B101" s="19">
        <v>829</v>
      </c>
      <c r="C101">
        <v>364</v>
      </c>
      <c r="D101">
        <v>12</v>
      </c>
      <c r="E101" s="19">
        <v>453</v>
      </c>
    </row>
    <row r="102" spans="1:5" x14ac:dyDescent="0.3">
      <c r="A102" s="20" t="s">
        <v>1508</v>
      </c>
      <c r="B102" s="19">
        <v>11683</v>
      </c>
      <c r="C102">
        <v>5450</v>
      </c>
      <c r="D102">
        <v>955</v>
      </c>
      <c r="E102" s="19">
        <v>5278</v>
      </c>
    </row>
    <row r="103" spans="1:5" x14ac:dyDescent="0.3">
      <c r="A103" s="20" t="s">
        <v>1509</v>
      </c>
      <c r="B103" s="19">
        <v>5220</v>
      </c>
      <c r="C103">
        <v>2607</v>
      </c>
      <c r="D103">
        <v>405</v>
      </c>
      <c r="E103" s="19">
        <v>2208</v>
      </c>
    </row>
    <row r="104" spans="1:5" x14ac:dyDescent="0.3">
      <c r="A104" s="20" t="s">
        <v>1167</v>
      </c>
      <c r="B104" s="19">
        <v>31546</v>
      </c>
      <c r="C104">
        <v>17436</v>
      </c>
      <c r="D104">
        <v>1885</v>
      </c>
      <c r="E104" s="19">
        <v>12225</v>
      </c>
    </row>
    <row r="105" spans="1:5" x14ac:dyDescent="0.3">
      <c r="A105" s="20" t="s">
        <v>1057</v>
      </c>
      <c r="B105" s="19">
        <v>2739</v>
      </c>
      <c r="C105">
        <v>1205</v>
      </c>
      <c r="D105">
        <v>126</v>
      </c>
      <c r="E105" s="19">
        <v>1408</v>
      </c>
    </row>
    <row r="106" spans="1:5" x14ac:dyDescent="0.3">
      <c r="A106" s="20" t="s">
        <v>1089</v>
      </c>
      <c r="B106" s="19">
        <v>6796</v>
      </c>
      <c r="C106">
        <v>3176</v>
      </c>
      <c r="D106">
        <v>416</v>
      </c>
      <c r="E106" s="19">
        <v>3204</v>
      </c>
    </row>
    <row r="107" spans="1:5" x14ac:dyDescent="0.3">
      <c r="A107" s="20" t="s">
        <v>1087</v>
      </c>
      <c r="B107" s="19">
        <v>6492</v>
      </c>
      <c r="C107">
        <v>3387</v>
      </c>
      <c r="D107">
        <v>384</v>
      </c>
      <c r="E107" s="19">
        <v>2721</v>
      </c>
    </row>
    <row r="108" spans="1:5" x14ac:dyDescent="0.3">
      <c r="A108" s="20" t="s">
        <v>1062</v>
      </c>
      <c r="B108" s="19">
        <v>2908</v>
      </c>
      <c r="C108">
        <v>1403</v>
      </c>
      <c r="D108">
        <v>230</v>
      </c>
      <c r="E108" s="19">
        <v>1275</v>
      </c>
    </row>
    <row r="109" spans="1:5" x14ac:dyDescent="0.3">
      <c r="A109" s="20" t="s">
        <v>1510</v>
      </c>
      <c r="B109" s="19">
        <v>1286</v>
      </c>
      <c r="C109">
        <v>347</v>
      </c>
      <c r="D109">
        <v>210</v>
      </c>
      <c r="E109" s="19">
        <v>729</v>
      </c>
    </row>
    <row r="110" spans="1:5" x14ac:dyDescent="0.3">
      <c r="A110" s="20" t="s">
        <v>1511</v>
      </c>
      <c r="B110" s="19">
        <v>1064</v>
      </c>
      <c r="C110">
        <v>237</v>
      </c>
      <c r="D110">
        <v>172</v>
      </c>
      <c r="E110" s="19">
        <v>655</v>
      </c>
    </row>
    <row r="111" spans="1:5" x14ac:dyDescent="0.3">
      <c r="A111" s="20" t="s">
        <v>1088</v>
      </c>
      <c r="B111" s="19">
        <v>2716</v>
      </c>
      <c r="C111">
        <v>1353</v>
      </c>
      <c r="D111">
        <v>204</v>
      </c>
      <c r="E111" s="19">
        <v>1159</v>
      </c>
    </row>
    <row r="112" spans="1:5" x14ac:dyDescent="0.3">
      <c r="A112" s="20" t="s">
        <v>1512</v>
      </c>
      <c r="B112" s="19">
        <v>879</v>
      </c>
      <c r="C112">
        <v>406</v>
      </c>
      <c r="D112">
        <v>49</v>
      </c>
      <c r="E112" s="19">
        <v>424</v>
      </c>
    </row>
    <row r="113" spans="1:5" x14ac:dyDescent="0.3">
      <c r="A113" s="20" t="s">
        <v>1122</v>
      </c>
      <c r="B113" s="19">
        <v>9433</v>
      </c>
      <c r="C113">
        <v>4471</v>
      </c>
      <c r="D113">
        <v>539</v>
      </c>
      <c r="E113" s="19">
        <v>4423</v>
      </c>
    </row>
    <row r="114" spans="1:5" x14ac:dyDescent="0.3">
      <c r="A114" s="20" t="s">
        <v>1256</v>
      </c>
      <c r="B114" s="19">
        <v>1633</v>
      </c>
      <c r="C114">
        <v>641</v>
      </c>
      <c r="D114">
        <v>115</v>
      </c>
      <c r="E114" s="19">
        <v>877</v>
      </c>
    </row>
    <row r="115" spans="1:5" x14ac:dyDescent="0.3">
      <c r="A115" s="20" t="s">
        <v>1048</v>
      </c>
      <c r="B115" s="19">
        <v>1056</v>
      </c>
      <c r="C115">
        <v>490</v>
      </c>
      <c r="D115">
        <v>52</v>
      </c>
      <c r="E115" s="19">
        <v>514</v>
      </c>
    </row>
    <row r="116" spans="1:5" x14ac:dyDescent="0.3">
      <c r="A116" s="20" t="s">
        <v>1106</v>
      </c>
      <c r="B116" s="19">
        <v>841</v>
      </c>
      <c r="C116">
        <v>359</v>
      </c>
      <c r="D116">
        <v>47</v>
      </c>
      <c r="E116" s="19">
        <v>435</v>
      </c>
    </row>
    <row r="117" spans="1:5" x14ac:dyDescent="0.3">
      <c r="A117" s="20" t="s">
        <v>1513</v>
      </c>
      <c r="B117" s="19">
        <v>1237</v>
      </c>
      <c r="C117">
        <v>466</v>
      </c>
      <c r="D117">
        <v>98</v>
      </c>
      <c r="E117" s="19">
        <v>673</v>
      </c>
    </row>
    <row r="118" spans="1:5" x14ac:dyDescent="0.3">
      <c r="A118" s="20" t="s">
        <v>1115</v>
      </c>
      <c r="B118" s="19">
        <v>13285</v>
      </c>
      <c r="C118">
        <v>6995</v>
      </c>
      <c r="D118">
        <v>817</v>
      </c>
      <c r="E118" s="19">
        <v>5473</v>
      </c>
    </row>
    <row r="119" spans="1:5" x14ac:dyDescent="0.3">
      <c r="A119" s="20" t="s">
        <v>1924</v>
      </c>
      <c r="B119" s="19">
        <v>2242</v>
      </c>
      <c r="C119">
        <v>664</v>
      </c>
      <c r="D119">
        <v>183</v>
      </c>
      <c r="E119" s="19">
        <v>1395</v>
      </c>
    </row>
    <row r="120" spans="1:5" x14ac:dyDescent="0.3">
      <c r="A120" s="20" t="s">
        <v>1020</v>
      </c>
      <c r="B120" s="19">
        <v>2067</v>
      </c>
      <c r="C120">
        <v>962</v>
      </c>
      <c r="D120">
        <v>108</v>
      </c>
      <c r="E120" s="19">
        <v>997</v>
      </c>
    </row>
    <row r="121" spans="1:5" x14ac:dyDescent="0.3">
      <c r="A121" s="20" t="s">
        <v>1514</v>
      </c>
      <c r="B121" s="19">
        <v>1579</v>
      </c>
      <c r="C121">
        <v>397</v>
      </c>
      <c r="D121">
        <v>171</v>
      </c>
      <c r="E121" s="19">
        <v>1011</v>
      </c>
    </row>
    <row r="122" spans="1:5" x14ac:dyDescent="0.3">
      <c r="A122" s="20" t="s">
        <v>1206</v>
      </c>
      <c r="B122" s="19">
        <v>2250</v>
      </c>
      <c r="C122">
        <v>757</v>
      </c>
      <c r="D122">
        <v>165</v>
      </c>
      <c r="E122" s="19">
        <v>1328</v>
      </c>
    </row>
    <row r="123" spans="1:5" x14ac:dyDescent="0.3">
      <c r="A123" s="20" t="s">
        <v>1021</v>
      </c>
      <c r="B123" s="19">
        <v>4365</v>
      </c>
      <c r="C123">
        <v>1781</v>
      </c>
      <c r="D123">
        <v>313</v>
      </c>
      <c r="E123" s="19">
        <v>2271</v>
      </c>
    </row>
    <row r="124" spans="1:5" x14ac:dyDescent="0.3">
      <c r="A124" s="20" t="s">
        <v>1515</v>
      </c>
      <c r="B124" s="19">
        <v>4977</v>
      </c>
      <c r="C124">
        <v>1851</v>
      </c>
      <c r="D124">
        <v>437</v>
      </c>
      <c r="E124" s="19">
        <v>2689</v>
      </c>
    </row>
    <row r="125" spans="1:5" x14ac:dyDescent="0.3">
      <c r="A125" s="20" t="s">
        <v>1516</v>
      </c>
      <c r="B125" s="19">
        <v>1276</v>
      </c>
      <c r="C125">
        <v>466</v>
      </c>
      <c r="D125">
        <v>156</v>
      </c>
      <c r="E125" s="19">
        <v>654</v>
      </c>
    </row>
    <row r="126" spans="1:5" x14ac:dyDescent="0.3">
      <c r="A126" s="20" t="s">
        <v>1517</v>
      </c>
      <c r="B126" s="19">
        <v>1519</v>
      </c>
      <c r="C126">
        <v>788</v>
      </c>
      <c r="D126">
        <v>46</v>
      </c>
      <c r="E126" s="19">
        <v>685</v>
      </c>
    </row>
    <row r="127" spans="1:5" x14ac:dyDescent="0.3">
      <c r="A127" s="20" t="s">
        <v>1518</v>
      </c>
      <c r="B127" s="19">
        <v>1235</v>
      </c>
      <c r="C127">
        <v>384</v>
      </c>
      <c r="D127">
        <v>121</v>
      </c>
      <c r="E127" s="19">
        <v>730</v>
      </c>
    </row>
    <row r="128" spans="1:5" x14ac:dyDescent="0.3">
      <c r="A128" s="20" t="s">
        <v>1925</v>
      </c>
      <c r="B128" s="19">
        <v>973</v>
      </c>
      <c r="C128">
        <v>396</v>
      </c>
      <c r="D128">
        <v>54</v>
      </c>
      <c r="E128" s="19">
        <v>523</v>
      </c>
    </row>
    <row r="129" spans="1:5" x14ac:dyDescent="0.3">
      <c r="A129" s="20" t="s">
        <v>1519</v>
      </c>
      <c r="B129" s="19">
        <v>2600</v>
      </c>
      <c r="C129">
        <v>1173</v>
      </c>
      <c r="D129">
        <v>162</v>
      </c>
      <c r="E129" s="19">
        <v>1265</v>
      </c>
    </row>
    <row r="130" spans="1:5" x14ac:dyDescent="0.3">
      <c r="A130" s="20" t="s">
        <v>1240</v>
      </c>
      <c r="B130" s="19">
        <v>32702</v>
      </c>
      <c r="C130">
        <v>16907</v>
      </c>
      <c r="D130">
        <v>1891</v>
      </c>
      <c r="E130" s="19">
        <v>13904</v>
      </c>
    </row>
    <row r="131" spans="1:5" x14ac:dyDescent="0.3">
      <c r="A131" s="20" t="s">
        <v>1070</v>
      </c>
      <c r="B131" s="19">
        <v>3325</v>
      </c>
      <c r="C131">
        <v>1690</v>
      </c>
      <c r="D131">
        <v>161</v>
      </c>
      <c r="E131" s="19">
        <v>1474</v>
      </c>
    </row>
    <row r="132" spans="1:5" x14ac:dyDescent="0.3">
      <c r="A132" s="20" t="s">
        <v>1926</v>
      </c>
      <c r="B132" s="19">
        <v>7432</v>
      </c>
      <c r="C132">
        <v>3653</v>
      </c>
      <c r="D132">
        <v>642</v>
      </c>
      <c r="E132" s="19">
        <v>3137</v>
      </c>
    </row>
    <row r="133" spans="1:5" x14ac:dyDescent="0.3">
      <c r="A133" s="20" t="s">
        <v>1188</v>
      </c>
      <c r="B133" s="19">
        <v>6695</v>
      </c>
      <c r="C133">
        <v>2991</v>
      </c>
      <c r="D133">
        <v>479</v>
      </c>
      <c r="E133" s="19">
        <v>3225</v>
      </c>
    </row>
    <row r="134" spans="1:5" x14ac:dyDescent="0.3">
      <c r="A134" s="20" t="s">
        <v>1319</v>
      </c>
      <c r="B134" s="19">
        <v>3133</v>
      </c>
      <c r="C134">
        <v>1325</v>
      </c>
      <c r="D134">
        <v>206</v>
      </c>
      <c r="E134" s="19">
        <v>1602</v>
      </c>
    </row>
    <row r="135" spans="1:5" x14ac:dyDescent="0.3">
      <c r="A135" s="20" t="s">
        <v>1059</v>
      </c>
      <c r="B135" s="19">
        <v>1413</v>
      </c>
      <c r="C135">
        <v>628</v>
      </c>
      <c r="D135">
        <v>136</v>
      </c>
      <c r="E135" s="19">
        <v>649</v>
      </c>
    </row>
    <row r="136" spans="1:5" x14ac:dyDescent="0.3">
      <c r="A136" s="20" t="s">
        <v>1022</v>
      </c>
      <c r="B136" s="19">
        <v>3414</v>
      </c>
      <c r="C136">
        <v>1136</v>
      </c>
      <c r="D136">
        <v>315</v>
      </c>
      <c r="E136" s="19">
        <v>1963</v>
      </c>
    </row>
    <row r="137" spans="1:5" x14ac:dyDescent="0.3">
      <c r="A137" s="20" t="s">
        <v>1429</v>
      </c>
      <c r="B137" s="19">
        <v>50018</v>
      </c>
      <c r="C137">
        <v>27624</v>
      </c>
      <c r="D137">
        <v>4053</v>
      </c>
      <c r="E137" s="19">
        <v>18341</v>
      </c>
    </row>
    <row r="138" spans="1:5" x14ac:dyDescent="0.3">
      <c r="A138" s="20" t="s">
        <v>1056</v>
      </c>
      <c r="B138" s="19">
        <v>1663</v>
      </c>
      <c r="C138">
        <v>820</v>
      </c>
      <c r="D138">
        <v>121</v>
      </c>
      <c r="E138" s="19">
        <v>722</v>
      </c>
    </row>
    <row r="139" spans="1:5" x14ac:dyDescent="0.3">
      <c r="A139" s="20" t="s">
        <v>1116</v>
      </c>
      <c r="B139" s="19">
        <v>7917</v>
      </c>
      <c r="C139">
        <v>4483</v>
      </c>
      <c r="D139">
        <v>323</v>
      </c>
      <c r="E139" s="19">
        <v>3111</v>
      </c>
    </row>
    <row r="140" spans="1:5" x14ac:dyDescent="0.3">
      <c r="A140" s="20" t="s">
        <v>1520</v>
      </c>
      <c r="B140" s="19">
        <v>1507</v>
      </c>
      <c r="C140">
        <v>930</v>
      </c>
      <c r="D140">
        <v>37</v>
      </c>
      <c r="E140" s="19">
        <v>540</v>
      </c>
    </row>
    <row r="141" spans="1:5" x14ac:dyDescent="0.3">
      <c r="A141" s="20" t="s">
        <v>1521</v>
      </c>
      <c r="B141" s="19">
        <v>527</v>
      </c>
      <c r="C141">
        <v>280</v>
      </c>
      <c r="D141">
        <v>28</v>
      </c>
      <c r="E141" s="19">
        <v>219</v>
      </c>
    </row>
    <row r="142" spans="1:5" x14ac:dyDescent="0.3">
      <c r="A142" s="20" t="s">
        <v>1522</v>
      </c>
      <c r="B142" s="19">
        <v>824</v>
      </c>
      <c r="C142">
        <v>169</v>
      </c>
      <c r="D142">
        <v>210</v>
      </c>
      <c r="E142" s="19">
        <v>445</v>
      </c>
    </row>
    <row r="143" spans="1:5" x14ac:dyDescent="0.3">
      <c r="A143" s="20" t="s">
        <v>1523</v>
      </c>
      <c r="B143" s="19">
        <v>2009</v>
      </c>
      <c r="C143">
        <v>955</v>
      </c>
      <c r="D143">
        <v>186</v>
      </c>
      <c r="E143" s="19">
        <v>868</v>
      </c>
    </row>
    <row r="144" spans="1:5" x14ac:dyDescent="0.3">
      <c r="A144" s="20" t="s">
        <v>1138</v>
      </c>
      <c r="B144" s="19">
        <v>1390</v>
      </c>
      <c r="C144">
        <v>709</v>
      </c>
      <c r="D144">
        <v>115</v>
      </c>
      <c r="E144" s="19">
        <v>566</v>
      </c>
    </row>
    <row r="145" spans="1:5" x14ac:dyDescent="0.3">
      <c r="A145" s="20" t="s">
        <v>1524</v>
      </c>
      <c r="B145" s="19">
        <v>2744</v>
      </c>
      <c r="C145">
        <v>1188</v>
      </c>
      <c r="D145">
        <v>181</v>
      </c>
      <c r="E145" s="19">
        <v>1375</v>
      </c>
    </row>
    <row r="146" spans="1:5" x14ac:dyDescent="0.3">
      <c r="A146" s="20" t="s">
        <v>1525</v>
      </c>
      <c r="B146" s="19">
        <v>1825</v>
      </c>
      <c r="C146">
        <v>984</v>
      </c>
      <c r="D146">
        <v>60</v>
      </c>
      <c r="E146" s="19">
        <v>781</v>
      </c>
    </row>
    <row r="147" spans="1:5" x14ac:dyDescent="0.3">
      <c r="A147" s="20" t="s">
        <v>1174</v>
      </c>
      <c r="B147" s="19">
        <v>4552</v>
      </c>
      <c r="C147">
        <v>2711</v>
      </c>
      <c r="D147">
        <v>220</v>
      </c>
      <c r="E147" s="19">
        <v>1621</v>
      </c>
    </row>
    <row r="148" spans="1:5" x14ac:dyDescent="0.3">
      <c r="A148" s="20" t="s">
        <v>1526</v>
      </c>
      <c r="B148" s="19">
        <v>1118</v>
      </c>
      <c r="C148">
        <v>663</v>
      </c>
      <c r="D148">
        <v>35</v>
      </c>
      <c r="E148" s="19">
        <v>420</v>
      </c>
    </row>
    <row r="149" spans="1:5" x14ac:dyDescent="0.3">
      <c r="A149" s="20" t="s">
        <v>1210</v>
      </c>
      <c r="B149" s="19">
        <v>1974</v>
      </c>
      <c r="C149">
        <v>1084</v>
      </c>
      <c r="D149">
        <v>169</v>
      </c>
      <c r="E149" s="19">
        <v>721</v>
      </c>
    </row>
    <row r="150" spans="1:5" x14ac:dyDescent="0.3">
      <c r="A150" s="20" t="s">
        <v>1527</v>
      </c>
      <c r="B150" s="19">
        <v>1312</v>
      </c>
      <c r="C150">
        <v>702</v>
      </c>
      <c r="D150">
        <v>37</v>
      </c>
      <c r="E150" s="19">
        <v>573</v>
      </c>
    </row>
    <row r="151" spans="1:5" x14ac:dyDescent="0.3">
      <c r="A151" s="20" t="s">
        <v>1091</v>
      </c>
      <c r="B151" s="19">
        <v>1714</v>
      </c>
      <c r="C151">
        <v>1019</v>
      </c>
      <c r="D151">
        <v>33</v>
      </c>
      <c r="E151" s="19">
        <v>662</v>
      </c>
    </row>
    <row r="152" spans="1:5" x14ac:dyDescent="0.3">
      <c r="A152" s="20" t="s">
        <v>1528</v>
      </c>
      <c r="B152" s="19">
        <v>1455</v>
      </c>
      <c r="C152">
        <v>789</v>
      </c>
      <c r="D152">
        <v>89</v>
      </c>
      <c r="E152" s="19">
        <v>577</v>
      </c>
    </row>
    <row r="153" spans="1:5" x14ac:dyDescent="0.3">
      <c r="A153" s="20" t="s">
        <v>1134</v>
      </c>
      <c r="B153" s="19">
        <v>5390</v>
      </c>
      <c r="C153">
        <v>3123</v>
      </c>
      <c r="D153">
        <v>274</v>
      </c>
      <c r="E153" s="19">
        <v>1993</v>
      </c>
    </row>
    <row r="154" spans="1:5" x14ac:dyDescent="0.3">
      <c r="A154" s="20" t="s">
        <v>1529</v>
      </c>
      <c r="B154" s="19">
        <v>577</v>
      </c>
      <c r="C154">
        <v>257</v>
      </c>
      <c r="D154">
        <v>49</v>
      </c>
      <c r="E154" s="19">
        <v>271</v>
      </c>
    </row>
    <row r="155" spans="1:5" x14ac:dyDescent="0.3">
      <c r="A155" s="20" t="s">
        <v>1530</v>
      </c>
      <c r="B155" s="19">
        <v>2904</v>
      </c>
      <c r="C155">
        <v>1532</v>
      </c>
      <c r="D155">
        <v>74</v>
      </c>
      <c r="E155" s="19">
        <v>1298</v>
      </c>
    </row>
    <row r="156" spans="1:5" x14ac:dyDescent="0.3">
      <c r="A156" s="20" t="s">
        <v>1153</v>
      </c>
      <c r="B156" s="19">
        <v>2334</v>
      </c>
      <c r="C156">
        <v>1221</v>
      </c>
      <c r="D156">
        <v>76</v>
      </c>
      <c r="E156" s="19">
        <v>1037</v>
      </c>
    </row>
    <row r="157" spans="1:5" x14ac:dyDescent="0.3">
      <c r="A157" s="20" t="s">
        <v>1180</v>
      </c>
      <c r="B157" s="19">
        <v>5430</v>
      </c>
      <c r="C157">
        <v>2951</v>
      </c>
      <c r="D157">
        <v>272</v>
      </c>
      <c r="E157" s="19">
        <v>2207</v>
      </c>
    </row>
    <row r="158" spans="1:5" x14ac:dyDescent="0.3">
      <c r="A158" s="20" t="s">
        <v>1216</v>
      </c>
      <c r="B158" s="19">
        <v>2120</v>
      </c>
      <c r="C158">
        <v>1020</v>
      </c>
      <c r="D158">
        <v>116</v>
      </c>
      <c r="E158" s="19">
        <v>984</v>
      </c>
    </row>
    <row r="159" spans="1:5" x14ac:dyDescent="0.3">
      <c r="A159" s="20" t="s">
        <v>1531</v>
      </c>
      <c r="B159" s="19">
        <v>1459</v>
      </c>
      <c r="C159">
        <v>695</v>
      </c>
      <c r="D159">
        <v>74</v>
      </c>
      <c r="E159" s="19">
        <v>690</v>
      </c>
    </row>
    <row r="160" spans="1:5" x14ac:dyDescent="0.3">
      <c r="A160" s="20" t="s">
        <v>1290</v>
      </c>
      <c r="B160" s="19">
        <v>1121</v>
      </c>
      <c r="C160">
        <v>584</v>
      </c>
      <c r="D160">
        <v>48</v>
      </c>
      <c r="E160" s="19">
        <v>489</v>
      </c>
    </row>
    <row r="161" spans="1:5" x14ac:dyDescent="0.3">
      <c r="A161" s="20" t="s">
        <v>1179</v>
      </c>
      <c r="B161" s="19">
        <v>15820</v>
      </c>
      <c r="C161">
        <v>8844</v>
      </c>
      <c r="D161">
        <v>1164</v>
      </c>
      <c r="E161" s="19">
        <v>5812</v>
      </c>
    </row>
    <row r="162" spans="1:5" x14ac:dyDescent="0.3">
      <c r="A162" s="20" t="s">
        <v>1532</v>
      </c>
      <c r="B162" s="19">
        <v>2256</v>
      </c>
      <c r="C162">
        <v>1247</v>
      </c>
      <c r="D162">
        <v>123</v>
      </c>
      <c r="E162" s="19">
        <v>886</v>
      </c>
    </row>
    <row r="163" spans="1:5" x14ac:dyDescent="0.3">
      <c r="A163" s="20" t="s">
        <v>1927</v>
      </c>
      <c r="B163" s="19">
        <v>500</v>
      </c>
      <c r="C163">
        <v>257</v>
      </c>
      <c r="D163">
        <v>18</v>
      </c>
      <c r="E163" s="19">
        <v>225</v>
      </c>
    </row>
    <row r="164" spans="1:5" x14ac:dyDescent="0.3">
      <c r="A164" s="20" t="s">
        <v>1533</v>
      </c>
      <c r="B164" s="19">
        <v>862</v>
      </c>
      <c r="C164">
        <v>497</v>
      </c>
      <c r="D164">
        <v>44</v>
      </c>
      <c r="E164" s="19">
        <v>321</v>
      </c>
    </row>
    <row r="165" spans="1:5" x14ac:dyDescent="0.3">
      <c r="A165" s="20" t="s">
        <v>1928</v>
      </c>
      <c r="B165" s="19">
        <v>2646</v>
      </c>
      <c r="C165">
        <v>1293</v>
      </c>
      <c r="D165">
        <v>320</v>
      </c>
      <c r="E165" s="19">
        <v>1033</v>
      </c>
    </row>
    <row r="166" spans="1:5" x14ac:dyDescent="0.3">
      <c r="A166" s="20" t="s">
        <v>1929</v>
      </c>
      <c r="B166" s="19">
        <v>736</v>
      </c>
      <c r="C166">
        <v>338</v>
      </c>
      <c r="D166">
        <v>5</v>
      </c>
      <c r="E166" s="19">
        <v>393</v>
      </c>
    </row>
    <row r="167" spans="1:5" x14ac:dyDescent="0.3">
      <c r="A167" s="20" t="s">
        <v>1145</v>
      </c>
      <c r="B167" s="19">
        <v>4962</v>
      </c>
      <c r="C167">
        <v>2711</v>
      </c>
      <c r="D167">
        <v>229</v>
      </c>
      <c r="E167" s="19">
        <v>2022</v>
      </c>
    </row>
    <row r="168" spans="1:5" x14ac:dyDescent="0.3">
      <c r="A168" s="20" t="s">
        <v>1930</v>
      </c>
      <c r="B168" s="19">
        <v>1124</v>
      </c>
      <c r="C168">
        <v>597</v>
      </c>
      <c r="D168">
        <v>47</v>
      </c>
      <c r="E168" s="19">
        <v>480</v>
      </c>
    </row>
    <row r="169" spans="1:5" x14ac:dyDescent="0.3">
      <c r="A169" s="20" t="s">
        <v>1410</v>
      </c>
      <c r="B169" s="19">
        <v>94812</v>
      </c>
      <c r="C169">
        <v>53540</v>
      </c>
      <c r="D169">
        <v>6101</v>
      </c>
      <c r="E169" s="19">
        <v>35171</v>
      </c>
    </row>
    <row r="170" spans="1:5" x14ac:dyDescent="0.3">
      <c r="A170" s="20" t="s">
        <v>1395</v>
      </c>
      <c r="B170" s="19">
        <v>6010</v>
      </c>
      <c r="C170">
        <v>3142</v>
      </c>
      <c r="D170">
        <v>325</v>
      </c>
      <c r="E170" s="19">
        <v>2543</v>
      </c>
    </row>
    <row r="171" spans="1:5" x14ac:dyDescent="0.3">
      <c r="A171" s="20" t="s">
        <v>1362</v>
      </c>
      <c r="B171" s="19">
        <v>5531</v>
      </c>
      <c r="C171">
        <v>2815</v>
      </c>
      <c r="D171">
        <v>283</v>
      </c>
      <c r="E171" s="19">
        <v>2433</v>
      </c>
    </row>
    <row r="172" spans="1:5" x14ac:dyDescent="0.3">
      <c r="A172" s="20" t="s">
        <v>1336</v>
      </c>
      <c r="B172" s="19">
        <v>11961</v>
      </c>
      <c r="C172">
        <v>5318</v>
      </c>
      <c r="D172">
        <v>2523</v>
      </c>
      <c r="E172" s="19">
        <v>4120</v>
      </c>
    </row>
    <row r="173" spans="1:5" x14ac:dyDescent="0.3">
      <c r="A173" s="20" t="s">
        <v>1459</v>
      </c>
      <c r="B173" s="19">
        <v>1895</v>
      </c>
      <c r="C173">
        <v>1101</v>
      </c>
      <c r="D173">
        <v>94</v>
      </c>
      <c r="E173" s="19">
        <v>700</v>
      </c>
    </row>
    <row r="174" spans="1:5" x14ac:dyDescent="0.3">
      <c r="A174" s="20" t="s">
        <v>1426</v>
      </c>
      <c r="B174" s="19">
        <v>6671</v>
      </c>
      <c r="C174">
        <v>3669</v>
      </c>
      <c r="D174">
        <v>307</v>
      </c>
      <c r="E174" s="19">
        <v>2695</v>
      </c>
    </row>
    <row r="175" spans="1:5" x14ac:dyDescent="0.3">
      <c r="A175" s="20" t="s">
        <v>1184</v>
      </c>
      <c r="B175" s="19">
        <v>2401</v>
      </c>
      <c r="C175">
        <v>1230</v>
      </c>
      <c r="D175">
        <v>149</v>
      </c>
      <c r="E175" s="19">
        <v>1022</v>
      </c>
    </row>
    <row r="176" spans="1:5" x14ac:dyDescent="0.3">
      <c r="A176" s="20" t="s">
        <v>1402</v>
      </c>
      <c r="B176" s="19">
        <v>3700</v>
      </c>
      <c r="C176">
        <v>1616</v>
      </c>
      <c r="D176">
        <v>231</v>
      </c>
      <c r="E176" s="19">
        <v>1853</v>
      </c>
    </row>
    <row r="177" spans="1:5" x14ac:dyDescent="0.3">
      <c r="A177" s="20" t="s">
        <v>1474</v>
      </c>
      <c r="B177" s="19">
        <v>10592</v>
      </c>
      <c r="C177">
        <v>5964</v>
      </c>
      <c r="D177">
        <v>546</v>
      </c>
      <c r="E177" s="19">
        <v>4082</v>
      </c>
    </row>
    <row r="178" spans="1:5" x14ac:dyDescent="0.3">
      <c r="A178" s="20" t="s">
        <v>1299</v>
      </c>
      <c r="B178" s="19">
        <v>11380</v>
      </c>
      <c r="C178">
        <v>6442</v>
      </c>
      <c r="D178">
        <v>607</v>
      </c>
      <c r="E178" s="19">
        <v>4331</v>
      </c>
    </row>
    <row r="179" spans="1:5" x14ac:dyDescent="0.3">
      <c r="A179" s="20" t="s">
        <v>1320</v>
      </c>
      <c r="B179" s="19">
        <v>7821</v>
      </c>
      <c r="C179">
        <v>3769</v>
      </c>
      <c r="D179">
        <v>356</v>
      </c>
      <c r="E179" s="19">
        <v>3696</v>
      </c>
    </row>
    <row r="180" spans="1:5" x14ac:dyDescent="0.3">
      <c r="A180" s="20" t="s">
        <v>1338</v>
      </c>
      <c r="B180" s="19">
        <v>33879</v>
      </c>
      <c r="C180">
        <v>18419</v>
      </c>
      <c r="D180">
        <v>2531</v>
      </c>
      <c r="E180" s="19">
        <v>12929</v>
      </c>
    </row>
    <row r="181" spans="1:5" x14ac:dyDescent="0.3">
      <c r="A181" s="20" t="s">
        <v>1534</v>
      </c>
      <c r="B181" s="19">
        <v>2880</v>
      </c>
      <c r="C181">
        <v>1276</v>
      </c>
      <c r="D181">
        <v>232</v>
      </c>
      <c r="E181" s="19">
        <v>1372</v>
      </c>
    </row>
    <row r="182" spans="1:5" x14ac:dyDescent="0.3">
      <c r="A182" s="20" t="s">
        <v>1535</v>
      </c>
      <c r="B182" s="19">
        <v>1521</v>
      </c>
      <c r="C182">
        <v>653</v>
      </c>
      <c r="D182">
        <v>115</v>
      </c>
      <c r="E182" s="19">
        <v>753</v>
      </c>
    </row>
    <row r="183" spans="1:5" x14ac:dyDescent="0.3">
      <c r="A183" s="20" t="s">
        <v>1536</v>
      </c>
      <c r="B183" s="19">
        <v>4170</v>
      </c>
      <c r="C183">
        <v>2514</v>
      </c>
      <c r="D183">
        <v>219</v>
      </c>
      <c r="E183" s="19">
        <v>1437</v>
      </c>
    </row>
    <row r="184" spans="1:5" x14ac:dyDescent="0.3">
      <c r="A184" s="20" t="s">
        <v>1537</v>
      </c>
      <c r="B184" s="19">
        <v>10356</v>
      </c>
      <c r="C184">
        <v>5080</v>
      </c>
      <c r="D184">
        <v>381</v>
      </c>
      <c r="E184" s="19">
        <v>4895</v>
      </c>
    </row>
    <row r="185" spans="1:5" x14ac:dyDescent="0.3">
      <c r="A185" s="20" t="s">
        <v>1538</v>
      </c>
      <c r="B185" s="19">
        <v>510</v>
      </c>
      <c r="C185">
        <v>335</v>
      </c>
      <c r="D185">
        <v>48</v>
      </c>
      <c r="E185" s="19">
        <v>127</v>
      </c>
    </row>
    <row r="186" spans="1:5" x14ac:dyDescent="0.3">
      <c r="A186" s="20" t="s">
        <v>1931</v>
      </c>
      <c r="B186" s="19">
        <v>1361</v>
      </c>
      <c r="C186">
        <v>893</v>
      </c>
      <c r="D186">
        <v>7</v>
      </c>
      <c r="E186" s="19">
        <v>461</v>
      </c>
    </row>
    <row r="187" spans="1:5" x14ac:dyDescent="0.3">
      <c r="A187" s="20" t="s">
        <v>1356</v>
      </c>
      <c r="B187" s="19">
        <v>31503</v>
      </c>
      <c r="C187">
        <v>14917</v>
      </c>
      <c r="D187">
        <v>3623</v>
      </c>
      <c r="E187" s="19">
        <v>12963</v>
      </c>
    </row>
    <row r="188" spans="1:5" x14ac:dyDescent="0.3">
      <c r="A188" s="20" t="s">
        <v>1539</v>
      </c>
      <c r="B188" s="19">
        <v>2614</v>
      </c>
      <c r="C188">
        <v>491</v>
      </c>
      <c r="D188">
        <v>348</v>
      </c>
      <c r="E188" s="19">
        <v>1775</v>
      </c>
    </row>
    <row r="189" spans="1:5" x14ac:dyDescent="0.3">
      <c r="A189" s="20" t="s">
        <v>1104</v>
      </c>
      <c r="B189" s="19">
        <v>3019</v>
      </c>
      <c r="C189">
        <v>688</v>
      </c>
      <c r="D189">
        <v>332</v>
      </c>
      <c r="E189" s="19">
        <v>1999</v>
      </c>
    </row>
    <row r="190" spans="1:5" x14ac:dyDescent="0.3">
      <c r="A190" s="20" t="s">
        <v>1173</v>
      </c>
      <c r="B190" s="19">
        <v>2707</v>
      </c>
      <c r="C190">
        <v>1300</v>
      </c>
      <c r="D190">
        <v>192</v>
      </c>
      <c r="E190" s="19">
        <v>1215</v>
      </c>
    </row>
    <row r="191" spans="1:5" x14ac:dyDescent="0.3">
      <c r="A191" s="20" t="s">
        <v>1540</v>
      </c>
      <c r="B191" s="19">
        <v>1388</v>
      </c>
      <c r="C191">
        <v>411</v>
      </c>
      <c r="D191">
        <v>69</v>
      </c>
      <c r="E191" s="19">
        <v>908</v>
      </c>
    </row>
    <row r="192" spans="1:5" x14ac:dyDescent="0.3">
      <c r="A192" s="20" t="s">
        <v>1541</v>
      </c>
      <c r="B192" s="19">
        <v>2983</v>
      </c>
      <c r="C192">
        <v>1561</v>
      </c>
      <c r="D192">
        <v>135</v>
      </c>
      <c r="E192" s="19">
        <v>1287</v>
      </c>
    </row>
    <row r="193" spans="1:5" x14ac:dyDescent="0.3">
      <c r="A193" s="20" t="s">
        <v>1421</v>
      </c>
      <c r="B193" s="19">
        <v>5204</v>
      </c>
      <c r="C193">
        <v>970</v>
      </c>
      <c r="D193">
        <v>759</v>
      </c>
      <c r="E193" s="19">
        <v>3475</v>
      </c>
    </row>
    <row r="194" spans="1:5" x14ac:dyDescent="0.3">
      <c r="A194" s="20" t="s">
        <v>1284</v>
      </c>
      <c r="B194" s="19">
        <v>29782</v>
      </c>
      <c r="C194">
        <v>16174</v>
      </c>
      <c r="D194">
        <v>2289</v>
      </c>
      <c r="E194" s="19">
        <v>11319</v>
      </c>
    </row>
    <row r="195" spans="1:5" x14ac:dyDescent="0.3">
      <c r="A195" s="20" t="s">
        <v>1023</v>
      </c>
      <c r="B195" s="19">
        <v>2610</v>
      </c>
      <c r="C195">
        <v>1300</v>
      </c>
      <c r="D195">
        <v>237</v>
      </c>
      <c r="E195" s="19">
        <v>1073</v>
      </c>
    </row>
    <row r="196" spans="1:5" x14ac:dyDescent="0.3">
      <c r="A196" s="20" t="s">
        <v>1233</v>
      </c>
      <c r="B196" s="19">
        <v>4612</v>
      </c>
      <c r="C196">
        <v>2160</v>
      </c>
      <c r="D196">
        <v>261</v>
      </c>
      <c r="E196" s="19">
        <v>2191</v>
      </c>
    </row>
    <row r="197" spans="1:5" x14ac:dyDescent="0.3">
      <c r="A197" s="20" t="s">
        <v>1232</v>
      </c>
      <c r="B197" s="19">
        <v>5385</v>
      </c>
      <c r="C197">
        <v>2918</v>
      </c>
      <c r="D197">
        <v>282</v>
      </c>
      <c r="E197" s="19">
        <v>2185</v>
      </c>
    </row>
    <row r="198" spans="1:5" x14ac:dyDescent="0.3">
      <c r="A198" s="20" t="s">
        <v>1323</v>
      </c>
      <c r="B198" s="19">
        <v>5963</v>
      </c>
      <c r="C198">
        <v>3214</v>
      </c>
      <c r="D198">
        <v>452</v>
      </c>
      <c r="E198" s="19">
        <v>2297</v>
      </c>
    </row>
    <row r="199" spans="1:5" x14ac:dyDescent="0.3">
      <c r="A199" s="20" t="s">
        <v>1092</v>
      </c>
      <c r="B199" s="19">
        <v>3098</v>
      </c>
      <c r="C199">
        <v>1552</v>
      </c>
      <c r="D199">
        <v>263</v>
      </c>
      <c r="E199" s="19">
        <v>1283</v>
      </c>
    </row>
    <row r="200" spans="1:5" x14ac:dyDescent="0.3">
      <c r="A200" s="20" t="s">
        <v>1275</v>
      </c>
      <c r="B200" s="19">
        <v>11850</v>
      </c>
      <c r="C200">
        <v>6374</v>
      </c>
      <c r="D200">
        <v>655</v>
      </c>
      <c r="E200" s="19">
        <v>4821</v>
      </c>
    </row>
    <row r="201" spans="1:5" x14ac:dyDescent="0.3">
      <c r="A201" s="20" t="s">
        <v>1207</v>
      </c>
      <c r="B201" s="19">
        <v>2672</v>
      </c>
      <c r="C201">
        <v>1104</v>
      </c>
      <c r="D201">
        <v>179</v>
      </c>
      <c r="E201" s="19">
        <v>1389</v>
      </c>
    </row>
    <row r="202" spans="1:5" x14ac:dyDescent="0.3">
      <c r="A202" s="20" t="s">
        <v>1168</v>
      </c>
      <c r="B202" s="19">
        <v>1484</v>
      </c>
      <c r="C202">
        <v>689</v>
      </c>
      <c r="D202">
        <v>39</v>
      </c>
      <c r="E202" s="19">
        <v>756</v>
      </c>
    </row>
    <row r="203" spans="1:5" x14ac:dyDescent="0.3">
      <c r="A203" s="20" t="s">
        <v>1024</v>
      </c>
      <c r="B203" s="19">
        <v>1852</v>
      </c>
      <c r="C203">
        <v>699</v>
      </c>
      <c r="D203">
        <v>194</v>
      </c>
      <c r="E203" s="19">
        <v>959</v>
      </c>
    </row>
    <row r="204" spans="1:5" x14ac:dyDescent="0.3">
      <c r="A204" s="20" t="s">
        <v>1347</v>
      </c>
      <c r="B204" s="19">
        <v>5569</v>
      </c>
      <c r="C204">
        <v>2346</v>
      </c>
      <c r="D204">
        <v>374</v>
      </c>
      <c r="E204" s="19">
        <v>2849</v>
      </c>
    </row>
    <row r="205" spans="1:5" x14ac:dyDescent="0.3">
      <c r="A205" s="20" t="s">
        <v>1330</v>
      </c>
      <c r="B205" s="19">
        <v>4096</v>
      </c>
      <c r="C205">
        <v>1611</v>
      </c>
      <c r="D205">
        <v>319</v>
      </c>
      <c r="E205" s="19">
        <v>2166</v>
      </c>
    </row>
    <row r="206" spans="1:5" x14ac:dyDescent="0.3">
      <c r="A206" s="20" t="s">
        <v>1365</v>
      </c>
      <c r="B206" s="19">
        <v>1491</v>
      </c>
      <c r="C206">
        <v>667</v>
      </c>
      <c r="D206">
        <v>41</v>
      </c>
      <c r="E206" s="19">
        <v>783</v>
      </c>
    </row>
    <row r="207" spans="1:5" x14ac:dyDescent="0.3">
      <c r="A207" s="20" t="s">
        <v>1542</v>
      </c>
      <c r="B207" s="19">
        <v>1386</v>
      </c>
      <c r="C207">
        <v>790</v>
      </c>
      <c r="D207">
        <v>50</v>
      </c>
      <c r="E207" s="19">
        <v>546</v>
      </c>
    </row>
    <row r="208" spans="1:5" x14ac:dyDescent="0.3">
      <c r="A208" s="20" t="s">
        <v>1543</v>
      </c>
      <c r="B208" s="19">
        <v>786</v>
      </c>
      <c r="C208">
        <v>444</v>
      </c>
      <c r="D208">
        <v>48</v>
      </c>
      <c r="E208" s="19">
        <v>294</v>
      </c>
    </row>
    <row r="209" spans="1:5" x14ac:dyDescent="0.3">
      <c r="A209" s="20" t="s">
        <v>1351</v>
      </c>
      <c r="B209" s="19">
        <v>147344</v>
      </c>
      <c r="C209">
        <v>84400</v>
      </c>
      <c r="D209">
        <v>9374</v>
      </c>
      <c r="E209" s="19">
        <v>53570</v>
      </c>
    </row>
    <row r="210" spans="1:5" x14ac:dyDescent="0.3">
      <c r="A210" s="20" t="s">
        <v>1066</v>
      </c>
      <c r="B210" s="19">
        <v>1938</v>
      </c>
      <c r="C210">
        <v>737</v>
      </c>
      <c r="D210">
        <v>89</v>
      </c>
      <c r="E210" s="19">
        <v>1112</v>
      </c>
    </row>
    <row r="211" spans="1:5" x14ac:dyDescent="0.3">
      <c r="A211" s="20" t="s">
        <v>1080</v>
      </c>
      <c r="B211" s="19">
        <v>4838</v>
      </c>
      <c r="C211">
        <v>2345</v>
      </c>
      <c r="D211">
        <v>360</v>
      </c>
      <c r="E211" s="19">
        <v>2133</v>
      </c>
    </row>
    <row r="212" spans="1:5" x14ac:dyDescent="0.3">
      <c r="A212" s="20" t="s">
        <v>1052</v>
      </c>
      <c r="B212" s="19">
        <v>2502</v>
      </c>
      <c r="C212">
        <v>1320</v>
      </c>
      <c r="D212">
        <v>166</v>
      </c>
      <c r="E212" s="19">
        <v>1016</v>
      </c>
    </row>
    <row r="213" spans="1:5" x14ac:dyDescent="0.3">
      <c r="A213" s="20" t="s">
        <v>1139</v>
      </c>
      <c r="B213" s="19">
        <v>2265</v>
      </c>
      <c r="C213">
        <v>512</v>
      </c>
      <c r="D213">
        <v>202</v>
      </c>
      <c r="E213" s="19">
        <v>1551</v>
      </c>
    </row>
    <row r="214" spans="1:5" x14ac:dyDescent="0.3">
      <c r="A214" s="20" t="s">
        <v>1061</v>
      </c>
      <c r="B214" s="19">
        <v>8378</v>
      </c>
      <c r="C214">
        <v>4549</v>
      </c>
      <c r="D214">
        <v>676</v>
      </c>
      <c r="E214" s="19">
        <v>3153</v>
      </c>
    </row>
    <row r="215" spans="1:5" x14ac:dyDescent="0.3">
      <c r="A215" s="20" t="s">
        <v>1383</v>
      </c>
      <c r="B215" s="19">
        <v>5211</v>
      </c>
      <c r="C215">
        <v>2030</v>
      </c>
      <c r="D215">
        <v>546</v>
      </c>
      <c r="E215" s="19">
        <v>2635</v>
      </c>
    </row>
    <row r="216" spans="1:5" x14ac:dyDescent="0.3">
      <c r="A216" s="20" t="s">
        <v>1544</v>
      </c>
      <c r="B216" s="19">
        <v>3094</v>
      </c>
      <c r="C216">
        <v>1138</v>
      </c>
      <c r="D216">
        <v>297</v>
      </c>
      <c r="E216" s="19">
        <v>1659</v>
      </c>
    </row>
    <row r="217" spans="1:5" x14ac:dyDescent="0.3">
      <c r="A217" s="20" t="s">
        <v>1073</v>
      </c>
      <c r="B217" s="19">
        <v>3668</v>
      </c>
      <c r="C217">
        <v>1801</v>
      </c>
      <c r="D217">
        <v>350</v>
      </c>
      <c r="E217" s="19">
        <v>1517</v>
      </c>
    </row>
    <row r="218" spans="1:5" x14ac:dyDescent="0.3">
      <c r="A218" s="20" t="s">
        <v>1417</v>
      </c>
      <c r="B218" s="19">
        <v>3483</v>
      </c>
      <c r="C218">
        <v>1824</v>
      </c>
      <c r="D218">
        <v>174</v>
      </c>
      <c r="E218" s="19">
        <v>1485</v>
      </c>
    </row>
    <row r="219" spans="1:5" x14ac:dyDescent="0.3">
      <c r="A219" s="20" t="s">
        <v>1259</v>
      </c>
      <c r="B219" s="19">
        <v>4797</v>
      </c>
      <c r="C219">
        <v>2273</v>
      </c>
      <c r="D219">
        <v>436</v>
      </c>
      <c r="E219" s="19">
        <v>2088</v>
      </c>
    </row>
    <row r="220" spans="1:5" x14ac:dyDescent="0.3">
      <c r="A220" s="20" t="s">
        <v>1144</v>
      </c>
      <c r="B220" s="19">
        <v>14428</v>
      </c>
      <c r="C220">
        <v>8693</v>
      </c>
      <c r="D220">
        <v>926</v>
      </c>
      <c r="E220" s="19">
        <v>4809</v>
      </c>
    </row>
    <row r="221" spans="1:5" x14ac:dyDescent="0.3">
      <c r="A221" s="20" t="s">
        <v>1121</v>
      </c>
      <c r="B221" s="19">
        <v>7355</v>
      </c>
      <c r="C221">
        <v>3331</v>
      </c>
      <c r="D221">
        <v>924</v>
      </c>
      <c r="E221" s="19">
        <v>3100</v>
      </c>
    </row>
    <row r="222" spans="1:5" x14ac:dyDescent="0.3">
      <c r="A222" s="20" t="s">
        <v>1431</v>
      </c>
      <c r="B222" s="19">
        <v>5589</v>
      </c>
      <c r="C222">
        <v>1556</v>
      </c>
      <c r="D222">
        <v>729</v>
      </c>
      <c r="E222" s="19">
        <v>3304</v>
      </c>
    </row>
    <row r="223" spans="1:5" x14ac:dyDescent="0.3">
      <c r="A223" s="20" t="s">
        <v>1058</v>
      </c>
      <c r="B223" s="19">
        <v>1241</v>
      </c>
      <c r="C223">
        <v>309</v>
      </c>
      <c r="D223">
        <v>223</v>
      </c>
      <c r="E223" s="19">
        <v>709</v>
      </c>
    </row>
    <row r="224" spans="1:5" x14ac:dyDescent="0.3">
      <c r="A224" s="20" t="s">
        <v>1545</v>
      </c>
      <c r="B224" s="19">
        <v>1322</v>
      </c>
      <c r="C224">
        <v>508</v>
      </c>
      <c r="D224">
        <v>131</v>
      </c>
      <c r="E224" s="19">
        <v>683</v>
      </c>
    </row>
    <row r="225" spans="1:5" x14ac:dyDescent="0.3">
      <c r="A225" s="20" t="s">
        <v>1546</v>
      </c>
      <c r="B225" s="19">
        <v>1420</v>
      </c>
      <c r="C225">
        <v>697</v>
      </c>
      <c r="D225">
        <v>84</v>
      </c>
      <c r="E225" s="19">
        <v>639</v>
      </c>
    </row>
    <row r="226" spans="1:5" x14ac:dyDescent="0.3">
      <c r="A226" s="20" t="s">
        <v>1547</v>
      </c>
      <c r="B226" s="19">
        <v>188</v>
      </c>
      <c r="C226">
        <v>78</v>
      </c>
      <c r="D226">
        <v>27</v>
      </c>
      <c r="E226" s="19">
        <v>83</v>
      </c>
    </row>
    <row r="227" spans="1:5" x14ac:dyDescent="0.3">
      <c r="A227" s="20" t="s">
        <v>1932</v>
      </c>
      <c r="B227" s="19">
        <v>465</v>
      </c>
      <c r="C227">
        <v>100</v>
      </c>
      <c r="D227">
        <v>59</v>
      </c>
      <c r="E227" s="19">
        <v>306</v>
      </c>
    </row>
    <row r="228" spans="1:5" x14ac:dyDescent="0.3">
      <c r="A228" s="20" t="s">
        <v>1933</v>
      </c>
      <c r="B228" s="19">
        <v>482</v>
      </c>
      <c r="C228">
        <v>98</v>
      </c>
      <c r="D228">
        <v>95</v>
      </c>
      <c r="E228" s="19">
        <v>289</v>
      </c>
    </row>
    <row r="229" spans="1:5" x14ac:dyDescent="0.3">
      <c r="A229" s="20" t="s">
        <v>1934</v>
      </c>
      <c r="B229" s="19">
        <v>2601</v>
      </c>
      <c r="C229">
        <v>787</v>
      </c>
      <c r="D229">
        <v>214</v>
      </c>
      <c r="E229" s="19">
        <v>1600</v>
      </c>
    </row>
    <row r="230" spans="1:5" x14ac:dyDescent="0.3">
      <c r="A230" s="20" t="s">
        <v>1455</v>
      </c>
      <c r="B230" s="19">
        <v>6008</v>
      </c>
      <c r="C230">
        <v>1904</v>
      </c>
      <c r="D230">
        <v>851</v>
      </c>
      <c r="E230" s="19">
        <v>3253</v>
      </c>
    </row>
    <row r="231" spans="1:5" x14ac:dyDescent="0.3">
      <c r="A231" s="20" t="s">
        <v>1140</v>
      </c>
      <c r="B231" s="19">
        <v>11326</v>
      </c>
      <c r="C231">
        <v>4544</v>
      </c>
      <c r="D231">
        <v>1141</v>
      </c>
      <c r="E231" s="19">
        <v>5641</v>
      </c>
    </row>
    <row r="232" spans="1:5" x14ac:dyDescent="0.3">
      <c r="A232" s="20" t="s">
        <v>1548</v>
      </c>
      <c r="B232" s="19">
        <v>570</v>
      </c>
      <c r="C232">
        <v>186</v>
      </c>
      <c r="D232">
        <v>29</v>
      </c>
      <c r="E232" s="19">
        <v>355</v>
      </c>
    </row>
    <row r="233" spans="1:5" x14ac:dyDescent="0.3">
      <c r="A233" s="20" t="s">
        <v>1306</v>
      </c>
      <c r="B233" s="19">
        <v>7204</v>
      </c>
      <c r="C233">
        <v>1699</v>
      </c>
      <c r="D233">
        <v>1000</v>
      </c>
      <c r="E233" s="19">
        <v>4505</v>
      </c>
    </row>
    <row r="234" spans="1:5" x14ac:dyDescent="0.3">
      <c r="A234" s="20" t="s">
        <v>1549</v>
      </c>
      <c r="B234" s="19">
        <v>2244</v>
      </c>
      <c r="C234">
        <v>824</v>
      </c>
      <c r="D234">
        <v>86</v>
      </c>
      <c r="E234" s="19">
        <v>1334</v>
      </c>
    </row>
    <row r="235" spans="1:5" x14ac:dyDescent="0.3">
      <c r="A235" s="20" t="s">
        <v>1208</v>
      </c>
      <c r="B235" s="19">
        <v>2715</v>
      </c>
      <c r="C235">
        <v>802</v>
      </c>
      <c r="D235">
        <v>471</v>
      </c>
      <c r="E235" s="19">
        <v>1442</v>
      </c>
    </row>
    <row r="236" spans="1:5" x14ac:dyDescent="0.3">
      <c r="A236" s="20" t="s">
        <v>1231</v>
      </c>
      <c r="B236" s="19">
        <v>10083</v>
      </c>
      <c r="C236">
        <v>6058</v>
      </c>
      <c r="D236">
        <v>469</v>
      </c>
      <c r="E236" s="19">
        <v>3556</v>
      </c>
    </row>
    <row r="237" spans="1:5" x14ac:dyDescent="0.3">
      <c r="A237" s="20" t="s">
        <v>1178</v>
      </c>
      <c r="B237" s="19">
        <v>4935</v>
      </c>
      <c r="C237">
        <v>2595</v>
      </c>
      <c r="D237">
        <v>244</v>
      </c>
      <c r="E237" s="19">
        <v>2096</v>
      </c>
    </row>
    <row r="238" spans="1:5" x14ac:dyDescent="0.3">
      <c r="A238" s="20" t="s">
        <v>1935</v>
      </c>
      <c r="B238" s="19">
        <v>510</v>
      </c>
      <c r="C238">
        <v>274</v>
      </c>
      <c r="D238">
        <v>4</v>
      </c>
      <c r="E238" s="19">
        <v>232</v>
      </c>
    </row>
    <row r="239" spans="1:5" x14ac:dyDescent="0.3">
      <c r="A239" s="20" t="s">
        <v>1936</v>
      </c>
      <c r="B239" s="19">
        <v>512</v>
      </c>
      <c r="C239">
        <v>248</v>
      </c>
      <c r="D239">
        <v>3</v>
      </c>
      <c r="E239" s="19">
        <v>261</v>
      </c>
    </row>
    <row r="240" spans="1:5" x14ac:dyDescent="0.3">
      <c r="A240" s="20" t="s">
        <v>1550</v>
      </c>
      <c r="B240" s="19">
        <v>798</v>
      </c>
      <c r="C240">
        <v>264</v>
      </c>
      <c r="D240">
        <v>56</v>
      </c>
      <c r="E240" s="19">
        <v>478</v>
      </c>
    </row>
    <row r="241" spans="1:5" x14ac:dyDescent="0.3">
      <c r="A241" s="20" t="s">
        <v>1937</v>
      </c>
      <c r="B241" s="19">
        <v>950</v>
      </c>
      <c r="C241">
        <v>298</v>
      </c>
      <c r="D241">
        <v>136</v>
      </c>
      <c r="E241" s="19">
        <v>516</v>
      </c>
    </row>
    <row r="242" spans="1:5" x14ac:dyDescent="0.3">
      <c r="A242" s="20" t="s">
        <v>1255</v>
      </c>
      <c r="B242" s="19">
        <v>13882</v>
      </c>
      <c r="C242">
        <v>6953</v>
      </c>
      <c r="D242">
        <v>1384</v>
      </c>
      <c r="E242" s="19">
        <v>5545</v>
      </c>
    </row>
    <row r="243" spans="1:5" x14ac:dyDescent="0.3">
      <c r="A243" s="20" t="s">
        <v>1551</v>
      </c>
      <c r="B243" s="19">
        <v>4575</v>
      </c>
      <c r="C243">
        <v>2366</v>
      </c>
      <c r="D243">
        <v>157</v>
      </c>
      <c r="E243" s="19">
        <v>2052</v>
      </c>
    </row>
    <row r="244" spans="1:5" x14ac:dyDescent="0.3">
      <c r="A244" s="20" t="s">
        <v>1198</v>
      </c>
      <c r="B244" s="19">
        <v>6861</v>
      </c>
      <c r="C244">
        <v>3248</v>
      </c>
      <c r="D244">
        <v>452</v>
      </c>
      <c r="E244" s="19">
        <v>3161</v>
      </c>
    </row>
    <row r="245" spans="1:5" x14ac:dyDescent="0.3">
      <c r="A245" s="20" t="s">
        <v>1315</v>
      </c>
      <c r="B245" s="19">
        <v>17337</v>
      </c>
      <c r="C245">
        <v>9539</v>
      </c>
      <c r="D245">
        <v>930</v>
      </c>
      <c r="E245" s="19">
        <v>6868</v>
      </c>
    </row>
    <row r="246" spans="1:5" x14ac:dyDescent="0.3">
      <c r="A246" s="20" t="s">
        <v>1552</v>
      </c>
      <c r="B246" s="19">
        <v>194</v>
      </c>
      <c r="C246">
        <v>87</v>
      </c>
      <c r="D246">
        <v>10</v>
      </c>
      <c r="E246" s="19">
        <v>97</v>
      </c>
    </row>
    <row r="247" spans="1:5" x14ac:dyDescent="0.3">
      <c r="A247" s="20" t="s">
        <v>1553</v>
      </c>
      <c r="B247" s="19">
        <v>932</v>
      </c>
      <c r="C247">
        <v>469</v>
      </c>
      <c r="D247">
        <v>31</v>
      </c>
      <c r="E247" s="19">
        <v>432</v>
      </c>
    </row>
    <row r="248" spans="1:5" x14ac:dyDescent="0.3">
      <c r="A248" s="20" t="s">
        <v>1938</v>
      </c>
      <c r="B248" s="19">
        <v>499</v>
      </c>
      <c r="C248">
        <v>253</v>
      </c>
      <c r="D248">
        <v>27</v>
      </c>
      <c r="E248" s="19">
        <v>219</v>
      </c>
    </row>
    <row r="249" spans="1:5" x14ac:dyDescent="0.3">
      <c r="A249" s="20" t="s">
        <v>1245</v>
      </c>
      <c r="B249" s="19">
        <v>9826</v>
      </c>
      <c r="C249">
        <v>4554</v>
      </c>
      <c r="D249">
        <v>740</v>
      </c>
      <c r="E249" s="19">
        <v>4532</v>
      </c>
    </row>
    <row r="250" spans="1:5" x14ac:dyDescent="0.3">
      <c r="A250" s="20" t="s">
        <v>1046</v>
      </c>
      <c r="B250" s="19">
        <v>2447</v>
      </c>
      <c r="C250">
        <v>1221</v>
      </c>
      <c r="D250">
        <v>156</v>
      </c>
      <c r="E250" s="19">
        <v>1070</v>
      </c>
    </row>
    <row r="251" spans="1:5" x14ac:dyDescent="0.3">
      <c r="A251" s="20" t="s">
        <v>1285</v>
      </c>
      <c r="B251" s="19">
        <v>3358</v>
      </c>
      <c r="C251">
        <v>1438</v>
      </c>
      <c r="D251">
        <v>199</v>
      </c>
      <c r="E251" s="19">
        <v>1721</v>
      </c>
    </row>
    <row r="252" spans="1:5" x14ac:dyDescent="0.3">
      <c r="A252" s="20" t="s">
        <v>1939</v>
      </c>
      <c r="B252" s="19">
        <v>664</v>
      </c>
      <c r="C252">
        <v>386</v>
      </c>
      <c r="D252">
        <v>6</v>
      </c>
      <c r="E252" s="19">
        <v>272</v>
      </c>
    </row>
    <row r="253" spans="1:5" x14ac:dyDescent="0.3">
      <c r="A253" s="20" t="s">
        <v>1940</v>
      </c>
      <c r="B253" s="19">
        <v>1085</v>
      </c>
      <c r="C253">
        <v>792</v>
      </c>
      <c r="D253">
        <v>18</v>
      </c>
      <c r="E253" s="19">
        <v>275</v>
      </c>
    </row>
    <row r="254" spans="1:5" x14ac:dyDescent="0.3">
      <c r="A254" s="20" t="s">
        <v>1554</v>
      </c>
      <c r="B254" s="19">
        <v>223</v>
      </c>
      <c r="C254">
        <v>147</v>
      </c>
      <c r="D254">
        <v>1</v>
      </c>
      <c r="E254" s="19">
        <v>75</v>
      </c>
    </row>
    <row r="255" spans="1:5" x14ac:dyDescent="0.3">
      <c r="A255" s="20" t="s">
        <v>1391</v>
      </c>
      <c r="B255" s="19">
        <v>8530</v>
      </c>
      <c r="C255">
        <v>4601</v>
      </c>
      <c r="D255">
        <v>371</v>
      </c>
      <c r="E255" s="19">
        <v>3558</v>
      </c>
    </row>
    <row r="256" spans="1:5" x14ac:dyDescent="0.3">
      <c r="A256" s="20" t="s">
        <v>1555</v>
      </c>
      <c r="B256" s="19">
        <v>1891</v>
      </c>
      <c r="C256">
        <v>895</v>
      </c>
      <c r="D256">
        <v>68</v>
      </c>
      <c r="E256" s="19">
        <v>928</v>
      </c>
    </row>
    <row r="257" spans="1:5" x14ac:dyDescent="0.3">
      <c r="A257" s="20" t="s">
        <v>1556</v>
      </c>
      <c r="B257" s="19">
        <v>1040</v>
      </c>
      <c r="C257">
        <v>494</v>
      </c>
      <c r="D257">
        <v>47</v>
      </c>
      <c r="E257" s="19">
        <v>499</v>
      </c>
    </row>
    <row r="258" spans="1:5" x14ac:dyDescent="0.3">
      <c r="A258" s="20" t="s">
        <v>1941</v>
      </c>
      <c r="B258" s="19">
        <v>637</v>
      </c>
      <c r="C258">
        <v>320</v>
      </c>
      <c r="D258">
        <v>51</v>
      </c>
      <c r="E258" s="19">
        <v>266</v>
      </c>
    </row>
    <row r="259" spans="1:5" x14ac:dyDescent="0.3">
      <c r="A259" s="20" t="s">
        <v>1557</v>
      </c>
      <c r="B259" s="19">
        <v>442</v>
      </c>
      <c r="C259">
        <v>237</v>
      </c>
      <c r="D259">
        <v>22</v>
      </c>
      <c r="E259" s="19">
        <v>183</v>
      </c>
    </row>
    <row r="260" spans="1:5" x14ac:dyDescent="0.3">
      <c r="A260" s="20" t="s">
        <v>1558</v>
      </c>
      <c r="B260" s="19">
        <v>876</v>
      </c>
      <c r="C260">
        <v>476</v>
      </c>
      <c r="D260">
        <v>29</v>
      </c>
      <c r="E260" s="19">
        <v>371</v>
      </c>
    </row>
    <row r="261" spans="1:5" x14ac:dyDescent="0.3">
      <c r="A261" s="20" t="s">
        <v>1942</v>
      </c>
      <c r="B261" s="19">
        <v>300</v>
      </c>
      <c r="C261">
        <v>187</v>
      </c>
      <c r="D261">
        <v>8</v>
      </c>
      <c r="E261" s="19">
        <v>105</v>
      </c>
    </row>
    <row r="262" spans="1:5" x14ac:dyDescent="0.3">
      <c r="A262" s="20" t="s">
        <v>1559</v>
      </c>
      <c r="B262" s="19">
        <v>202</v>
      </c>
      <c r="C262">
        <v>93</v>
      </c>
      <c r="D262">
        <v>28</v>
      </c>
      <c r="E262" s="19">
        <v>81</v>
      </c>
    </row>
    <row r="263" spans="1:5" x14ac:dyDescent="0.3">
      <c r="A263" s="20" t="s">
        <v>1560</v>
      </c>
      <c r="B263" s="19">
        <v>11880</v>
      </c>
      <c r="C263">
        <v>6381</v>
      </c>
      <c r="D263">
        <v>1126</v>
      </c>
      <c r="E263" s="19">
        <v>4373</v>
      </c>
    </row>
    <row r="264" spans="1:5" x14ac:dyDescent="0.3">
      <c r="A264" s="20" t="s">
        <v>1273</v>
      </c>
      <c r="B264" s="19">
        <v>227019</v>
      </c>
      <c r="C264">
        <v>121290</v>
      </c>
      <c r="D264">
        <v>19452</v>
      </c>
      <c r="E264" s="19">
        <v>86277</v>
      </c>
    </row>
    <row r="265" spans="1:5" x14ac:dyDescent="0.3">
      <c r="A265" s="20" t="s">
        <v>1071</v>
      </c>
      <c r="B265" s="19">
        <v>3341</v>
      </c>
      <c r="C265">
        <v>1912</v>
      </c>
      <c r="D265">
        <v>230</v>
      </c>
      <c r="E265" s="19">
        <v>1199</v>
      </c>
    </row>
    <row r="266" spans="1:5" x14ac:dyDescent="0.3">
      <c r="A266" s="20" t="s">
        <v>1161</v>
      </c>
      <c r="B266" s="19">
        <v>17864</v>
      </c>
      <c r="C266">
        <v>8901</v>
      </c>
      <c r="D266">
        <v>1370</v>
      </c>
      <c r="E266" s="19">
        <v>7593</v>
      </c>
    </row>
    <row r="267" spans="1:5" x14ac:dyDescent="0.3">
      <c r="A267" s="20" t="s">
        <v>1561</v>
      </c>
      <c r="B267" s="19">
        <v>1432</v>
      </c>
      <c r="C267">
        <v>706</v>
      </c>
      <c r="D267">
        <v>130</v>
      </c>
      <c r="E267" s="19">
        <v>596</v>
      </c>
    </row>
    <row r="268" spans="1:5" x14ac:dyDescent="0.3">
      <c r="A268" s="20" t="s">
        <v>1247</v>
      </c>
      <c r="B268" s="19">
        <v>2575</v>
      </c>
      <c r="C268">
        <v>1169</v>
      </c>
      <c r="D268">
        <v>237</v>
      </c>
      <c r="E268" s="19">
        <v>1169</v>
      </c>
    </row>
    <row r="269" spans="1:5" x14ac:dyDescent="0.3">
      <c r="A269" s="20" t="s">
        <v>1562</v>
      </c>
      <c r="B269" s="19">
        <v>685</v>
      </c>
      <c r="C269">
        <v>327</v>
      </c>
      <c r="D269">
        <v>66</v>
      </c>
      <c r="E269" s="19">
        <v>292</v>
      </c>
    </row>
    <row r="270" spans="1:5" x14ac:dyDescent="0.3">
      <c r="A270" s="20" t="s">
        <v>1943</v>
      </c>
      <c r="B270" s="19">
        <v>1652</v>
      </c>
      <c r="C270">
        <v>795</v>
      </c>
      <c r="D270">
        <v>154</v>
      </c>
      <c r="E270" s="19">
        <v>703</v>
      </c>
    </row>
    <row r="271" spans="1:5" x14ac:dyDescent="0.3">
      <c r="A271" s="20" t="s">
        <v>1944</v>
      </c>
      <c r="B271" s="19">
        <v>1969</v>
      </c>
      <c r="C271">
        <v>1016</v>
      </c>
      <c r="D271">
        <v>96</v>
      </c>
      <c r="E271" s="19">
        <v>857</v>
      </c>
    </row>
    <row r="272" spans="1:5" x14ac:dyDescent="0.3">
      <c r="A272" s="20" t="s">
        <v>1945</v>
      </c>
      <c r="B272" s="19">
        <v>1157</v>
      </c>
      <c r="C272">
        <v>589</v>
      </c>
      <c r="D272">
        <v>78</v>
      </c>
      <c r="E272" s="19">
        <v>490</v>
      </c>
    </row>
    <row r="273" spans="1:5" x14ac:dyDescent="0.3">
      <c r="A273" s="20" t="s">
        <v>1946</v>
      </c>
      <c r="B273" s="19">
        <v>759</v>
      </c>
      <c r="C273">
        <v>380</v>
      </c>
      <c r="D273">
        <v>69</v>
      </c>
      <c r="E273" s="19">
        <v>310</v>
      </c>
    </row>
    <row r="274" spans="1:5" x14ac:dyDescent="0.3">
      <c r="A274" s="20" t="s">
        <v>1947</v>
      </c>
      <c r="B274" s="19">
        <v>344</v>
      </c>
      <c r="C274">
        <v>187</v>
      </c>
      <c r="D274">
        <v>26</v>
      </c>
      <c r="E274" s="19">
        <v>131</v>
      </c>
    </row>
    <row r="275" spans="1:5" x14ac:dyDescent="0.3">
      <c r="A275" s="20" t="s">
        <v>1948</v>
      </c>
      <c r="B275" s="19">
        <v>360</v>
      </c>
      <c r="C275">
        <v>194</v>
      </c>
      <c r="D275">
        <v>32</v>
      </c>
      <c r="E275" s="19">
        <v>134</v>
      </c>
    </row>
    <row r="276" spans="1:5" x14ac:dyDescent="0.3">
      <c r="A276" s="20" t="s">
        <v>1563</v>
      </c>
      <c r="B276" s="19">
        <v>214</v>
      </c>
      <c r="C276">
        <v>96</v>
      </c>
      <c r="D276">
        <v>15</v>
      </c>
      <c r="E276" s="19">
        <v>103</v>
      </c>
    </row>
    <row r="277" spans="1:5" x14ac:dyDescent="0.3">
      <c r="A277" s="20" t="s">
        <v>1158</v>
      </c>
      <c r="B277" s="19">
        <v>4710</v>
      </c>
      <c r="C277">
        <v>2559</v>
      </c>
      <c r="D277">
        <v>335</v>
      </c>
      <c r="E277" s="19">
        <v>1816</v>
      </c>
    </row>
    <row r="278" spans="1:5" x14ac:dyDescent="0.3">
      <c r="A278" s="20" t="s">
        <v>1564</v>
      </c>
      <c r="B278" s="19">
        <v>1173</v>
      </c>
      <c r="C278">
        <v>539</v>
      </c>
      <c r="D278">
        <v>102</v>
      </c>
      <c r="E278" s="19">
        <v>532</v>
      </c>
    </row>
    <row r="279" spans="1:5" x14ac:dyDescent="0.3">
      <c r="A279" s="20" t="s">
        <v>1565</v>
      </c>
      <c r="B279" s="19">
        <v>1706</v>
      </c>
      <c r="C279">
        <v>669</v>
      </c>
      <c r="D279">
        <v>165</v>
      </c>
      <c r="E279" s="19">
        <v>872</v>
      </c>
    </row>
    <row r="280" spans="1:5" x14ac:dyDescent="0.3">
      <c r="A280" s="20" t="s">
        <v>1294</v>
      </c>
      <c r="B280" s="19">
        <v>25626</v>
      </c>
      <c r="C280">
        <v>14220</v>
      </c>
      <c r="D280">
        <v>1369</v>
      </c>
      <c r="E280" s="19">
        <v>10037</v>
      </c>
    </row>
    <row r="281" spans="1:5" x14ac:dyDescent="0.3">
      <c r="A281" s="20" t="s">
        <v>1566</v>
      </c>
      <c r="B281" s="19">
        <v>5204</v>
      </c>
      <c r="C281">
        <v>2853</v>
      </c>
      <c r="D281">
        <v>299</v>
      </c>
      <c r="E281" s="19">
        <v>2052</v>
      </c>
    </row>
    <row r="282" spans="1:5" x14ac:dyDescent="0.3">
      <c r="A282" s="20" t="s">
        <v>1567</v>
      </c>
      <c r="B282" s="19">
        <v>3097</v>
      </c>
      <c r="C282">
        <v>1629</v>
      </c>
      <c r="D282">
        <v>180</v>
      </c>
      <c r="E282" s="19">
        <v>1288</v>
      </c>
    </row>
    <row r="283" spans="1:5" x14ac:dyDescent="0.3">
      <c r="A283" s="20" t="s">
        <v>1568</v>
      </c>
      <c r="B283" s="19">
        <v>3690</v>
      </c>
      <c r="C283">
        <v>2037</v>
      </c>
      <c r="D283">
        <v>165</v>
      </c>
      <c r="E283" s="19">
        <v>1488</v>
      </c>
    </row>
    <row r="284" spans="1:5" x14ac:dyDescent="0.3">
      <c r="A284" s="20" t="s">
        <v>1569</v>
      </c>
      <c r="B284" s="19">
        <v>4839</v>
      </c>
      <c r="C284">
        <v>2541</v>
      </c>
      <c r="D284">
        <v>335</v>
      </c>
      <c r="E284" s="19">
        <v>1963</v>
      </c>
    </row>
    <row r="285" spans="1:5" x14ac:dyDescent="0.3">
      <c r="A285" s="20" t="s">
        <v>1439</v>
      </c>
      <c r="B285" s="19">
        <v>41124</v>
      </c>
      <c r="C285">
        <v>21750</v>
      </c>
      <c r="D285">
        <v>3177</v>
      </c>
      <c r="E285" s="19">
        <v>16197</v>
      </c>
    </row>
    <row r="286" spans="1:5" x14ac:dyDescent="0.3">
      <c r="A286" s="20" t="s">
        <v>1190</v>
      </c>
      <c r="B286" s="19">
        <v>5007</v>
      </c>
      <c r="C286">
        <v>2682</v>
      </c>
      <c r="D286">
        <v>313</v>
      </c>
      <c r="E286" s="19">
        <v>2012</v>
      </c>
    </row>
    <row r="287" spans="1:5" x14ac:dyDescent="0.3">
      <c r="A287" s="20" t="s">
        <v>1949</v>
      </c>
      <c r="B287" s="19">
        <v>213</v>
      </c>
      <c r="C287">
        <v>94</v>
      </c>
      <c r="D287">
        <v>17</v>
      </c>
      <c r="E287" s="19">
        <v>102</v>
      </c>
    </row>
    <row r="288" spans="1:5" x14ac:dyDescent="0.3">
      <c r="A288" s="20" t="s">
        <v>1324</v>
      </c>
      <c r="B288" s="19">
        <v>46189</v>
      </c>
      <c r="C288">
        <v>23546</v>
      </c>
      <c r="D288">
        <v>3457</v>
      </c>
      <c r="E288" s="19">
        <v>19186</v>
      </c>
    </row>
    <row r="289" spans="1:5" x14ac:dyDescent="0.3">
      <c r="A289" s="20" t="s">
        <v>1570</v>
      </c>
      <c r="B289" s="19">
        <v>5643</v>
      </c>
      <c r="C289">
        <v>2945</v>
      </c>
      <c r="D289">
        <v>262</v>
      </c>
      <c r="E289" s="19">
        <v>2436</v>
      </c>
    </row>
    <row r="290" spans="1:5" x14ac:dyDescent="0.3">
      <c r="A290" s="20" t="s">
        <v>1571</v>
      </c>
      <c r="B290" s="19">
        <v>2153</v>
      </c>
      <c r="C290">
        <v>975</v>
      </c>
      <c r="D290">
        <v>172</v>
      </c>
      <c r="E290" s="19">
        <v>1006</v>
      </c>
    </row>
    <row r="291" spans="1:5" x14ac:dyDescent="0.3">
      <c r="A291" s="20" t="s">
        <v>1572</v>
      </c>
      <c r="B291" s="19">
        <v>3027</v>
      </c>
      <c r="C291">
        <v>1507</v>
      </c>
      <c r="D291">
        <v>251</v>
      </c>
      <c r="E291" s="19">
        <v>1269</v>
      </c>
    </row>
    <row r="292" spans="1:5" x14ac:dyDescent="0.3">
      <c r="A292" s="20" t="s">
        <v>1950</v>
      </c>
      <c r="B292" s="19">
        <v>3659</v>
      </c>
      <c r="C292">
        <v>1707</v>
      </c>
      <c r="D292">
        <v>220</v>
      </c>
      <c r="E292" s="19">
        <v>1732</v>
      </c>
    </row>
    <row r="293" spans="1:5" x14ac:dyDescent="0.3">
      <c r="A293" s="20" t="s">
        <v>1573</v>
      </c>
      <c r="B293" s="19">
        <v>712</v>
      </c>
      <c r="C293">
        <v>325</v>
      </c>
      <c r="D293">
        <v>44</v>
      </c>
      <c r="E293" s="19">
        <v>343</v>
      </c>
    </row>
    <row r="294" spans="1:5" x14ac:dyDescent="0.3">
      <c r="A294" s="20" t="s">
        <v>1951</v>
      </c>
      <c r="B294" s="19">
        <v>1604</v>
      </c>
      <c r="C294">
        <v>866</v>
      </c>
      <c r="D294">
        <v>104</v>
      </c>
      <c r="E294" s="19">
        <v>634</v>
      </c>
    </row>
    <row r="295" spans="1:5" x14ac:dyDescent="0.3">
      <c r="A295" s="20" t="s">
        <v>1078</v>
      </c>
      <c r="B295" s="19">
        <v>15822</v>
      </c>
      <c r="C295">
        <v>9285</v>
      </c>
      <c r="D295">
        <v>785</v>
      </c>
      <c r="E295" s="19">
        <v>5752</v>
      </c>
    </row>
    <row r="296" spans="1:5" x14ac:dyDescent="0.3">
      <c r="A296" s="20" t="s">
        <v>1952</v>
      </c>
      <c r="B296" s="19">
        <v>1462</v>
      </c>
      <c r="C296">
        <v>638</v>
      </c>
      <c r="D296">
        <v>168</v>
      </c>
      <c r="E296" s="19">
        <v>656</v>
      </c>
    </row>
    <row r="297" spans="1:5" x14ac:dyDescent="0.3">
      <c r="A297" s="20" t="s">
        <v>1953</v>
      </c>
      <c r="B297" s="19">
        <v>1080</v>
      </c>
      <c r="C297">
        <v>507</v>
      </c>
      <c r="D297">
        <v>61</v>
      </c>
      <c r="E297" s="19">
        <v>512</v>
      </c>
    </row>
    <row r="298" spans="1:5" x14ac:dyDescent="0.3">
      <c r="A298" s="20" t="s">
        <v>1574</v>
      </c>
      <c r="B298" s="19">
        <v>1009</v>
      </c>
      <c r="C298">
        <v>528</v>
      </c>
      <c r="D298">
        <v>41</v>
      </c>
      <c r="E298" s="19">
        <v>440</v>
      </c>
    </row>
    <row r="299" spans="1:5" x14ac:dyDescent="0.3">
      <c r="A299" s="20" t="s">
        <v>1954</v>
      </c>
      <c r="B299" s="19">
        <v>427</v>
      </c>
      <c r="C299">
        <v>225</v>
      </c>
      <c r="D299">
        <v>22</v>
      </c>
      <c r="E299" s="19">
        <v>180</v>
      </c>
    </row>
    <row r="300" spans="1:5" x14ac:dyDescent="0.3">
      <c r="A300" s="20" t="s">
        <v>1955</v>
      </c>
      <c r="B300" s="19">
        <v>939</v>
      </c>
      <c r="C300">
        <v>511</v>
      </c>
      <c r="D300">
        <v>46</v>
      </c>
      <c r="E300" s="19">
        <v>382</v>
      </c>
    </row>
    <row r="301" spans="1:5" x14ac:dyDescent="0.3">
      <c r="A301" s="20" t="s">
        <v>1575</v>
      </c>
      <c r="B301" s="19">
        <v>2100</v>
      </c>
      <c r="C301">
        <v>1141</v>
      </c>
      <c r="D301">
        <v>121</v>
      </c>
      <c r="E301" s="19">
        <v>838</v>
      </c>
    </row>
    <row r="302" spans="1:5" x14ac:dyDescent="0.3">
      <c r="A302" s="20" t="s">
        <v>1246</v>
      </c>
      <c r="B302" s="19">
        <v>8517</v>
      </c>
      <c r="C302">
        <v>4627</v>
      </c>
      <c r="D302">
        <v>460</v>
      </c>
      <c r="E302" s="19">
        <v>3430</v>
      </c>
    </row>
    <row r="303" spans="1:5" x14ac:dyDescent="0.3">
      <c r="A303" s="20" t="s">
        <v>1576</v>
      </c>
      <c r="B303" s="19">
        <v>434</v>
      </c>
      <c r="C303">
        <v>219</v>
      </c>
      <c r="D303">
        <v>68</v>
      </c>
      <c r="E303" s="19">
        <v>147</v>
      </c>
    </row>
    <row r="304" spans="1:5" x14ac:dyDescent="0.3">
      <c r="A304" s="20" t="s">
        <v>1956</v>
      </c>
      <c r="B304" s="19">
        <v>506</v>
      </c>
      <c r="C304">
        <v>250</v>
      </c>
      <c r="D304">
        <v>99</v>
      </c>
      <c r="E304" s="19">
        <v>157</v>
      </c>
    </row>
    <row r="305" spans="1:5" x14ac:dyDescent="0.3">
      <c r="A305" s="20" t="s">
        <v>1577</v>
      </c>
      <c r="B305" s="19">
        <v>739</v>
      </c>
      <c r="C305">
        <v>327</v>
      </c>
      <c r="D305">
        <v>51</v>
      </c>
      <c r="E305" s="19">
        <v>361</v>
      </c>
    </row>
    <row r="306" spans="1:5" x14ac:dyDescent="0.3">
      <c r="A306" s="20" t="s">
        <v>1148</v>
      </c>
      <c r="B306" s="19">
        <v>45486</v>
      </c>
      <c r="C306">
        <v>23529</v>
      </c>
      <c r="D306">
        <v>5219</v>
      </c>
      <c r="E306" s="19">
        <v>16738</v>
      </c>
    </row>
    <row r="307" spans="1:5" x14ac:dyDescent="0.3">
      <c r="A307" s="20" t="s">
        <v>1354</v>
      </c>
      <c r="B307" s="19">
        <v>3792</v>
      </c>
      <c r="C307">
        <v>1979</v>
      </c>
      <c r="D307">
        <v>218</v>
      </c>
      <c r="E307" s="19">
        <v>1595</v>
      </c>
    </row>
    <row r="308" spans="1:5" x14ac:dyDescent="0.3">
      <c r="A308" s="20" t="s">
        <v>1578</v>
      </c>
      <c r="B308" s="19">
        <v>889</v>
      </c>
      <c r="C308">
        <v>555</v>
      </c>
      <c r="D308">
        <v>8</v>
      </c>
      <c r="E308" s="19">
        <v>326</v>
      </c>
    </row>
    <row r="309" spans="1:5" x14ac:dyDescent="0.3">
      <c r="A309" s="20" t="s">
        <v>1957</v>
      </c>
      <c r="B309" s="19">
        <v>1853</v>
      </c>
      <c r="C309">
        <v>996</v>
      </c>
      <c r="D309">
        <v>170</v>
      </c>
      <c r="E309" s="19">
        <v>687</v>
      </c>
    </row>
    <row r="310" spans="1:5" x14ac:dyDescent="0.3">
      <c r="A310" s="20" t="s">
        <v>1958</v>
      </c>
      <c r="B310" s="19">
        <v>1055</v>
      </c>
      <c r="C310">
        <v>525</v>
      </c>
      <c r="D310">
        <v>45</v>
      </c>
      <c r="E310" s="19">
        <v>485</v>
      </c>
    </row>
    <row r="311" spans="1:5" x14ac:dyDescent="0.3">
      <c r="A311" s="20" t="s">
        <v>1959</v>
      </c>
      <c r="B311" s="19">
        <v>1700</v>
      </c>
      <c r="C311">
        <v>910</v>
      </c>
      <c r="D311">
        <v>111</v>
      </c>
      <c r="E311" s="19">
        <v>679</v>
      </c>
    </row>
    <row r="312" spans="1:5" x14ac:dyDescent="0.3">
      <c r="A312" s="20" t="s">
        <v>1960</v>
      </c>
      <c r="B312" s="19">
        <v>2669</v>
      </c>
      <c r="C312">
        <v>1437</v>
      </c>
      <c r="D312">
        <v>132</v>
      </c>
      <c r="E312" s="19">
        <v>1100</v>
      </c>
    </row>
    <row r="313" spans="1:5" x14ac:dyDescent="0.3">
      <c r="A313" s="20" t="s">
        <v>1579</v>
      </c>
      <c r="B313" s="19">
        <v>2049</v>
      </c>
      <c r="C313">
        <v>932</v>
      </c>
      <c r="D313">
        <v>223</v>
      </c>
      <c r="E313" s="19">
        <v>894</v>
      </c>
    </row>
    <row r="314" spans="1:5" x14ac:dyDescent="0.3">
      <c r="A314" s="20" t="s">
        <v>1201</v>
      </c>
      <c r="B314" s="19">
        <v>9013</v>
      </c>
      <c r="C314">
        <v>5227</v>
      </c>
      <c r="D314">
        <v>360</v>
      </c>
      <c r="E314" s="19">
        <v>3426</v>
      </c>
    </row>
    <row r="315" spans="1:5" x14ac:dyDescent="0.3">
      <c r="A315" s="20" t="s">
        <v>1961</v>
      </c>
      <c r="B315" s="19">
        <v>1065</v>
      </c>
      <c r="C315">
        <v>213</v>
      </c>
      <c r="D315">
        <v>43</v>
      </c>
      <c r="E315" s="19">
        <v>809</v>
      </c>
    </row>
    <row r="316" spans="1:5" x14ac:dyDescent="0.3">
      <c r="A316" s="20" t="s">
        <v>1025</v>
      </c>
      <c r="B316" s="19">
        <v>773</v>
      </c>
      <c r="C316">
        <v>416</v>
      </c>
      <c r="D316">
        <v>60</v>
      </c>
      <c r="E316" s="19">
        <v>297</v>
      </c>
    </row>
    <row r="317" spans="1:5" x14ac:dyDescent="0.3">
      <c r="A317" s="20" t="s">
        <v>1962</v>
      </c>
      <c r="B317" s="19">
        <v>1638</v>
      </c>
      <c r="C317">
        <v>439</v>
      </c>
      <c r="D317">
        <v>98</v>
      </c>
      <c r="E317" s="19">
        <v>1101</v>
      </c>
    </row>
    <row r="318" spans="1:5" x14ac:dyDescent="0.3">
      <c r="A318" s="20" t="s">
        <v>1580</v>
      </c>
      <c r="B318" s="19">
        <v>1428</v>
      </c>
      <c r="C318">
        <v>670</v>
      </c>
      <c r="D318">
        <v>47</v>
      </c>
      <c r="E318" s="19">
        <v>711</v>
      </c>
    </row>
    <row r="319" spans="1:5" x14ac:dyDescent="0.3">
      <c r="A319" s="20" t="s">
        <v>1186</v>
      </c>
      <c r="B319" s="19">
        <v>1768</v>
      </c>
      <c r="C319">
        <v>981</v>
      </c>
      <c r="D319">
        <v>91</v>
      </c>
      <c r="E319" s="19">
        <v>696</v>
      </c>
    </row>
    <row r="320" spans="1:5" x14ac:dyDescent="0.3">
      <c r="A320" s="20" t="s">
        <v>1217</v>
      </c>
      <c r="B320" s="19">
        <v>764</v>
      </c>
      <c r="C320">
        <v>413</v>
      </c>
      <c r="D320">
        <v>25</v>
      </c>
      <c r="E320" s="19">
        <v>326</v>
      </c>
    </row>
    <row r="321" spans="1:5" x14ac:dyDescent="0.3">
      <c r="A321" s="20" t="s">
        <v>1026</v>
      </c>
      <c r="B321" s="19">
        <v>654</v>
      </c>
      <c r="C321">
        <v>381</v>
      </c>
      <c r="D321">
        <v>45</v>
      </c>
      <c r="E321" s="19">
        <v>228</v>
      </c>
    </row>
    <row r="322" spans="1:5" x14ac:dyDescent="0.3">
      <c r="A322" s="20" t="s">
        <v>1963</v>
      </c>
      <c r="B322" s="19">
        <v>1230</v>
      </c>
      <c r="C322">
        <v>600</v>
      </c>
      <c r="D322">
        <v>44</v>
      </c>
      <c r="E322" s="19">
        <v>586</v>
      </c>
    </row>
    <row r="323" spans="1:5" x14ac:dyDescent="0.3">
      <c r="A323" s="20" t="s">
        <v>1581</v>
      </c>
      <c r="B323" s="19">
        <v>588</v>
      </c>
      <c r="C323">
        <v>284</v>
      </c>
      <c r="D323">
        <v>30</v>
      </c>
      <c r="E323" s="19">
        <v>274</v>
      </c>
    </row>
    <row r="324" spans="1:5" x14ac:dyDescent="0.3">
      <c r="A324" s="20" t="s">
        <v>1371</v>
      </c>
      <c r="B324" s="19">
        <v>2552</v>
      </c>
      <c r="C324">
        <v>808</v>
      </c>
      <c r="D324">
        <v>309</v>
      </c>
      <c r="E324" s="19">
        <v>1435</v>
      </c>
    </row>
    <row r="325" spans="1:5" x14ac:dyDescent="0.3">
      <c r="A325" s="20" t="s">
        <v>1582</v>
      </c>
      <c r="B325" s="19">
        <v>693</v>
      </c>
      <c r="C325">
        <v>236</v>
      </c>
      <c r="D325">
        <v>145</v>
      </c>
      <c r="E325" s="19">
        <v>312</v>
      </c>
    </row>
    <row r="326" spans="1:5" x14ac:dyDescent="0.3">
      <c r="A326" s="20" t="s">
        <v>1583</v>
      </c>
      <c r="B326" s="19">
        <v>689</v>
      </c>
      <c r="C326">
        <v>298</v>
      </c>
      <c r="D326">
        <v>113</v>
      </c>
      <c r="E326" s="19">
        <v>278</v>
      </c>
    </row>
    <row r="327" spans="1:5" x14ac:dyDescent="0.3">
      <c r="A327" s="20" t="s">
        <v>1964</v>
      </c>
      <c r="B327" s="19">
        <v>533</v>
      </c>
      <c r="C327">
        <v>191</v>
      </c>
      <c r="D327">
        <v>95</v>
      </c>
      <c r="E327" s="19">
        <v>247</v>
      </c>
    </row>
    <row r="328" spans="1:5" x14ac:dyDescent="0.3">
      <c r="A328" s="20" t="s">
        <v>1445</v>
      </c>
      <c r="B328" s="19">
        <v>121304</v>
      </c>
      <c r="C328">
        <v>46817</v>
      </c>
      <c r="D328">
        <v>18587</v>
      </c>
      <c r="E328" s="19">
        <v>55900</v>
      </c>
    </row>
    <row r="329" spans="1:5" x14ac:dyDescent="0.3">
      <c r="A329" s="20" t="s">
        <v>1584</v>
      </c>
      <c r="B329" s="19">
        <v>2630</v>
      </c>
      <c r="C329">
        <v>873</v>
      </c>
      <c r="D329">
        <v>286</v>
      </c>
      <c r="E329" s="19">
        <v>1471</v>
      </c>
    </row>
    <row r="330" spans="1:5" x14ac:dyDescent="0.3">
      <c r="A330" s="20" t="s">
        <v>1965</v>
      </c>
      <c r="B330" s="19">
        <v>1817</v>
      </c>
      <c r="C330">
        <v>691</v>
      </c>
      <c r="D330">
        <v>137</v>
      </c>
      <c r="E330" s="19">
        <v>989</v>
      </c>
    </row>
    <row r="331" spans="1:5" x14ac:dyDescent="0.3">
      <c r="A331" s="20" t="s">
        <v>1585</v>
      </c>
      <c r="B331" s="19">
        <v>3355</v>
      </c>
      <c r="C331">
        <v>1105</v>
      </c>
      <c r="D331">
        <v>470</v>
      </c>
      <c r="E331" s="19">
        <v>1780</v>
      </c>
    </row>
    <row r="332" spans="1:5" x14ac:dyDescent="0.3">
      <c r="A332" s="20" t="s">
        <v>1586</v>
      </c>
      <c r="B332" s="19">
        <v>2246</v>
      </c>
      <c r="C332">
        <v>787</v>
      </c>
      <c r="D332">
        <v>316</v>
      </c>
      <c r="E332" s="19">
        <v>1143</v>
      </c>
    </row>
    <row r="333" spans="1:5" x14ac:dyDescent="0.3">
      <c r="A333" s="20" t="s">
        <v>1587</v>
      </c>
      <c r="B333" s="19">
        <v>5335</v>
      </c>
      <c r="C333">
        <v>1867</v>
      </c>
      <c r="D333">
        <v>546</v>
      </c>
      <c r="E333" s="19">
        <v>2922</v>
      </c>
    </row>
    <row r="334" spans="1:5" x14ac:dyDescent="0.3">
      <c r="A334" s="20" t="s">
        <v>1588</v>
      </c>
      <c r="B334" s="19">
        <v>1933</v>
      </c>
      <c r="C334">
        <v>640</v>
      </c>
      <c r="D334">
        <v>246</v>
      </c>
      <c r="E334" s="19">
        <v>1047</v>
      </c>
    </row>
    <row r="335" spans="1:5" x14ac:dyDescent="0.3">
      <c r="A335" s="20" t="s">
        <v>1370</v>
      </c>
      <c r="B335" s="19">
        <v>4408</v>
      </c>
      <c r="C335">
        <v>1968</v>
      </c>
      <c r="D335">
        <v>400</v>
      </c>
      <c r="E335" s="19">
        <v>2040</v>
      </c>
    </row>
    <row r="336" spans="1:5" x14ac:dyDescent="0.3">
      <c r="A336" s="20" t="s">
        <v>1444</v>
      </c>
      <c r="B336" s="19">
        <v>5862</v>
      </c>
      <c r="C336">
        <v>2064</v>
      </c>
      <c r="D336">
        <v>913</v>
      </c>
      <c r="E336" s="19">
        <v>2885</v>
      </c>
    </row>
    <row r="337" spans="1:5" x14ac:dyDescent="0.3">
      <c r="A337" s="20" t="s">
        <v>1966</v>
      </c>
      <c r="B337" s="19">
        <v>3976</v>
      </c>
      <c r="C337">
        <v>1432</v>
      </c>
      <c r="D337">
        <v>409</v>
      </c>
      <c r="E337" s="19">
        <v>2135</v>
      </c>
    </row>
    <row r="338" spans="1:5" x14ac:dyDescent="0.3">
      <c r="A338" s="20" t="s">
        <v>1967</v>
      </c>
      <c r="B338" s="19">
        <v>2020</v>
      </c>
      <c r="C338">
        <v>880</v>
      </c>
      <c r="D338">
        <v>199</v>
      </c>
      <c r="E338" s="19">
        <v>941</v>
      </c>
    </row>
    <row r="339" spans="1:5" x14ac:dyDescent="0.3">
      <c r="A339" s="20" t="s">
        <v>1589</v>
      </c>
      <c r="B339" s="19">
        <v>919</v>
      </c>
      <c r="C339">
        <v>293</v>
      </c>
      <c r="D339">
        <v>80</v>
      </c>
      <c r="E339" s="19">
        <v>546</v>
      </c>
    </row>
    <row r="340" spans="1:5" x14ac:dyDescent="0.3">
      <c r="A340" s="20" t="s">
        <v>1076</v>
      </c>
      <c r="B340" s="19">
        <v>6048</v>
      </c>
      <c r="C340">
        <v>2554</v>
      </c>
      <c r="D340">
        <v>668</v>
      </c>
      <c r="E340" s="19">
        <v>2826</v>
      </c>
    </row>
    <row r="341" spans="1:5" x14ac:dyDescent="0.3">
      <c r="A341" s="20" t="s">
        <v>1590</v>
      </c>
      <c r="B341" s="19">
        <v>1933</v>
      </c>
      <c r="C341">
        <v>756</v>
      </c>
      <c r="D341">
        <v>164</v>
      </c>
      <c r="E341" s="19">
        <v>1013</v>
      </c>
    </row>
    <row r="342" spans="1:5" x14ac:dyDescent="0.3">
      <c r="A342" s="20" t="s">
        <v>1968</v>
      </c>
      <c r="B342" s="19">
        <v>386</v>
      </c>
      <c r="C342">
        <v>130</v>
      </c>
      <c r="D342">
        <v>64</v>
      </c>
      <c r="E342" s="19">
        <v>192</v>
      </c>
    </row>
    <row r="343" spans="1:5" x14ac:dyDescent="0.3">
      <c r="A343" s="20" t="s">
        <v>1027</v>
      </c>
      <c r="B343" s="19">
        <v>1352</v>
      </c>
      <c r="C343">
        <v>430</v>
      </c>
      <c r="D343">
        <v>159</v>
      </c>
      <c r="E343" s="19">
        <v>763</v>
      </c>
    </row>
    <row r="344" spans="1:5" x14ac:dyDescent="0.3">
      <c r="A344" s="20" t="s">
        <v>1591</v>
      </c>
      <c r="B344" s="19">
        <v>850</v>
      </c>
      <c r="C344">
        <v>367</v>
      </c>
      <c r="D344">
        <v>28</v>
      </c>
      <c r="E344" s="19">
        <v>455</v>
      </c>
    </row>
    <row r="345" spans="1:5" x14ac:dyDescent="0.3">
      <c r="A345" s="20" t="s">
        <v>1969</v>
      </c>
      <c r="B345" s="19">
        <v>1235</v>
      </c>
      <c r="C345">
        <v>500</v>
      </c>
      <c r="D345">
        <v>68</v>
      </c>
      <c r="E345" s="19">
        <v>667</v>
      </c>
    </row>
    <row r="346" spans="1:5" x14ac:dyDescent="0.3">
      <c r="A346" s="20" t="s">
        <v>1592</v>
      </c>
      <c r="B346" s="19">
        <v>2236</v>
      </c>
      <c r="C346">
        <v>985</v>
      </c>
      <c r="D346">
        <v>57</v>
      </c>
      <c r="E346" s="19">
        <v>1194</v>
      </c>
    </row>
    <row r="347" spans="1:5" x14ac:dyDescent="0.3">
      <c r="A347" s="20" t="s">
        <v>1970</v>
      </c>
      <c r="B347" s="19">
        <v>965</v>
      </c>
      <c r="C347">
        <v>312</v>
      </c>
      <c r="D347">
        <v>169</v>
      </c>
      <c r="E347" s="19">
        <v>484</v>
      </c>
    </row>
    <row r="348" spans="1:5" x14ac:dyDescent="0.3">
      <c r="A348" s="20" t="s">
        <v>1593</v>
      </c>
      <c r="B348" s="19">
        <v>3857</v>
      </c>
      <c r="C348">
        <v>1486</v>
      </c>
      <c r="D348">
        <v>359</v>
      </c>
      <c r="E348" s="19">
        <v>2012</v>
      </c>
    </row>
    <row r="349" spans="1:5" x14ac:dyDescent="0.3">
      <c r="A349" s="20" t="s">
        <v>1971</v>
      </c>
      <c r="B349" s="19">
        <v>1433</v>
      </c>
      <c r="C349">
        <v>513</v>
      </c>
      <c r="D349">
        <v>211</v>
      </c>
      <c r="E349" s="19">
        <v>709</v>
      </c>
    </row>
    <row r="350" spans="1:5" x14ac:dyDescent="0.3">
      <c r="A350" s="20" t="s">
        <v>1594</v>
      </c>
      <c r="B350" s="19">
        <v>957</v>
      </c>
      <c r="C350">
        <v>291</v>
      </c>
      <c r="D350">
        <v>61</v>
      </c>
      <c r="E350" s="19">
        <v>605</v>
      </c>
    </row>
    <row r="351" spans="1:5" x14ac:dyDescent="0.3">
      <c r="A351" s="20" t="s">
        <v>1972</v>
      </c>
      <c r="B351" s="19">
        <v>759</v>
      </c>
      <c r="C351">
        <v>334</v>
      </c>
      <c r="D351">
        <v>89</v>
      </c>
      <c r="E351" s="19">
        <v>336</v>
      </c>
    </row>
    <row r="352" spans="1:5" x14ac:dyDescent="0.3">
      <c r="A352" s="20" t="s">
        <v>1595</v>
      </c>
      <c r="B352" s="19">
        <v>1312</v>
      </c>
      <c r="C352">
        <v>532</v>
      </c>
      <c r="D352">
        <v>125</v>
      </c>
      <c r="E352" s="19">
        <v>655</v>
      </c>
    </row>
    <row r="353" spans="1:5" x14ac:dyDescent="0.3">
      <c r="A353" s="20" t="s">
        <v>1453</v>
      </c>
      <c r="B353" s="19">
        <v>6002</v>
      </c>
      <c r="C353">
        <v>2285</v>
      </c>
      <c r="D353">
        <v>1038</v>
      </c>
      <c r="E353" s="19">
        <v>2679</v>
      </c>
    </row>
    <row r="354" spans="1:5" x14ac:dyDescent="0.3">
      <c r="A354" s="20" t="s">
        <v>1596</v>
      </c>
      <c r="B354" s="19">
        <v>1609</v>
      </c>
      <c r="C354">
        <v>694</v>
      </c>
      <c r="D354">
        <v>232</v>
      </c>
      <c r="E354" s="19">
        <v>683</v>
      </c>
    </row>
    <row r="355" spans="1:5" x14ac:dyDescent="0.3">
      <c r="A355" s="20" t="s">
        <v>1597</v>
      </c>
      <c r="B355" s="19">
        <v>1807</v>
      </c>
      <c r="C355">
        <v>673</v>
      </c>
      <c r="D355">
        <v>207</v>
      </c>
      <c r="E355" s="19">
        <v>927</v>
      </c>
    </row>
    <row r="356" spans="1:5" x14ac:dyDescent="0.3">
      <c r="A356" s="20" t="s">
        <v>1598</v>
      </c>
      <c r="B356" s="19">
        <v>1150</v>
      </c>
      <c r="C356">
        <v>411</v>
      </c>
      <c r="D356">
        <v>161</v>
      </c>
      <c r="E356" s="19">
        <v>578</v>
      </c>
    </row>
    <row r="357" spans="1:5" x14ac:dyDescent="0.3">
      <c r="A357" s="20" t="s">
        <v>1599</v>
      </c>
      <c r="B357" s="19">
        <v>371</v>
      </c>
      <c r="C357">
        <v>132</v>
      </c>
      <c r="D357">
        <v>73</v>
      </c>
      <c r="E357" s="19">
        <v>166</v>
      </c>
    </row>
    <row r="358" spans="1:5" x14ac:dyDescent="0.3">
      <c r="A358" s="20" t="s">
        <v>1600</v>
      </c>
      <c r="B358" s="19">
        <v>920</v>
      </c>
      <c r="C358">
        <v>267</v>
      </c>
      <c r="D358">
        <v>198</v>
      </c>
      <c r="E358" s="19">
        <v>455</v>
      </c>
    </row>
    <row r="359" spans="1:5" x14ac:dyDescent="0.3">
      <c r="A359" s="20" t="s">
        <v>1450</v>
      </c>
      <c r="B359" s="19">
        <v>3364</v>
      </c>
      <c r="C359">
        <v>1117</v>
      </c>
      <c r="D359">
        <v>350</v>
      </c>
      <c r="E359" s="19">
        <v>1897</v>
      </c>
    </row>
    <row r="360" spans="1:5" x14ac:dyDescent="0.3">
      <c r="A360" s="20" t="s">
        <v>1601</v>
      </c>
      <c r="B360" s="19">
        <v>4977</v>
      </c>
      <c r="C360">
        <v>1574</v>
      </c>
      <c r="D360">
        <v>728</v>
      </c>
      <c r="E360" s="19">
        <v>2675</v>
      </c>
    </row>
    <row r="361" spans="1:5" x14ac:dyDescent="0.3">
      <c r="A361" s="20" t="s">
        <v>1602</v>
      </c>
      <c r="B361" s="19">
        <v>3678</v>
      </c>
      <c r="C361">
        <v>1306</v>
      </c>
      <c r="D361">
        <v>598</v>
      </c>
      <c r="E361" s="19">
        <v>1774</v>
      </c>
    </row>
    <row r="362" spans="1:5" x14ac:dyDescent="0.3">
      <c r="A362" s="20" t="s">
        <v>1404</v>
      </c>
      <c r="B362" s="19">
        <v>39039</v>
      </c>
      <c r="C362">
        <v>16768</v>
      </c>
      <c r="D362">
        <v>4701</v>
      </c>
      <c r="E362" s="19">
        <v>17570</v>
      </c>
    </row>
    <row r="363" spans="1:5" x14ac:dyDescent="0.3">
      <c r="A363" s="20" t="s">
        <v>1603</v>
      </c>
      <c r="B363" s="19">
        <v>5302</v>
      </c>
      <c r="C363">
        <v>2104</v>
      </c>
      <c r="D363">
        <v>617</v>
      </c>
      <c r="E363" s="19">
        <v>2581</v>
      </c>
    </row>
    <row r="364" spans="1:5" x14ac:dyDescent="0.3">
      <c r="A364" s="20" t="s">
        <v>1973</v>
      </c>
      <c r="B364" s="19">
        <v>2234</v>
      </c>
      <c r="C364">
        <v>789</v>
      </c>
      <c r="D364">
        <v>327</v>
      </c>
      <c r="E364" s="19">
        <v>1118</v>
      </c>
    </row>
    <row r="365" spans="1:5" x14ac:dyDescent="0.3">
      <c r="A365" s="20" t="s">
        <v>1974</v>
      </c>
      <c r="B365" s="19">
        <v>13622</v>
      </c>
      <c r="C365">
        <v>5527</v>
      </c>
      <c r="D365">
        <v>1364</v>
      </c>
      <c r="E365" s="19">
        <v>6731</v>
      </c>
    </row>
    <row r="366" spans="1:5" x14ac:dyDescent="0.3">
      <c r="A366" s="20" t="s">
        <v>1604</v>
      </c>
      <c r="B366" s="19">
        <v>3974</v>
      </c>
      <c r="C366">
        <v>1333</v>
      </c>
      <c r="D366">
        <v>402</v>
      </c>
      <c r="E366" s="19">
        <v>2239</v>
      </c>
    </row>
    <row r="367" spans="1:5" x14ac:dyDescent="0.3">
      <c r="A367" s="20" t="s">
        <v>1605</v>
      </c>
      <c r="B367" s="19">
        <v>23796</v>
      </c>
      <c r="C367">
        <v>10971</v>
      </c>
      <c r="D367">
        <v>2018</v>
      </c>
      <c r="E367" s="19">
        <v>10807</v>
      </c>
    </row>
    <row r="368" spans="1:5" x14ac:dyDescent="0.3">
      <c r="A368" s="20" t="s">
        <v>1396</v>
      </c>
      <c r="B368" s="19">
        <v>21056</v>
      </c>
      <c r="C368">
        <v>9216</v>
      </c>
      <c r="D368">
        <v>2353</v>
      </c>
      <c r="E368" s="19">
        <v>9487</v>
      </c>
    </row>
    <row r="369" spans="1:5" x14ac:dyDescent="0.3">
      <c r="A369" s="20" t="s">
        <v>1975</v>
      </c>
      <c r="B369" s="19">
        <v>1164</v>
      </c>
      <c r="C369">
        <v>427</v>
      </c>
      <c r="D369">
        <v>150</v>
      </c>
      <c r="E369" s="19">
        <v>587</v>
      </c>
    </row>
    <row r="370" spans="1:5" x14ac:dyDescent="0.3">
      <c r="A370" s="20" t="s">
        <v>1606</v>
      </c>
      <c r="B370" s="19">
        <v>905</v>
      </c>
      <c r="C370">
        <v>446</v>
      </c>
      <c r="D370">
        <v>15</v>
      </c>
      <c r="E370" s="19">
        <v>444</v>
      </c>
    </row>
    <row r="371" spans="1:5" x14ac:dyDescent="0.3">
      <c r="A371" s="20" t="s">
        <v>1976</v>
      </c>
      <c r="B371" s="19">
        <v>730</v>
      </c>
      <c r="C371">
        <v>351</v>
      </c>
      <c r="D371">
        <v>65</v>
      </c>
      <c r="E371" s="19">
        <v>314</v>
      </c>
    </row>
    <row r="372" spans="1:5" x14ac:dyDescent="0.3">
      <c r="A372" s="20" t="s">
        <v>1977</v>
      </c>
      <c r="B372" s="19">
        <v>755</v>
      </c>
      <c r="C372">
        <v>321</v>
      </c>
      <c r="D372">
        <v>79</v>
      </c>
      <c r="E372" s="19">
        <v>355</v>
      </c>
    </row>
    <row r="373" spans="1:5" x14ac:dyDescent="0.3">
      <c r="A373" s="20" t="s">
        <v>1978</v>
      </c>
      <c r="B373" s="19">
        <v>174</v>
      </c>
      <c r="C373">
        <v>42</v>
      </c>
      <c r="D373">
        <v>40</v>
      </c>
      <c r="E373" s="19">
        <v>92</v>
      </c>
    </row>
    <row r="374" spans="1:5" x14ac:dyDescent="0.3">
      <c r="A374" s="20" t="s">
        <v>1172</v>
      </c>
      <c r="B374" s="19">
        <v>1296</v>
      </c>
      <c r="C374">
        <v>364</v>
      </c>
      <c r="D374">
        <v>181</v>
      </c>
      <c r="E374" s="19">
        <v>751</v>
      </c>
    </row>
    <row r="375" spans="1:5" x14ac:dyDescent="0.3">
      <c r="A375" s="20" t="s">
        <v>1607</v>
      </c>
      <c r="B375" s="19">
        <v>631</v>
      </c>
      <c r="C375">
        <v>236</v>
      </c>
      <c r="D375">
        <v>43</v>
      </c>
      <c r="E375" s="19">
        <v>352</v>
      </c>
    </row>
    <row r="376" spans="1:5" x14ac:dyDescent="0.3">
      <c r="A376" s="20" t="s">
        <v>1979</v>
      </c>
      <c r="B376" s="19">
        <v>523</v>
      </c>
      <c r="C376">
        <v>177</v>
      </c>
      <c r="D376">
        <v>106</v>
      </c>
      <c r="E376" s="19">
        <v>240</v>
      </c>
    </row>
    <row r="377" spans="1:5" x14ac:dyDescent="0.3">
      <c r="A377" s="20" t="s">
        <v>1980</v>
      </c>
      <c r="B377" s="19">
        <v>1080</v>
      </c>
      <c r="C377">
        <v>363</v>
      </c>
      <c r="D377">
        <v>55</v>
      </c>
      <c r="E377" s="19">
        <v>662</v>
      </c>
    </row>
    <row r="378" spans="1:5" x14ac:dyDescent="0.3">
      <c r="A378" s="20" t="s">
        <v>1981</v>
      </c>
      <c r="B378" s="19">
        <v>915</v>
      </c>
      <c r="C378">
        <v>413</v>
      </c>
      <c r="D378">
        <v>80</v>
      </c>
      <c r="E378" s="19">
        <v>422</v>
      </c>
    </row>
    <row r="379" spans="1:5" x14ac:dyDescent="0.3">
      <c r="A379" s="20" t="s">
        <v>1608</v>
      </c>
      <c r="B379" s="19">
        <v>1592</v>
      </c>
      <c r="C379">
        <v>654</v>
      </c>
      <c r="D379">
        <v>94</v>
      </c>
      <c r="E379" s="19">
        <v>844</v>
      </c>
    </row>
    <row r="380" spans="1:5" x14ac:dyDescent="0.3">
      <c r="A380" s="20" t="s">
        <v>1982</v>
      </c>
      <c r="B380" s="19">
        <v>335</v>
      </c>
      <c r="C380">
        <v>80</v>
      </c>
      <c r="D380">
        <v>99</v>
      </c>
      <c r="E380" s="19">
        <v>156</v>
      </c>
    </row>
    <row r="381" spans="1:5" x14ac:dyDescent="0.3">
      <c r="A381" s="20" t="s">
        <v>1449</v>
      </c>
      <c r="B381" s="19">
        <v>14308</v>
      </c>
      <c r="C381">
        <v>5878</v>
      </c>
      <c r="D381">
        <v>1944</v>
      </c>
      <c r="E381" s="19">
        <v>6486</v>
      </c>
    </row>
    <row r="382" spans="1:5" x14ac:dyDescent="0.3">
      <c r="A382" s="20" t="s">
        <v>1609</v>
      </c>
      <c r="B382" s="19">
        <v>2146</v>
      </c>
      <c r="C382">
        <v>996</v>
      </c>
      <c r="D382">
        <v>235</v>
      </c>
      <c r="E382" s="19">
        <v>915</v>
      </c>
    </row>
    <row r="383" spans="1:5" x14ac:dyDescent="0.3">
      <c r="A383" s="20" t="s">
        <v>1610</v>
      </c>
      <c r="B383" s="19">
        <v>2984</v>
      </c>
      <c r="C383">
        <v>1211</v>
      </c>
      <c r="D383">
        <v>435</v>
      </c>
      <c r="E383" s="19">
        <v>1338</v>
      </c>
    </row>
    <row r="384" spans="1:5" x14ac:dyDescent="0.3">
      <c r="A384" s="20" t="s">
        <v>1611</v>
      </c>
      <c r="B384" s="19">
        <v>5580</v>
      </c>
      <c r="C384">
        <v>2312</v>
      </c>
      <c r="D384">
        <v>710</v>
      </c>
      <c r="E384" s="19">
        <v>2558</v>
      </c>
    </row>
    <row r="385" spans="1:5" x14ac:dyDescent="0.3">
      <c r="A385" s="20" t="s">
        <v>1612</v>
      </c>
      <c r="B385" s="19">
        <v>8886</v>
      </c>
      <c r="C385">
        <v>3724</v>
      </c>
      <c r="D385">
        <v>1137</v>
      </c>
      <c r="E385" s="19">
        <v>4025</v>
      </c>
    </row>
    <row r="386" spans="1:5" x14ac:dyDescent="0.3">
      <c r="A386" s="20" t="s">
        <v>1613</v>
      </c>
      <c r="B386" s="19">
        <v>4765</v>
      </c>
      <c r="C386">
        <v>1634</v>
      </c>
      <c r="D386">
        <v>807</v>
      </c>
      <c r="E386" s="19">
        <v>2324</v>
      </c>
    </row>
    <row r="387" spans="1:5" x14ac:dyDescent="0.3">
      <c r="A387" s="20" t="s">
        <v>1614</v>
      </c>
      <c r="B387" s="19">
        <v>2766</v>
      </c>
      <c r="C387">
        <v>1069</v>
      </c>
      <c r="D387">
        <v>260</v>
      </c>
      <c r="E387" s="19">
        <v>1437</v>
      </c>
    </row>
    <row r="388" spans="1:5" x14ac:dyDescent="0.3">
      <c r="A388" s="20" t="s">
        <v>1983</v>
      </c>
      <c r="B388" s="19">
        <v>2827</v>
      </c>
      <c r="C388">
        <v>1347</v>
      </c>
      <c r="D388">
        <v>89</v>
      </c>
      <c r="E388" s="19">
        <v>1391</v>
      </c>
    </row>
    <row r="389" spans="1:5" x14ac:dyDescent="0.3">
      <c r="A389" s="20" t="s">
        <v>1615</v>
      </c>
      <c r="B389" s="19">
        <v>3798</v>
      </c>
      <c r="C389">
        <v>1548</v>
      </c>
      <c r="D389">
        <v>449</v>
      </c>
      <c r="E389" s="19">
        <v>1801</v>
      </c>
    </row>
    <row r="390" spans="1:5" x14ac:dyDescent="0.3">
      <c r="A390" s="20" t="s">
        <v>1616</v>
      </c>
      <c r="B390" s="19">
        <v>3425</v>
      </c>
      <c r="C390">
        <v>1154</v>
      </c>
      <c r="D390">
        <v>408</v>
      </c>
      <c r="E390" s="19">
        <v>1863</v>
      </c>
    </row>
    <row r="391" spans="1:5" x14ac:dyDescent="0.3">
      <c r="A391" s="20" t="s">
        <v>1183</v>
      </c>
      <c r="B391" s="19">
        <v>4210</v>
      </c>
      <c r="C391">
        <v>1597</v>
      </c>
      <c r="D391">
        <v>726</v>
      </c>
      <c r="E391" s="19">
        <v>1887</v>
      </c>
    </row>
    <row r="392" spans="1:5" x14ac:dyDescent="0.3">
      <c r="A392" s="20" t="s">
        <v>1446</v>
      </c>
      <c r="B392" s="19">
        <v>2007429</v>
      </c>
      <c r="C392">
        <v>1051215</v>
      </c>
      <c r="D392">
        <v>188347</v>
      </c>
      <c r="E392" s="19">
        <v>767867</v>
      </c>
    </row>
    <row r="393" spans="1:5" x14ac:dyDescent="0.3">
      <c r="A393" s="20" t="s">
        <v>1617</v>
      </c>
      <c r="B393" s="19">
        <v>9462</v>
      </c>
      <c r="C393">
        <v>4346</v>
      </c>
      <c r="D393">
        <v>723</v>
      </c>
      <c r="E393" s="19">
        <v>4393</v>
      </c>
    </row>
    <row r="394" spans="1:5" x14ac:dyDescent="0.3">
      <c r="A394" s="20" t="s">
        <v>1618</v>
      </c>
      <c r="B394" s="19">
        <v>4592</v>
      </c>
      <c r="C394">
        <v>2028</v>
      </c>
      <c r="D394">
        <v>404</v>
      </c>
      <c r="E394" s="19">
        <v>2160</v>
      </c>
    </row>
    <row r="395" spans="1:5" x14ac:dyDescent="0.3">
      <c r="A395" s="20" t="s">
        <v>1164</v>
      </c>
      <c r="B395" s="19">
        <v>22903</v>
      </c>
      <c r="C395">
        <v>10823</v>
      </c>
      <c r="D395">
        <v>2050</v>
      </c>
      <c r="E395" s="19">
        <v>10030</v>
      </c>
    </row>
    <row r="396" spans="1:5" x14ac:dyDescent="0.3">
      <c r="A396" s="20" t="s">
        <v>1386</v>
      </c>
      <c r="B396" s="19">
        <v>10374</v>
      </c>
      <c r="C396">
        <v>5208</v>
      </c>
      <c r="D396">
        <v>350</v>
      </c>
      <c r="E396" s="19">
        <v>4816</v>
      </c>
    </row>
    <row r="397" spans="1:5" x14ac:dyDescent="0.3">
      <c r="A397" s="20" t="s">
        <v>1619</v>
      </c>
      <c r="B397" s="19">
        <v>8704</v>
      </c>
      <c r="C397">
        <v>4445</v>
      </c>
      <c r="D397">
        <v>587</v>
      </c>
      <c r="E397" s="19">
        <v>3672</v>
      </c>
    </row>
    <row r="398" spans="1:5" x14ac:dyDescent="0.3">
      <c r="A398" s="20" t="s">
        <v>1620</v>
      </c>
      <c r="B398" s="19">
        <v>18418</v>
      </c>
      <c r="C398">
        <v>7265</v>
      </c>
      <c r="D398">
        <v>1807</v>
      </c>
      <c r="E398" s="19">
        <v>9346</v>
      </c>
    </row>
    <row r="399" spans="1:5" x14ac:dyDescent="0.3">
      <c r="A399" s="20" t="s">
        <v>1322</v>
      </c>
      <c r="B399" s="19">
        <v>17696</v>
      </c>
      <c r="C399">
        <v>9241</v>
      </c>
      <c r="D399">
        <v>763</v>
      </c>
      <c r="E399" s="19">
        <v>7692</v>
      </c>
    </row>
    <row r="400" spans="1:5" x14ac:dyDescent="0.3">
      <c r="A400" s="20" t="s">
        <v>1280</v>
      </c>
      <c r="B400" s="19">
        <v>40767</v>
      </c>
      <c r="C400">
        <v>15764</v>
      </c>
      <c r="D400">
        <v>5107</v>
      </c>
      <c r="E400" s="19">
        <v>19896</v>
      </c>
    </row>
    <row r="401" spans="1:5" x14ac:dyDescent="0.3">
      <c r="A401" s="20" t="s">
        <v>1194</v>
      </c>
      <c r="B401" s="19">
        <v>14410</v>
      </c>
      <c r="C401">
        <v>5057</v>
      </c>
      <c r="D401">
        <v>2014</v>
      </c>
      <c r="E401" s="19">
        <v>7339</v>
      </c>
    </row>
    <row r="402" spans="1:5" x14ac:dyDescent="0.3">
      <c r="A402" s="20" t="s">
        <v>1984</v>
      </c>
      <c r="B402" s="19">
        <v>4283</v>
      </c>
      <c r="C402">
        <v>1246</v>
      </c>
      <c r="D402">
        <v>656</v>
      </c>
      <c r="E402" s="19">
        <v>2381</v>
      </c>
    </row>
    <row r="403" spans="1:5" x14ac:dyDescent="0.3">
      <c r="A403" s="20" t="s">
        <v>1260</v>
      </c>
      <c r="B403" s="19">
        <v>138075</v>
      </c>
      <c r="C403">
        <v>78440</v>
      </c>
      <c r="D403">
        <v>10323</v>
      </c>
      <c r="E403" s="19">
        <v>49312</v>
      </c>
    </row>
    <row r="404" spans="1:5" x14ac:dyDescent="0.3">
      <c r="A404" s="20" t="s">
        <v>1621</v>
      </c>
      <c r="B404" s="19">
        <v>7050</v>
      </c>
      <c r="C404">
        <v>2052</v>
      </c>
      <c r="D404">
        <v>1050</v>
      </c>
      <c r="E404" s="19">
        <v>3948</v>
      </c>
    </row>
    <row r="405" spans="1:5" x14ac:dyDescent="0.3">
      <c r="A405" s="20" t="s">
        <v>1028</v>
      </c>
      <c r="B405" s="19">
        <v>7908</v>
      </c>
      <c r="C405">
        <v>2558</v>
      </c>
      <c r="D405">
        <v>919</v>
      </c>
      <c r="E405" s="19">
        <v>4431</v>
      </c>
    </row>
    <row r="406" spans="1:5" x14ac:dyDescent="0.3">
      <c r="A406" s="20" t="s">
        <v>1622</v>
      </c>
      <c r="B406" s="19">
        <v>7010</v>
      </c>
      <c r="C406">
        <v>2617</v>
      </c>
      <c r="D406">
        <v>755</v>
      </c>
      <c r="E406" s="19">
        <v>3638</v>
      </c>
    </row>
    <row r="407" spans="1:5" x14ac:dyDescent="0.3">
      <c r="A407" s="20" t="s">
        <v>1412</v>
      </c>
      <c r="B407" s="19">
        <v>7363</v>
      </c>
      <c r="C407">
        <v>2594</v>
      </c>
      <c r="D407">
        <v>766</v>
      </c>
      <c r="E407" s="19">
        <v>4003</v>
      </c>
    </row>
    <row r="408" spans="1:5" x14ac:dyDescent="0.3">
      <c r="A408" s="20" t="s">
        <v>1341</v>
      </c>
      <c r="B408" s="19">
        <v>222543</v>
      </c>
      <c r="C408">
        <v>116441</v>
      </c>
      <c r="D408">
        <v>21578</v>
      </c>
      <c r="E408" s="19">
        <v>84524</v>
      </c>
    </row>
    <row r="409" spans="1:5" x14ac:dyDescent="0.3">
      <c r="A409" s="20" t="s">
        <v>1382</v>
      </c>
      <c r="B409" s="19">
        <v>36330</v>
      </c>
      <c r="C409">
        <v>16462</v>
      </c>
      <c r="D409">
        <v>3360</v>
      </c>
      <c r="E409" s="19">
        <v>16508</v>
      </c>
    </row>
    <row r="410" spans="1:5" x14ac:dyDescent="0.3">
      <c r="A410" s="20" t="s">
        <v>1623</v>
      </c>
      <c r="B410" s="19">
        <v>13576</v>
      </c>
      <c r="C410">
        <v>5899</v>
      </c>
      <c r="D410">
        <v>845</v>
      </c>
      <c r="E410" s="19">
        <v>6832</v>
      </c>
    </row>
    <row r="411" spans="1:5" x14ac:dyDescent="0.3">
      <c r="A411" s="20" t="s">
        <v>1185</v>
      </c>
      <c r="B411" s="19">
        <v>7219</v>
      </c>
      <c r="C411">
        <v>3209</v>
      </c>
      <c r="D411">
        <v>456</v>
      </c>
      <c r="E411" s="19">
        <v>3554</v>
      </c>
    </row>
    <row r="412" spans="1:5" x14ac:dyDescent="0.3">
      <c r="A412" s="20" t="s">
        <v>1278</v>
      </c>
      <c r="B412" s="19">
        <v>42070</v>
      </c>
      <c r="C412">
        <v>20612</v>
      </c>
      <c r="D412">
        <v>3012</v>
      </c>
      <c r="E412" s="19">
        <v>18446</v>
      </c>
    </row>
    <row r="413" spans="1:5" x14ac:dyDescent="0.3">
      <c r="A413" s="20" t="s">
        <v>1272</v>
      </c>
      <c r="B413" s="19">
        <v>127268</v>
      </c>
      <c r="C413">
        <v>62628</v>
      </c>
      <c r="D413">
        <v>11224</v>
      </c>
      <c r="E413" s="19">
        <v>53416</v>
      </c>
    </row>
    <row r="414" spans="1:5" x14ac:dyDescent="0.3">
      <c r="A414" s="20" t="s">
        <v>1099</v>
      </c>
      <c r="B414" s="19">
        <v>2591</v>
      </c>
      <c r="C414">
        <v>1304</v>
      </c>
      <c r="D414">
        <v>128</v>
      </c>
      <c r="E414" s="19">
        <v>1159</v>
      </c>
    </row>
    <row r="415" spans="1:5" x14ac:dyDescent="0.3">
      <c r="A415" s="20" t="s">
        <v>1624</v>
      </c>
      <c r="B415" s="19">
        <v>4378</v>
      </c>
      <c r="C415">
        <v>2216</v>
      </c>
      <c r="D415">
        <v>181</v>
      </c>
      <c r="E415" s="19">
        <v>1981</v>
      </c>
    </row>
    <row r="416" spans="1:5" x14ac:dyDescent="0.3">
      <c r="A416" s="20" t="s">
        <v>1625</v>
      </c>
      <c r="B416" s="19">
        <v>9200</v>
      </c>
      <c r="C416">
        <v>4928</v>
      </c>
      <c r="D416">
        <v>663</v>
      </c>
      <c r="E416" s="19">
        <v>3609</v>
      </c>
    </row>
    <row r="417" spans="1:5" x14ac:dyDescent="0.3">
      <c r="A417" s="20" t="s">
        <v>1378</v>
      </c>
      <c r="B417" s="19">
        <v>36231</v>
      </c>
      <c r="C417">
        <v>19777</v>
      </c>
      <c r="D417">
        <v>1968</v>
      </c>
      <c r="E417" s="19">
        <v>14486</v>
      </c>
    </row>
    <row r="418" spans="1:5" x14ac:dyDescent="0.3">
      <c r="A418" s="20" t="s">
        <v>1626</v>
      </c>
      <c r="B418" s="19">
        <v>4554</v>
      </c>
      <c r="C418">
        <v>2514</v>
      </c>
      <c r="D418">
        <v>138</v>
      </c>
      <c r="E418" s="19">
        <v>1902</v>
      </c>
    </row>
    <row r="419" spans="1:5" x14ac:dyDescent="0.3">
      <c r="A419" s="20" t="s">
        <v>1205</v>
      </c>
      <c r="B419" s="19">
        <v>6635</v>
      </c>
      <c r="C419">
        <v>3713</v>
      </c>
      <c r="D419">
        <v>311</v>
      </c>
      <c r="E419" s="19">
        <v>2611</v>
      </c>
    </row>
    <row r="420" spans="1:5" x14ac:dyDescent="0.3">
      <c r="A420" s="20" t="s">
        <v>1985</v>
      </c>
      <c r="B420" s="19">
        <v>4254</v>
      </c>
      <c r="C420">
        <v>2263</v>
      </c>
      <c r="D420">
        <v>105</v>
      </c>
      <c r="E420" s="19">
        <v>1886</v>
      </c>
    </row>
    <row r="421" spans="1:5" x14ac:dyDescent="0.3">
      <c r="A421" s="20" t="s">
        <v>1238</v>
      </c>
      <c r="B421" s="19">
        <v>6481</v>
      </c>
      <c r="C421">
        <v>3267</v>
      </c>
      <c r="D421">
        <v>298</v>
      </c>
      <c r="E421" s="19">
        <v>2916</v>
      </c>
    </row>
    <row r="422" spans="1:5" x14ac:dyDescent="0.3">
      <c r="A422" s="20" t="s">
        <v>1230</v>
      </c>
      <c r="B422" s="19">
        <v>31979</v>
      </c>
      <c r="C422">
        <v>15573</v>
      </c>
      <c r="D422">
        <v>2593</v>
      </c>
      <c r="E422" s="19">
        <v>13813</v>
      </c>
    </row>
    <row r="423" spans="1:5" x14ac:dyDescent="0.3">
      <c r="A423" s="20" t="s">
        <v>1166</v>
      </c>
      <c r="B423" s="19">
        <v>13065</v>
      </c>
      <c r="C423">
        <v>5100</v>
      </c>
      <c r="D423">
        <v>1046</v>
      </c>
      <c r="E423" s="19">
        <v>6919</v>
      </c>
    </row>
    <row r="424" spans="1:5" x14ac:dyDescent="0.3">
      <c r="A424" s="20" t="s">
        <v>1141</v>
      </c>
      <c r="B424" s="19">
        <v>27202</v>
      </c>
      <c r="C424">
        <v>11331</v>
      </c>
      <c r="D424">
        <v>3193</v>
      </c>
      <c r="E424" s="19">
        <v>12678</v>
      </c>
    </row>
    <row r="425" spans="1:5" x14ac:dyDescent="0.3">
      <c r="A425" s="20" t="s">
        <v>1986</v>
      </c>
      <c r="B425" s="19">
        <v>4077</v>
      </c>
      <c r="C425">
        <v>1483</v>
      </c>
      <c r="D425">
        <v>616</v>
      </c>
      <c r="E425" s="19">
        <v>1978</v>
      </c>
    </row>
    <row r="426" spans="1:5" x14ac:dyDescent="0.3">
      <c r="A426" s="20" t="s">
        <v>1029</v>
      </c>
      <c r="B426" s="19">
        <v>5682</v>
      </c>
      <c r="C426">
        <v>2097</v>
      </c>
      <c r="D426">
        <v>714</v>
      </c>
      <c r="E426" s="19">
        <v>2871</v>
      </c>
    </row>
    <row r="427" spans="1:5" x14ac:dyDescent="0.3">
      <c r="A427" s="20" t="s">
        <v>1308</v>
      </c>
      <c r="B427" s="19">
        <v>64768</v>
      </c>
      <c r="C427">
        <v>37023</v>
      </c>
      <c r="D427">
        <v>3371</v>
      </c>
      <c r="E427" s="19">
        <v>24374</v>
      </c>
    </row>
    <row r="428" spans="1:5" x14ac:dyDescent="0.3">
      <c r="A428" s="20" t="s">
        <v>1143</v>
      </c>
      <c r="B428" s="19">
        <v>12298</v>
      </c>
      <c r="C428">
        <v>4906</v>
      </c>
      <c r="D428">
        <v>1333</v>
      </c>
      <c r="E428" s="19">
        <v>6059</v>
      </c>
    </row>
    <row r="429" spans="1:5" x14ac:dyDescent="0.3">
      <c r="A429" s="20" t="s">
        <v>1226</v>
      </c>
      <c r="B429" s="19">
        <v>32316</v>
      </c>
      <c r="C429">
        <v>12370</v>
      </c>
      <c r="D429">
        <v>3810</v>
      </c>
      <c r="E429" s="19">
        <v>16136</v>
      </c>
    </row>
    <row r="430" spans="1:5" x14ac:dyDescent="0.3">
      <c r="A430" s="20" t="s">
        <v>1170</v>
      </c>
      <c r="B430" s="19">
        <v>21928</v>
      </c>
      <c r="C430">
        <v>8953</v>
      </c>
      <c r="D430">
        <v>1965</v>
      </c>
      <c r="E430" s="19">
        <v>11010</v>
      </c>
    </row>
    <row r="431" spans="1:5" x14ac:dyDescent="0.3">
      <c r="A431" s="20" t="s">
        <v>1175</v>
      </c>
      <c r="B431" s="19">
        <v>7836</v>
      </c>
      <c r="C431">
        <v>3255</v>
      </c>
      <c r="D431">
        <v>688</v>
      </c>
      <c r="E431" s="19">
        <v>3893</v>
      </c>
    </row>
    <row r="432" spans="1:5" x14ac:dyDescent="0.3">
      <c r="A432" s="20" t="s">
        <v>1627</v>
      </c>
      <c r="B432" s="19">
        <v>5323</v>
      </c>
      <c r="C432">
        <v>2337</v>
      </c>
      <c r="D432">
        <v>454</v>
      </c>
      <c r="E432" s="19">
        <v>2532</v>
      </c>
    </row>
    <row r="433" spans="1:5" x14ac:dyDescent="0.3">
      <c r="A433" s="20" t="s">
        <v>1030</v>
      </c>
      <c r="B433" s="19">
        <v>9331</v>
      </c>
      <c r="C433">
        <v>3535</v>
      </c>
      <c r="D433">
        <v>722</v>
      </c>
      <c r="E433" s="19">
        <v>5074</v>
      </c>
    </row>
    <row r="434" spans="1:5" x14ac:dyDescent="0.3">
      <c r="A434" s="20" t="s">
        <v>1390</v>
      </c>
      <c r="B434" s="19">
        <v>24055</v>
      </c>
      <c r="C434">
        <v>10734</v>
      </c>
      <c r="D434">
        <v>2126</v>
      </c>
      <c r="E434" s="19">
        <v>11195</v>
      </c>
    </row>
    <row r="435" spans="1:5" x14ac:dyDescent="0.3">
      <c r="A435" s="20" t="s">
        <v>1628</v>
      </c>
      <c r="B435" s="19">
        <v>6098</v>
      </c>
      <c r="C435">
        <v>2965</v>
      </c>
      <c r="D435">
        <v>296</v>
      </c>
      <c r="E435" s="19">
        <v>2837</v>
      </c>
    </row>
    <row r="436" spans="1:5" x14ac:dyDescent="0.3">
      <c r="A436" s="20" t="s">
        <v>1987</v>
      </c>
      <c r="B436" s="19">
        <v>9546</v>
      </c>
      <c r="C436">
        <v>4644</v>
      </c>
      <c r="D436">
        <v>461</v>
      </c>
      <c r="E436" s="19">
        <v>4441</v>
      </c>
    </row>
    <row r="437" spans="1:5" x14ac:dyDescent="0.3">
      <c r="A437" s="20" t="s">
        <v>1132</v>
      </c>
      <c r="B437" s="19">
        <v>12868</v>
      </c>
      <c r="C437">
        <v>6193</v>
      </c>
      <c r="D437">
        <v>1001</v>
      </c>
      <c r="E437" s="19">
        <v>5674</v>
      </c>
    </row>
    <row r="438" spans="1:5" x14ac:dyDescent="0.3">
      <c r="A438" s="20" t="s">
        <v>1309</v>
      </c>
      <c r="B438" s="19">
        <v>41115</v>
      </c>
      <c r="C438">
        <v>19865</v>
      </c>
      <c r="D438">
        <v>3842</v>
      </c>
      <c r="E438" s="19">
        <v>17408</v>
      </c>
    </row>
    <row r="439" spans="1:5" x14ac:dyDescent="0.3">
      <c r="A439" s="20" t="s">
        <v>1629</v>
      </c>
      <c r="B439" s="19">
        <v>11975</v>
      </c>
      <c r="C439">
        <v>5985</v>
      </c>
      <c r="D439">
        <v>1015</v>
      </c>
      <c r="E439" s="19">
        <v>4975</v>
      </c>
    </row>
    <row r="440" spans="1:5" x14ac:dyDescent="0.3">
      <c r="A440" s="20" t="s">
        <v>1630</v>
      </c>
      <c r="B440" s="19">
        <v>9211</v>
      </c>
      <c r="C440">
        <v>5061</v>
      </c>
      <c r="D440">
        <v>410</v>
      </c>
      <c r="E440" s="19">
        <v>3740</v>
      </c>
    </row>
    <row r="441" spans="1:5" x14ac:dyDescent="0.3">
      <c r="A441" s="20" t="s">
        <v>1631</v>
      </c>
      <c r="B441" s="19">
        <v>10003</v>
      </c>
      <c r="C441">
        <v>5042</v>
      </c>
      <c r="D441">
        <v>597</v>
      </c>
      <c r="E441" s="19">
        <v>4364</v>
      </c>
    </row>
    <row r="442" spans="1:5" x14ac:dyDescent="0.3">
      <c r="A442" s="20" t="s">
        <v>1125</v>
      </c>
      <c r="B442" s="19">
        <v>15979</v>
      </c>
      <c r="C442">
        <v>6129</v>
      </c>
      <c r="D442">
        <v>1643</v>
      </c>
      <c r="E442" s="19">
        <v>8207</v>
      </c>
    </row>
    <row r="443" spans="1:5" x14ac:dyDescent="0.3">
      <c r="A443" s="20" t="s">
        <v>1414</v>
      </c>
      <c r="B443" s="19">
        <v>17087</v>
      </c>
      <c r="C443">
        <v>7633</v>
      </c>
      <c r="D443">
        <v>1928</v>
      </c>
      <c r="E443" s="19">
        <v>7526</v>
      </c>
    </row>
    <row r="444" spans="1:5" x14ac:dyDescent="0.3">
      <c r="A444" s="20" t="s">
        <v>1632</v>
      </c>
      <c r="B444" s="19">
        <v>8662</v>
      </c>
      <c r="C444">
        <v>4438</v>
      </c>
      <c r="D444">
        <v>817</v>
      </c>
      <c r="E444" s="19">
        <v>3407</v>
      </c>
    </row>
    <row r="445" spans="1:5" x14ac:dyDescent="0.3">
      <c r="A445" s="20" t="s">
        <v>1339</v>
      </c>
      <c r="B445" s="19">
        <v>9968</v>
      </c>
      <c r="C445">
        <v>4105</v>
      </c>
      <c r="D445">
        <v>815</v>
      </c>
      <c r="E445" s="19">
        <v>5048</v>
      </c>
    </row>
    <row r="446" spans="1:5" x14ac:dyDescent="0.3">
      <c r="A446" s="20" t="s">
        <v>1352</v>
      </c>
      <c r="B446" s="19">
        <v>131276</v>
      </c>
      <c r="C446">
        <v>75271</v>
      </c>
      <c r="D446">
        <v>9456</v>
      </c>
      <c r="E446" s="19">
        <v>46549</v>
      </c>
    </row>
    <row r="447" spans="1:5" x14ac:dyDescent="0.3">
      <c r="A447" s="20" t="s">
        <v>1107</v>
      </c>
      <c r="B447" s="19">
        <v>4688</v>
      </c>
      <c r="C447">
        <v>2385</v>
      </c>
      <c r="D447">
        <v>645</v>
      </c>
      <c r="E447" s="19">
        <v>1658</v>
      </c>
    </row>
    <row r="448" spans="1:5" x14ac:dyDescent="0.3">
      <c r="A448" s="20" t="s">
        <v>1633</v>
      </c>
      <c r="B448" s="19">
        <v>2801</v>
      </c>
      <c r="C448">
        <v>1095</v>
      </c>
      <c r="D448">
        <v>198</v>
      </c>
      <c r="E448" s="19">
        <v>1508</v>
      </c>
    </row>
    <row r="449" spans="1:5" x14ac:dyDescent="0.3">
      <c r="A449" s="20" t="s">
        <v>1634</v>
      </c>
      <c r="B449" s="19">
        <v>2408</v>
      </c>
      <c r="C449">
        <v>923</v>
      </c>
      <c r="D449">
        <v>413</v>
      </c>
      <c r="E449" s="19">
        <v>1072</v>
      </c>
    </row>
    <row r="450" spans="1:5" x14ac:dyDescent="0.3">
      <c r="A450" s="20" t="s">
        <v>1312</v>
      </c>
      <c r="B450" s="19">
        <v>6681</v>
      </c>
      <c r="C450">
        <v>2790</v>
      </c>
      <c r="D450">
        <v>745</v>
      </c>
      <c r="E450" s="19">
        <v>3146</v>
      </c>
    </row>
    <row r="451" spans="1:5" x14ac:dyDescent="0.3">
      <c r="A451" s="20" t="s">
        <v>1635</v>
      </c>
      <c r="B451" s="19">
        <v>2660</v>
      </c>
      <c r="C451">
        <v>1291</v>
      </c>
      <c r="D451">
        <v>141</v>
      </c>
      <c r="E451" s="19">
        <v>1228</v>
      </c>
    </row>
    <row r="452" spans="1:5" x14ac:dyDescent="0.3">
      <c r="A452" s="20" t="s">
        <v>1124</v>
      </c>
      <c r="B452" s="19">
        <v>1801</v>
      </c>
      <c r="C452">
        <v>953</v>
      </c>
      <c r="D452">
        <v>304</v>
      </c>
      <c r="E452" s="19">
        <v>544</v>
      </c>
    </row>
    <row r="453" spans="1:5" x14ac:dyDescent="0.3">
      <c r="A453" s="20" t="s">
        <v>1086</v>
      </c>
      <c r="B453" s="19">
        <v>16556</v>
      </c>
      <c r="C453">
        <v>9136</v>
      </c>
      <c r="D453">
        <v>1270</v>
      </c>
      <c r="E453" s="19">
        <v>6150</v>
      </c>
    </row>
    <row r="454" spans="1:5" x14ac:dyDescent="0.3">
      <c r="A454" s="20" t="s">
        <v>1108</v>
      </c>
      <c r="B454" s="19">
        <v>21808</v>
      </c>
      <c r="C454">
        <v>12460</v>
      </c>
      <c r="D454">
        <v>1304</v>
      </c>
      <c r="E454" s="19">
        <v>8044</v>
      </c>
    </row>
    <row r="455" spans="1:5" x14ac:dyDescent="0.3">
      <c r="A455" s="20" t="s">
        <v>1047</v>
      </c>
      <c r="B455" s="19">
        <v>1231</v>
      </c>
      <c r="C455">
        <v>783</v>
      </c>
      <c r="D455">
        <v>77</v>
      </c>
      <c r="E455" s="19">
        <v>371</v>
      </c>
    </row>
    <row r="456" spans="1:5" x14ac:dyDescent="0.3">
      <c r="A456" s="20" t="s">
        <v>1151</v>
      </c>
      <c r="B456" s="19">
        <v>6124</v>
      </c>
      <c r="C456">
        <v>3434</v>
      </c>
      <c r="D456">
        <v>351</v>
      </c>
      <c r="E456" s="19">
        <v>2339</v>
      </c>
    </row>
    <row r="457" spans="1:5" x14ac:dyDescent="0.3">
      <c r="A457" s="20" t="s">
        <v>1031</v>
      </c>
      <c r="B457" s="19">
        <v>2997</v>
      </c>
      <c r="C457">
        <v>1570</v>
      </c>
      <c r="D457">
        <v>201</v>
      </c>
      <c r="E457" s="19">
        <v>1226</v>
      </c>
    </row>
    <row r="458" spans="1:5" x14ac:dyDescent="0.3">
      <c r="A458" s="20" t="s">
        <v>1199</v>
      </c>
      <c r="B458" s="19">
        <v>8996</v>
      </c>
      <c r="C458">
        <v>4647</v>
      </c>
      <c r="D458">
        <v>866</v>
      </c>
      <c r="E458" s="19">
        <v>3483</v>
      </c>
    </row>
    <row r="459" spans="1:5" x14ac:dyDescent="0.3">
      <c r="A459" s="20" t="s">
        <v>1171</v>
      </c>
      <c r="B459" s="19">
        <v>15964</v>
      </c>
      <c r="C459">
        <v>8133</v>
      </c>
      <c r="D459">
        <v>1086</v>
      </c>
      <c r="E459" s="19">
        <v>6745</v>
      </c>
    </row>
    <row r="460" spans="1:5" x14ac:dyDescent="0.3">
      <c r="A460" s="20" t="s">
        <v>1636</v>
      </c>
      <c r="B460" s="19">
        <v>1461</v>
      </c>
      <c r="C460">
        <v>667</v>
      </c>
      <c r="D460">
        <v>104</v>
      </c>
      <c r="E460" s="19">
        <v>690</v>
      </c>
    </row>
    <row r="461" spans="1:5" x14ac:dyDescent="0.3">
      <c r="A461" s="20" t="s">
        <v>1420</v>
      </c>
      <c r="B461" s="19">
        <v>8141</v>
      </c>
      <c r="C461">
        <v>3948</v>
      </c>
      <c r="D461">
        <v>823</v>
      </c>
      <c r="E461" s="19">
        <v>3370</v>
      </c>
    </row>
    <row r="462" spans="1:5" x14ac:dyDescent="0.3">
      <c r="A462" s="20" t="s">
        <v>1392</v>
      </c>
      <c r="B462" s="19">
        <v>4027</v>
      </c>
      <c r="C462">
        <v>1540</v>
      </c>
      <c r="D462">
        <v>631</v>
      </c>
      <c r="E462" s="19">
        <v>1856</v>
      </c>
    </row>
    <row r="463" spans="1:5" x14ac:dyDescent="0.3">
      <c r="A463" s="20" t="s">
        <v>1637</v>
      </c>
      <c r="B463" s="19">
        <v>1383</v>
      </c>
      <c r="C463">
        <v>676</v>
      </c>
      <c r="D463">
        <v>53</v>
      </c>
      <c r="E463" s="19">
        <v>654</v>
      </c>
    </row>
    <row r="464" spans="1:5" x14ac:dyDescent="0.3">
      <c r="A464" s="20" t="s">
        <v>1638</v>
      </c>
      <c r="B464" s="19">
        <v>262</v>
      </c>
      <c r="C464">
        <v>121</v>
      </c>
      <c r="D464">
        <v>16</v>
      </c>
      <c r="E464" s="19">
        <v>125</v>
      </c>
    </row>
    <row r="465" spans="1:5" x14ac:dyDescent="0.3">
      <c r="A465" s="20" t="s">
        <v>1093</v>
      </c>
      <c r="B465" s="19">
        <v>6182</v>
      </c>
      <c r="C465">
        <v>3155</v>
      </c>
      <c r="D465">
        <v>269</v>
      </c>
      <c r="E465" s="19">
        <v>2758</v>
      </c>
    </row>
    <row r="466" spans="1:5" x14ac:dyDescent="0.3">
      <c r="A466" s="20" t="s">
        <v>1639</v>
      </c>
      <c r="B466" s="19">
        <v>1246</v>
      </c>
      <c r="C466">
        <v>591</v>
      </c>
      <c r="D466">
        <v>62</v>
      </c>
      <c r="E466" s="19">
        <v>593</v>
      </c>
    </row>
    <row r="467" spans="1:5" x14ac:dyDescent="0.3">
      <c r="A467" s="20" t="s">
        <v>1988</v>
      </c>
      <c r="B467" s="19">
        <v>466</v>
      </c>
      <c r="C467">
        <v>243</v>
      </c>
      <c r="D467">
        <v>17</v>
      </c>
      <c r="E467" s="19">
        <v>206</v>
      </c>
    </row>
    <row r="468" spans="1:5" x14ac:dyDescent="0.3">
      <c r="A468" s="20" t="s">
        <v>1258</v>
      </c>
      <c r="B468" s="19">
        <v>42144</v>
      </c>
      <c r="C468">
        <v>22844</v>
      </c>
      <c r="D468">
        <v>2941</v>
      </c>
      <c r="E468" s="19">
        <v>16359</v>
      </c>
    </row>
    <row r="469" spans="1:5" x14ac:dyDescent="0.3">
      <c r="A469" s="20" t="s">
        <v>1113</v>
      </c>
      <c r="B469" s="19">
        <v>5126</v>
      </c>
      <c r="C469">
        <v>2614</v>
      </c>
      <c r="D469">
        <v>477</v>
      </c>
      <c r="E469" s="19">
        <v>2035</v>
      </c>
    </row>
    <row r="470" spans="1:5" x14ac:dyDescent="0.3">
      <c r="A470" s="20" t="s">
        <v>1192</v>
      </c>
      <c r="B470" s="19">
        <v>6435</v>
      </c>
      <c r="C470">
        <v>3228</v>
      </c>
      <c r="D470">
        <v>408</v>
      </c>
      <c r="E470" s="19">
        <v>2799</v>
      </c>
    </row>
    <row r="471" spans="1:5" x14ac:dyDescent="0.3">
      <c r="A471" s="20" t="s">
        <v>1640</v>
      </c>
      <c r="B471" s="19">
        <v>5675</v>
      </c>
      <c r="C471">
        <v>3151</v>
      </c>
      <c r="D471">
        <v>376</v>
      </c>
      <c r="E471" s="19">
        <v>2148</v>
      </c>
    </row>
    <row r="472" spans="1:5" x14ac:dyDescent="0.3">
      <c r="A472" s="20" t="s">
        <v>1989</v>
      </c>
      <c r="B472" s="19">
        <v>184</v>
      </c>
      <c r="C472">
        <v>80</v>
      </c>
      <c r="D472">
        <v>7</v>
      </c>
      <c r="E472" s="19">
        <v>97</v>
      </c>
    </row>
    <row r="473" spans="1:5" x14ac:dyDescent="0.3">
      <c r="A473" s="20" t="s">
        <v>1142</v>
      </c>
      <c r="B473" s="19">
        <v>6193</v>
      </c>
      <c r="C473">
        <v>2560</v>
      </c>
      <c r="D473">
        <v>433</v>
      </c>
      <c r="E473" s="19">
        <v>3200</v>
      </c>
    </row>
    <row r="474" spans="1:5" x14ac:dyDescent="0.3">
      <c r="A474" s="20" t="s">
        <v>1641</v>
      </c>
      <c r="B474" s="19">
        <v>6803</v>
      </c>
      <c r="C474">
        <v>2891</v>
      </c>
      <c r="D474">
        <v>740</v>
      </c>
      <c r="E474" s="19">
        <v>3172</v>
      </c>
    </row>
    <row r="475" spans="1:5" x14ac:dyDescent="0.3">
      <c r="A475" s="20" t="s">
        <v>1642</v>
      </c>
      <c r="B475" s="19">
        <v>8404</v>
      </c>
      <c r="C475">
        <v>4555</v>
      </c>
      <c r="D475">
        <v>474</v>
      </c>
      <c r="E475" s="19">
        <v>3375</v>
      </c>
    </row>
    <row r="476" spans="1:5" x14ac:dyDescent="0.3">
      <c r="A476" s="20" t="s">
        <v>1643</v>
      </c>
      <c r="B476" s="19">
        <v>3852</v>
      </c>
      <c r="C476">
        <v>2015</v>
      </c>
      <c r="D476">
        <v>369</v>
      </c>
      <c r="E476" s="19">
        <v>1468</v>
      </c>
    </row>
    <row r="477" spans="1:5" x14ac:dyDescent="0.3">
      <c r="A477" s="20" t="s">
        <v>1644</v>
      </c>
      <c r="B477" s="19">
        <v>977</v>
      </c>
      <c r="C477">
        <v>360</v>
      </c>
      <c r="D477">
        <v>97</v>
      </c>
      <c r="E477" s="19">
        <v>520</v>
      </c>
    </row>
    <row r="478" spans="1:5" x14ac:dyDescent="0.3">
      <c r="A478" s="20" t="s">
        <v>1326</v>
      </c>
      <c r="B478" s="19">
        <v>7722</v>
      </c>
      <c r="C478">
        <v>4338</v>
      </c>
      <c r="D478">
        <v>628</v>
      </c>
      <c r="E478" s="19">
        <v>2756</v>
      </c>
    </row>
    <row r="479" spans="1:5" x14ac:dyDescent="0.3">
      <c r="A479" s="20" t="s">
        <v>1990</v>
      </c>
      <c r="B479" s="19">
        <v>802</v>
      </c>
      <c r="C479">
        <v>443</v>
      </c>
      <c r="D479">
        <v>7</v>
      </c>
      <c r="E479" s="19">
        <v>352</v>
      </c>
    </row>
    <row r="480" spans="1:5" x14ac:dyDescent="0.3">
      <c r="A480" s="20" t="s">
        <v>1645</v>
      </c>
      <c r="B480" s="19">
        <v>1031</v>
      </c>
      <c r="C480">
        <v>591</v>
      </c>
      <c r="D480">
        <v>9</v>
      </c>
      <c r="E480" s="19">
        <v>431</v>
      </c>
    </row>
    <row r="481" spans="1:5" x14ac:dyDescent="0.3">
      <c r="A481" s="20" t="s">
        <v>1646</v>
      </c>
      <c r="B481" s="19">
        <v>776</v>
      </c>
      <c r="C481">
        <v>370</v>
      </c>
      <c r="D481">
        <v>28</v>
      </c>
      <c r="E481" s="19">
        <v>378</v>
      </c>
    </row>
    <row r="482" spans="1:5" x14ac:dyDescent="0.3">
      <c r="A482" s="20" t="s">
        <v>1335</v>
      </c>
      <c r="B482" s="19">
        <v>5006</v>
      </c>
      <c r="C482">
        <v>2726</v>
      </c>
      <c r="D482">
        <v>360</v>
      </c>
      <c r="E482" s="19">
        <v>1920</v>
      </c>
    </row>
    <row r="483" spans="1:5" x14ac:dyDescent="0.3">
      <c r="A483" s="20" t="s">
        <v>1647</v>
      </c>
      <c r="B483" s="19">
        <v>1444</v>
      </c>
      <c r="C483">
        <v>818</v>
      </c>
      <c r="D483">
        <v>68</v>
      </c>
      <c r="E483" s="19">
        <v>558</v>
      </c>
    </row>
    <row r="484" spans="1:5" x14ac:dyDescent="0.3">
      <c r="A484" s="20" t="s">
        <v>1648</v>
      </c>
      <c r="B484" s="19">
        <v>1358</v>
      </c>
      <c r="C484">
        <v>688</v>
      </c>
      <c r="D484">
        <v>79</v>
      </c>
      <c r="E484" s="19">
        <v>591</v>
      </c>
    </row>
    <row r="485" spans="1:5" x14ac:dyDescent="0.3">
      <c r="A485" s="20" t="s">
        <v>1649</v>
      </c>
      <c r="B485" s="19">
        <v>1788</v>
      </c>
      <c r="C485">
        <v>1023</v>
      </c>
      <c r="D485">
        <v>68</v>
      </c>
      <c r="E485" s="19">
        <v>697</v>
      </c>
    </row>
    <row r="486" spans="1:5" x14ac:dyDescent="0.3">
      <c r="A486" s="20" t="s">
        <v>1650</v>
      </c>
      <c r="B486" s="19">
        <v>2665</v>
      </c>
      <c r="C486">
        <v>1459</v>
      </c>
      <c r="D486">
        <v>103</v>
      </c>
      <c r="E486" s="19">
        <v>1103</v>
      </c>
    </row>
    <row r="487" spans="1:5" x14ac:dyDescent="0.3">
      <c r="A487" s="20" t="s">
        <v>1651</v>
      </c>
      <c r="B487" s="19">
        <v>1296</v>
      </c>
      <c r="C487">
        <v>762</v>
      </c>
      <c r="D487">
        <v>44</v>
      </c>
      <c r="E487" s="19">
        <v>490</v>
      </c>
    </row>
    <row r="488" spans="1:5" x14ac:dyDescent="0.3">
      <c r="A488" s="20" t="s">
        <v>1360</v>
      </c>
      <c r="B488" s="19">
        <v>163073</v>
      </c>
      <c r="C488">
        <v>90734</v>
      </c>
      <c r="D488">
        <v>12702</v>
      </c>
      <c r="E488" s="19">
        <v>59637</v>
      </c>
    </row>
    <row r="489" spans="1:5" x14ac:dyDescent="0.3">
      <c r="A489" s="20" t="s">
        <v>1652</v>
      </c>
      <c r="B489" s="19">
        <v>807</v>
      </c>
      <c r="C489">
        <v>309</v>
      </c>
      <c r="D489">
        <v>39</v>
      </c>
      <c r="E489" s="19">
        <v>459</v>
      </c>
    </row>
    <row r="490" spans="1:5" x14ac:dyDescent="0.3">
      <c r="A490" s="20" t="s">
        <v>1653</v>
      </c>
      <c r="B490" s="19">
        <v>1615</v>
      </c>
      <c r="C490">
        <v>761</v>
      </c>
      <c r="D490">
        <v>115</v>
      </c>
      <c r="E490" s="19">
        <v>739</v>
      </c>
    </row>
    <row r="491" spans="1:5" x14ac:dyDescent="0.3">
      <c r="A491" s="20" t="s">
        <v>1118</v>
      </c>
      <c r="B491" s="19">
        <v>1225</v>
      </c>
      <c r="C491">
        <v>464</v>
      </c>
      <c r="D491">
        <v>40</v>
      </c>
      <c r="E491" s="19">
        <v>721</v>
      </c>
    </row>
    <row r="492" spans="1:5" x14ac:dyDescent="0.3">
      <c r="A492" s="20" t="s">
        <v>1991</v>
      </c>
      <c r="B492" s="19">
        <v>1508</v>
      </c>
      <c r="C492">
        <v>638</v>
      </c>
      <c r="D492">
        <v>39</v>
      </c>
      <c r="E492" s="19">
        <v>831</v>
      </c>
    </row>
    <row r="493" spans="1:5" x14ac:dyDescent="0.3">
      <c r="A493" s="20" t="s">
        <v>1992</v>
      </c>
      <c r="B493" s="19">
        <v>738</v>
      </c>
      <c r="C493">
        <v>280</v>
      </c>
      <c r="D493">
        <v>78</v>
      </c>
      <c r="E493" s="19">
        <v>380</v>
      </c>
    </row>
    <row r="494" spans="1:5" x14ac:dyDescent="0.3">
      <c r="A494" s="20" t="s">
        <v>1244</v>
      </c>
      <c r="B494" s="19">
        <v>6755</v>
      </c>
      <c r="C494">
        <v>3374</v>
      </c>
      <c r="D494">
        <v>470</v>
      </c>
      <c r="E494" s="19">
        <v>2911</v>
      </c>
    </row>
    <row r="495" spans="1:5" x14ac:dyDescent="0.3">
      <c r="A495" s="20" t="s">
        <v>1203</v>
      </c>
      <c r="B495" s="19">
        <v>3159</v>
      </c>
      <c r="C495">
        <v>1287</v>
      </c>
      <c r="D495">
        <v>393</v>
      </c>
      <c r="E495" s="19">
        <v>1479</v>
      </c>
    </row>
    <row r="496" spans="1:5" x14ac:dyDescent="0.3">
      <c r="A496" s="20" t="s">
        <v>1654</v>
      </c>
      <c r="B496" s="19">
        <v>1078</v>
      </c>
      <c r="C496">
        <v>515</v>
      </c>
      <c r="D496">
        <v>71</v>
      </c>
      <c r="E496" s="19">
        <v>492</v>
      </c>
    </row>
    <row r="497" spans="1:5" x14ac:dyDescent="0.3">
      <c r="A497" s="20" t="s">
        <v>1655</v>
      </c>
      <c r="B497" s="19">
        <v>852</v>
      </c>
      <c r="C497">
        <v>254</v>
      </c>
      <c r="D497">
        <v>115</v>
      </c>
      <c r="E497" s="19">
        <v>483</v>
      </c>
    </row>
    <row r="498" spans="1:5" x14ac:dyDescent="0.3">
      <c r="A498" s="20" t="s">
        <v>1656</v>
      </c>
      <c r="B498" s="19">
        <v>2699</v>
      </c>
      <c r="C498">
        <v>1223</v>
      </c>
      <c r="D498">
        <v>188</v>
      </c>
      <c r="E498" s="19">
        <v>1288</v>
      </c>
    </row>
    <row r="499" spans="1:5" x14ac:dyDescent="0.3">
      <c r="A499" s="20" t="s">
        <v>1436</v>
      </c>
      <c r="B499" s="19">
        <v>4397</v>
      </c>
      <c r="C499">
        <v>2235</v>
      </c>
      <c r="D499">
        <v>360</v>
      </c>
      <c r="E499" s="19">
        <v>1802</v>
      </c>
    </row>
    <row r="500" spans="1:5" x14ac:dyDescent="0.3">
      <c r="A500" s="20" t="s">
        <v>1657</v>
      </c>
      <c r="B500" s="19">
        <v>1127</v>
      </c>
      <c r="C500">
        <v>500</v>
      </c>
      <c r="D500">
        <v>87</v>
      </c>
      <c r="E500" s="19">
        <v>540</v>
      </c>
    </row>
    <row r="501" spans="1:5" x14ac:dyDescent="0.3">
      <c r="A501" s="20" t="s">
        <v>1658</v>
      </c>
      <c r="B501" s="19">
        <v>1202</v>
      </c>
      <c r="C501">
        <v>525</v>
      </c>
      <c r="D501">
        <v>126</v>
      </c>
      <c r="E501" s="19">
        <v>551</v>
      </c>
    </row>
    <row r="502" spans="1:5" x14ac:dyDescent="0.3">
      <c r="A502" s="20" t="s">
        <v>1441</v>
      </c>
      <c r="B502" s="19">
        <v>14931</v>
      </c>
      <c r="C502">
        <v>6744</v>
      </c>
      <c r="D502">
        <v>1071</v>
      </c>
      <c r="E502" s="19">
        <v>7116</v>
      </c>
    </row>
    <row r="503" spans="1:5" x14ac:dyDescent="0.3">
      <c r="A503" s="20" t="s">
        <v>1659</v>
      </c>
      <c r="B503" s="19">
        <v>1027</v>
      </c>
      <c r="C503">
        <v>250</v>
      </c>
      <c r="D503">
        <v>76</v>
      </c>
      <c r="E503" s="19">
        <v>701</v>
      </c>
    </row>
    <row r="504" spans="1:5" x14ac:dyDescent="0.3">
      <c r="A504" s="20" t="s">
        <v>1660</v>
      </c>
      <c r="B504" s="19">
        <v>2083</v>
      </c>
      <c r="C504">
        <v>624</v>
      </c>
      <c r="D504">
        <v>297</v>
      </c>
      <c r="E504" s="19">
        <v>1162</v>
      </c>
    </row>
    <row r="505" spans="1:5" x14ac:dyDescent="0.3">
      <c r="A505" s="20" t="s">
        <v>1993</v>
      </c>
      <c r="B505" s="19">
        <v>756</v>
      </c>
      <c r="C505">
        <v>217</v>
      </c>
      <c r="D505">
        <v>108</v>
      </c>
      <c r="E505" s="19">
        <v>431</v>
      </c>
    </row>
    <row r="506" spans="1:5" x14ac:dyDescent="0.3">
      <c r="A506" s="20" t="s">
        <v>1661</v>
      </c>
      <c r="B506" s="19">
        <v>1071</v>
      </c>
      <c r="C506">
        <v>284</v>
      </c>
      <c r="D506">
        <v>103</v>
      </c>
      <c r="E506" s="19">
        <v>684</v>
      </c>
    </row>
    <row r="507" spans="1:5" x14ac:dyDescent="0.3">
      <c r="A507" s="20" t="s">
        <v>1154</v>
      </c>
      <c r="B507" s="19">
        <v>20768</v>
      </c>
      <c r="C507">
        <v>10796</v>
      </c>
      <c r="D507">
        <v>1721</v>
      </c>
      <c r="E507" s="19">
        <v>8251</v>
      </c>
    </row>
    <row r="508" spans="1:5" x14ac:dyDescent="0.3">
      <c r="A508" s="20" t="s">
        <v>1662</v>
      </c>
      <c r="B508" s="19">
        <v>3378</v>
      </c>
      <c r="C508">
        <v>1460</v>
      </c>
      <c r="D508">
        <v>238</v>
      </c>
      <c r="E508" s="19">
        <v>1680</v>
      </c>
    </row>
    <row r="509" spans="1:5" x14ac:dyDescent="0.3">
      <c r="A509" s="20" t="s">
        <v>1994</v>
      </c>
      <c r="B509" s="19">
        <v>255</v>
      </c>
      <c r="C509">
        <v>137</v>
      </c>
      <c r="D509">
        <v>9</v>
      </c>
      <c r="E509" s="19">
        <v>109</v>
      </c>
    </row>
    <row r="510" spans="1:5" x14ac:dyDescent="0.3">
      <c r="A510" s="20" t="s">
        <v>1663</v>
      </c>
      <c r="B510" s="19">
        <v>1502</v>
      </c>
      <c r="C510">
        <v>738</v>
      </c>
      <c r="D510">
        <v>125</v>
      </c>
      <c r="E510" s="19">
        <v>639</v>
      </c>
    </row>
    <row r="511" spans="1:5" x14ac:dyDescent="0.3">
      <c r="A511" s="20" t="s">
        <v>1664</v>
      </c>
      <c r="B511" s="19">
        <v>390</v>
      </c>
      <c r="C511">
        <v>189</v>
      </c>
      <c r="D511">
        <v>19</v>
      </c>
      <c r="E511" s="19">
        <v>182</v>
      </c>
    </row>
    <row r="512" spans="1:5" x14ac:dyDescent="0.3">
      <c r="A512" s="20" t="s">
        <v>1400</v>
      </c>
      <c r="B512" s="19">
        <v>4954</v>
      </c>
      <c r="C512">
        <v>2251</v>
      </c>
      <c r="D512">
        <v>334</v>
      </c>
      <c r="E512" s="19">
        <v>2369</v>
      </c>
    </row>
    <row r="513" spans="1:5" x14ac:dyDescent="0.3">
      <c r="A513" s="20" t="s">
        <v>1665</v>
      </c>
      <c r="B513" s="19">
        <v>871</v>
      </c>
      <c r="C513">
        <v>306</v>
      </c>
      <c r="D513">
        <v>141</v>
      </c>
      <c r="E513" s="19">
        <v>424</v>
      </c>
    </row>
    <row r="514" spans="1:5" x14ac:dyDescent="0.3">
      <c r="A514" s="20" t="s">
        <v>1666</v>
      </c>
      <c r="B514" s="19">
        <v>2546</v>
      </c>
      <c r="C514">
        <v>923</v>
      </c>
      <c r="D514">
        <v>304</v>
      </c>
      <c r="E514" s="19">
        <v>1319</v>
      </c>
    </row>
    <row r="515" spans="1:5" x14ac:dyDescent="0.3">
      <c r="A515" s="20" t="s">
        <v>1667</v>
      </c>
      <c r="B515" s="19">
        <v>1867</v>
      </c>
      <c r="C515">
        <v>751</v>
      </c>
      <c r="D515">
        <v>92</v>
      </c>
      <c r="E515" s="19">
        <v>1024</v>
      </c>
    </row>
    <row r="516" spans="1:5" x14ac:dyDescent="0.3">
      <c r="A516" s="20" t="s">
        <v>1668</v>
      </c>
      <c r="B516" s="19">
        <v>490</v>
      </c>
      <c r="C516">
        <v>112</v>
      </c>
      <c r="D516">
        <v>128</v>
      </c>
      <c r="E516" s="19">
        <v>250</v>
      </c>
    </row>
    <row r="517" spans="1:5" x14ac:dyDescent="0.3">
      <c r="A517" s="20" t="s">
        <v>1669</v>
      </c>
      <c r="B517" s="19">
        <v>2739</v>
      </c>
      <c r="C517">
        <v>1188</v>
      </c>
      <c r="D517">
        <v>215</v>
      </c>
      <c r="E517" s="19">
        <v>1336</v>
      </c>
    </row>
    <row r="518" spans="1:5" x14ac:dyDescent="0.3">
      <c r="A518" s="20" t="s">
        <v>1995</v>
      </c>
      <c r="B518" s="19">
        <v>936</v>
      </c>
      <c r="C518">
        <v>405</v>
      </c>
      <c r="D518">
        <v>26</v>
      </c>
      <c r="E518" s="19">
        <v>505</v>
      </c>
    </row>
    <row r="519" spans="1:5" x14ac:dyDescent="0.3">
      <c r="A519" s="20" t="s">
        <v>1996</v>
      </c>
      <c r="B519" s="19">
        <v>333</v>
      </c>
      <c r="C519">
        <v>152</v>
      </c>
      <c r="D519">
        <v>25</v>
      </c>
      <c r="E519" s="19">
        <v>156</v>
      </c>
    </row>
    <row r="520" spans="1:5" x14ac:dyDescent="0.3">
      <c r="A520" s="20" t="s">
        <v>1997</v>
      </c>
      <c r="B520" s="19">
        <v>910</v>
      </c>
      <c r="C520">
        <v>350</v>
      </c>
      <c r="D520">
        <v>34</v>
      </c>
      <c r="E520" s="19">
        <v>526</v>
      </c>
    </row>
    <row r="521" spans="1:5" x14ac:dyDescent="0.3">
      <c r="A521" s="20" t="s">
        <v>1998</v>
      </c>
      <c r="B521" s="19">
        <v>454</v>
      </c>
      <c r="C521">
        <v>181</v>
      </c>
      <c r="D521">
        <v>16</v>
      </c>
      <c r="E521" s="19">
        <v>257</v>
      </c>
    </row>
    <row r="522" spans="1:5" x14ac:dyDescent="0.3">
      <c r="A522" s="20" t="s">
        <v>1670</v>
      </c>
      <c r="B522" s="19">
        <v>3250</v>
      </c>
      <c r="C522">
        <v>1392</v>
      </c>
      <c r="D522">
        <v>379</v>
      </c>
      <c r="E522" s="19">
        <v>1479</v>
      </c>
    </row>
    <row r="523" spans="1:5" x14ac:dyDescent="0.3">
      <c r="A523" s="20" t="s">
        <v>1671</v>
      </c>
      <c r="B523" s="19">
        <v>1638</v>
      </c>
      <c r="C523">
        <v>470</v>
      </c>
      <c r="D523">
        <v>210</v>
      </c>
      <c r="E523" s="19">
        <v>958</v>
      </c>
    </row>
    <row r="524" spans="1:5" x14ac:dyDescent="0.3">
      <c r="A524" s="20" t="s">
        <v>1672</v>
      </c>
      <c r="B524" s="19">
        <v>1509</v>
      </c>
      <c r="C524">
        <v>417</v>
      </c>
      <c r="D524">
        <v>247</v>
      </c>
      <c r="E524" s="19">
        <v>845</v>
      </c>
    </row>
    <row r="525" spans="1:5" x14ac:dyDescent="0.3">
      <c r="A525" s="20" t="s">
        <v>1673</v>
      </c>
      <c r="B525" s="19">
        <v>1128</v>
      </c>
      <c r="C525">
        <v>323</v>
      </c>
      <c r="D525">
        <v>115</v>
      </c>
      <c r="E525" s="19">
        <v>690</v>
      </c>
    </row>
    <row r="526" spans="1:5" x14ac:dyDescent="0.3">
      <c r="A526" s="20" t="s">
        <v>1674</v>
      </c>
      <c r="B526" s="19">
        <v>1472</v>
      </c>
      <c r="C526">
        <v>492</v>
      </c>
      <c r="D526">
        <v>203</v>
      </c>
      <c r="E526" s="19">
        <v>777</v>
      </c>
    </row>
    <row r="527" spans="1:5" x14ac:dyDescent="0.3">
      <c r="A527" s="20" t="s">
        <v>1675</v>
      </c>
      <c r="B527" s="19">
        <v>1224</v>
      </c>
      <c r="C527">
        <v>428</v>
      </c>
      <c r="D527">
        <v>151</v>
      </c>
      <c r="E527" s="19">
        <v>645</v>
      </c>
    </row>
    <row r="528" spans="1:5" x14ac:dyDescent="0.3">
      <c r="A528" s="20" t="s">
        <v>1999</v>
      </c>
      <c r="B528" s="19">
        <v>620</v>
      </c>
      <c r="C528">
        <v>198</v>
      </c>
      <c r="D528">
        <v>36</v>
      </c>
      <c r="E528" s="19">
        <v>386</v>
      </c>
    </row>
    <row r="529" spans="1:5" x14ac:dyDescent="0.3">
      <c r="A529" s="20" t="s">
        <v>1266</v>
      </c>
      <c r="B529" s="19">
        <v>2279</v>
      </c>
      <c r="C529">
        <v>1214</v>
      </c>
      <c r="D529">
        <v>96</v>
      </c>
      <c r="E529" s="19">
        <v>969</v>
      </c>
    </row>
    <row r="530" spans="1:5" x14ac:dyDescent="0.3">
      <c r="A530" s="20" t="s">
        <v>1676</v>
      </c>
      <c r="B530" s="19">
        <v>1834</v>
      </c>
      <c r="C530">
        <v>707</v>
      </c>
      <c r="D530">
        <v>190</v>
      </c>
      <c r="E530" s="19">
        <v>937</v>
      </c>
    </row>
    <row r="531" spans="1:5" x14ac:dyDescent="0.3">
      <c r="A531" s="20" t="s">
        <v>2000</v>
      </c>
      <c r="B531" s="19">
        <v>3326</v>
      </c>
      <c r="C531">
        <v>1492</v>
      </c>
      <c r="D531">
        <v>200</v>
      </c>
      <c r="E531" s="19">
        <v>1634</v>
      </c>
    </row>
    <row r="532" spans="1:5" x14ac:dyDescent="0.3">
      <c r="A532" s="20" t="s">
        <v>1677</v>
      </c>
      <c r="B532" s="19">
        <v>802</v>
      </c>
      <c r="C532">
        <v>347</v>
      </c>
      <c r="D532">
        <v>42</v>
      </c>
      <c r="E532" s="19">
        <v>413</v>
      </c>
    </row>
    <row r="533" spans="1:5" x14ac:dyDescent="0.3">
      <c r="A533" s="20" t="s">
        <v>1678</v>
      </c>
      <c r="B533" s="19">
        <v>1351</v>
      </c>
      <c r="C533">
        <v>503</v>
      </c>
      <c r="D533">
        <v>122</v>
      </c>
      <c r="E533" s="19">
        <v>726</v>
      </c>
    </row>
    <row r="534" spans="1:5" x14ac:dyDescent="0.3">
      <c r="A534" s="20" t="s">
        <v>1346</v>
      </c>
      <c r="B534" s="19">
        <v>11329</v>
      </c>
      <c r="C534">
        <v>5472</v>
      </c>
      <c r="D534">
        <v>847</v>
      </c>
      <c r="E534" s="19">
        <v>5010</v>
      </c>
    </row>
    <row r="535" spans="1:5" x14ac:dyDescent="0.3">
      <c r="A535" s="20" t="s">
        <v>1679</v>
      </c>
      <c r="B535" s="19">
        <v>724</v>
      </c>
      <c r="C535">
        <v>352</v>
      </c>
      <c r="D535">
        <v>24</v>
      </c>
      <c r="E535" s="19">
        <v>348</v>
      </c>
    </row>
    <row r="536" spans="1:5" x14ac:dyDescent="0.3">
      <c r="A536" s="20" t="s">
        <v>1680</v>
      </c>
      <c r="B536" s="19">
        <v>1048</v>
      </c>
      <c r="C536">
        <v>387</v>
      </c>
      <c r="D536">
        <v>23</v>
      </c>
      <c r="E536" s="19">
        <v>638</v>
      </c>
    </row>
    <row r="537" spans="1:5" x14ac:dyDescent="0.3">
      <c r="A537" s="20" t="s">
        <v>1681</v>
      </c>
      <c r="B537" s="19">
        <v>538</v>
      </c>
      <c r="C537">
        <v>245</v>
      </c>
      <c r="D537">
        <v>9</v>
      </c>
      <c r="E537" s="19">
        <v>284</v>
      </c>
    </row>
    <row r="538" spans="1:5" x14ac:dyDescent="0.3">
      <c r="A538" s="20" t="s">
        <v>1682</v>
      </c>
      <c r="B538" s="19">
        <v>9157</v>
      </c>
      <c r="C538">
        <v>3962</v>
      </c>
      <c r="D538">
        <v>1023</v>
      </c>
      <c r="E538" s="19">
        <v>4172</v>
      </c>
    </row>
    <row r="539" spans="1:5" x14ac:dyDescent="0.3">
      <c r="A539" s="20" t="s">
        <v>2001</v>
      </c>
      <c r="B539" s="19">
        <v>802</v>
      </c>
      <c r="C539">
        <v>231</v>
      </c>
      <c r="D539">
        <v>81</v>
      </c>
      <c r="E539" s="19">
        <v>490</v>
      </c>
    </row>
    <row r="540" spans="1:5" x14ac:dyDescent="0.3">
      <c r="A540" s="20" t="s">
        <v>1683</v>
      </c>
      <c r="B540" s="19">
        <v>1794</v>
      </c>
      <c r="C540">
        <v>911</v>
      </c>
      <c r="D540">
        <v>28</v>
      </c>
      <c r="E540" s="19">
        <v>855</v>
      </c>
    </row>
    <row r="541" spans="1:5" x14ac:dyDescent="0.3">
      <c r="A541" s="20" t="s">
        <v>1684</v>
      </c>
      <c r="B541" s="19">
        <v>1279</v>
      </c>
      <c r="C541">
        <v>509</v>
      </c>
      <c r="D541">
        <v>60</v>
      </c>
      <c r="E541" s="19">
        <v>710</v>
      </c>
    </row>
    <row r="542" spans="1:5" x14ac:dyDescent="0.3">
      <c r="A542" s="20" t="s">
        <v>2002</v>
      </c>
      <c r="B542" s="19">
        <v>1206</v>
      </c>
      <c r="C542">
        <v>570</v>
      </c>
      <c r="D542">
        <v>46</v>
      </c>
      <c r="E542" s="19">
        <v>590</v>
      </c>
    </row>
    <row r="543" spans="1:5" x14ac:dyDescent="0.3">
      <c r="A543" s="20" t="s">
        <v>1685</v>
      </c>
      <c r="B543" s="19">
        <v>854</v>
      </c>
      <c r="C543">
        <v>276</v>
      </c>
      <c r="D543">
        <v>32</v>
      </c>
      <c r="E543" s="19">
        <v>546</v>
      </c>
    </row>
    <row r="544" spans="1:5" x14ac:dyDescent="0.3">
      <c r="A544" s="20" t="s">
        <v>1686</v>
      </c>
      <c r="B544" s="19">
        <v>1359</v>
      </c>
      <c r="C544">
        <v>518</v>
      </c>
      <c r="D544">
        <v>153</v>
      </c>
      <c r="E544" s="19">
        <v>688</v>
      </c>
    </row>
    <row r="545" spans="1:5" x14ac:dyDescent="0.3">
      <c r="A545" s="20" t="s">
        <v>1687</v>
      </c>
      <c r="B545" s="19">
        <v>964</v>
      </c>
      <c r="C545">
        <v>382</v>
      </c>
      <c r="D545">
        <v>77</v>
      </c>
      <c r="E545" s="19">
        <v>505</v>
      </c>
    </row>
    <row r="546" spans="1:5" x14ac:dyDescent="0.3">
      <c r="A546" s="20" t="s">
        <v>1225</v>
      </c>
      <c r="B546" s="19">
        <v>6872</v>
      </c>
      <c r="C546">
        <v>3576</v>
      </c>
      <c r="D546">
        <v>516</v>
      </c>
      <c r="E546" s="19">
        <v>2780</v>
      </c>
    </row>
    <row r="547" spans="1:5" x14ac:dyDescent="0.3">
      <c r="A547" s="20" t="s">
        <v>1688</v>
      </c>
      <c r="B547" s="19">
        <v>1050</v>
      </c>
      <c r="C547">
        <v>383</v>
      </c>
      <c r="D547">
        <v>127</v>
      </c>
      <c r="E547" s="19">
        <v>540</v>
      </c>
    </row>
    <row r="548" spans="1:5" x14ac:dyDescent="0.3">
      <c r="A548" s="20" t="s">
        <v>1689</v>
      </c>
      <c r="B548" s="19">
        <v>878</v>
      </c>
      <c r="C548">
        <v>320</v>
      </c>
      <c r="D548">
        <v>99</v>
      </c>
      <c r="E548" s="19">
        <v>459</v>
      </c>
    </row>
    <row r="549" spans="1:5" x14ac:dyDescent="0.3">
      <c r="A549" s="20" t="s">
        <v>1690</v>
      </c>
      <c r="B549" s="19">
        <v>1797</v>
      </c>
      <c r="C549">
        <v>857</v>
      </c>
      <c r="D549">
        <v>51</v>
      </c>
      <c r="E549" s="19">
        <v>889</v>
      </c>
    </row>
    <row r="550" spans="1:5" x14ac:dyDescent="0.3">
      <c r="A550" s="20" t="s">
        <v>1691</v>
      </c>
      <c r="B550" s="19">
        <v>987</v>
      </c>
      <c r="C550">
        <v>499</v>
      </c>
      <c r="D550">
        <v>40</v>
      </c>
      <c r="E550" s="19">
        <v>448</v>
      </c>
    </row>
    <row r="551" spans="1:5" x14ac:dyDescent="0.3">
      <c r="A551" s="20" t="s">
        <v>1692</v>
      </c>
      <c r="B551" s="19">
        <v>812</v>
      </c>
      <c r="C551">
        <v>277</v>
      </c>
      <c r="D551">
        <v>101</v>
      </c>
      <c r="E551" s="19">
        <v>434</v>
      </c>
    </row>
    <row r="552" spans="1:5" x14ac:dyDescent="0.3">
      <c r="A552" s="20" t="s">
        <v>1310</v>
      </c>
      <c r="B552" s="19">
        <v>7072</v>
      </c>
      <c r="C552">
        <v>3438</v>
      </c>
      <c r="D552">
        <v>416</v>
      </c>
      <c r="E552" s="19">
        <v>3218</v>
      </c>
    </row>
    <row r="553" spans="1:5" x14ac:dyDescent="0.3">
      <c r="A553" s="20" t="s">
        <v>1082</v>
      </c>
      <c r="B553" s="19">
        <v>1551</v>
      </c>
      <c r="C553">
        <v>419</v>
      </c>
      <c r="D553">
        <v>108</v>
      </c>
      <c r="E553" s="19">
        <v>1024</v>
      </c>
    </row>
    <row r="554" spans="1:5" x14ac:dyDescent="0.3">
      <c r="A554" s="20" t="s">
        <v>1094</v>
      </c>
      <c r="B554" s="19">
        <v>720</v>
      </c>
      <c r="C554">
        <v>292</v>
      </c>
      <c r="D554">
        <v>72</v>
      </c>
      <c r="E554" s="19">
        <v>356</v>
      </c>
    </row>
    <row r="555" spans="1:5" x14ac:dyDescent="0.3">
      <c r="A555" s="20" t="s">
        <v>1032</v>
      </c>
      <c r="B555" s="19">
        <v>1117</v>
      </c>
      <c r="C555">
        <v>309</v>
      </c>
      <c r="D555">
        <v>97</v>
      </c>
      <c r="E555" s="19">
        <v>711</v>
      </c>
    </row>
    <row r="556" spans="1:5" x14ac:dyDescent="0.3">
      <c r="A556" s="20" t="s">
        <v>1130</v>
      </c>
      <c r="B556" s="19">
        <v>1610</v>
      </c>
      <c r="C556">
        <v>510</v>
      </c>
      <c r="D556">
        <v>41</v>
      </c>
      <c r="E556" s="19">
        <v>1059</v>
      </c>
    </row>
    <row r="557" spans="1:5" x14ac:dyDescent="0.3">
      <c r="A557" s="20" t="s">
        <v>1096</v>
      </c>
      <c r="B557" s="19">
        <v>880</v>
      </c>
      <c r="C557">
        <v>333</v>
      </c>
      <c r="D557">
        <v>82</v>
      </c>
      <c r="E557" s="19">
        <v>465</v>
      </c>
    </row>
    <row r="558" spans="1:5" x14ac:dyDescent="0.3">
      <c r="A558" s="20" t="s">
        <v>2003</v>
      </c>
      <c r="B558" s="19">
        <v>2472</v>
      </c>
      <c r="C558">
        <v>632</v>
      </c>
      <c r="D558">
        <v>206</v>
      </c>
      <c r="E558" s="19">
        <v>1634</v>
      </c>
    </row>
    <row r="559" spans="1:5" x14ac:dyDescent="0.3">
      <c r="A559" s="20" t="s">
        <v>1033</v>
      </c>
      <c r="B559" s="19">
        <v>699</v>
      </c>
      <c r="C559">
        <v>480</v>
      </c>
      <c r="D559">
        <v>15</v>
      </c>
      <c r="E559" s="19">
        <v>204</v>
      </c>
    </row>
    <row r="560" spans="1:5" x14ac:dyDescent="0.3">
      <c r="A560" s="20" t="s">
        <v>1693</v>
      </c>
      <c r="B560" s="19">
        <v>1075</v>
      </c>
      <c r="C560">
        <v>286</v>
      </c>
      <c r="D560">
        <v>94</v>
      </c>
      <c r="E560" s="19">
        <v>695</v>
      </c>
    </row>
    <row r="561" spans="1:5" x14ac:dyDescent="0.3">
      <c r="A561" s="20" t="s">
        <v>1694</v>
      </c>
      <c r="B561" s="19">
        <v>3004</v>
      </c>
      <c r="C561">
        <v>1169</v>
      </c>
      <c r="D561">
        <v>154</v>
      </c>
      <c r="E561" s="19">
        <v>1681</v>
      </c>
    </row>
    <row r="562" spans="1:5" x14ac:dyDescent="0.3">
      <c r="A562" s="20" t="s">
        <v>1034</v>
      </c>
      <c r="B562" s="19">
        <v>1088</v>
      </c>
      <c r="C562">
        <v>745</v>
      </c>
      <c r="D562">
        <v>14</v>
      </c>
      <c r="E562" s="19">
        <v>329</v>
      </c>
    </row>
    <row r="563" spans="1:5" x14ac:dyDescent="0.3">
      <c r="A563" s="20" t="s">
        <v>1695</v>
      </c>
      <c r="B563" s="19">
        <v>2692</v>
      </c>
      <c r="C563">
        <v>978</v>
      </c>
      <c r="D563">
        <v>221</v>
      </c>
      <c r="E563" s="19">
        <v>1493</v>
      </c>
    </row>
    <row r="564" spans="1:5" x14ac:dyDescent="0.3">
      <c r="A564" s="20" t="s">
        <v>2004</v>
      </c>
      <c r="B564" s="19">
        <v>640</v>
      </c>
      <c r="C564">
        <v>255</v>
      </c>
      <c r="D564">
        <v>66</v>
      </c>
      <c r="E564" s="19">
        <v>319</v>
      </c>
    </row>
    <row r="565" spans="1:5" x14ac:dyDescent="0.3">
      <c r="A565" s="20" t="s">
        <v>2005</v>
      </c>
      <c r="B565" s="19">
        <v>1838</v>
      </c>
      <c r="C565">
        <v>438</v>
      </c>
      <c r="D565">
        <v>206</v>
      </c>
      <c r="E565" s="19">
        <v>1194</v>
      </c>
    </row>
    <row r="566" spans="1:5" x14ac:dyDescent="0.3">
      <c r="A566" s="20" t="s">
        <v>1328</v>
      </c>
      <c r="B566" s="19">
        <v>4331</v>
      </c>
      <c r="C566">
        <v>2288</v>
      </c>
      <c r="D566">
        <v>302</v>
      </c>
      <c r="E566" s="19">
        <v>1741</v>
      </c>
    </row>
    <row r="567" spans="1:5" x14ac:dyDescent="0.3">
      <c r="A567" s="20" t="s">
        <v>1696</v>
      </c>
      <c r="B567" s="19">
        <v>670</v>
      </c>
      <c r="C567">
        <v>295</v>
      </c>
      <c r="D567">
        <v>76</v>
      </c>
      <c r="E567" s="19">
        <v>299</v>
      </c>
    </row>
    <row r="568" spans="1:5" x14ac:dyDescent="0.3">
      <c r="A568" s="20" t="s">
        <v>1697</v>
      </c>
      <c r="B568" s="19">
        <v>1388</v>
      </c>
      <c r="C568">
        <v>571</v>
      </c>
      <c r="D568">
        <v>160</v>
      </c>
      <c r="E568" s="19">
        <v>657</v>
      </c>
    </row>
    <row r="569" spans="1:5" x14ac:dyDescent="0.3">
      <c r="A569" s="20" t="s">
        <v>1698</v>
      </c>
      <c r="B569" s="19">
        <v>1273</v>
      </c>
      <c r="C569">
        <v>625</v>
      </c>
      <c r="D569">
        <v>95</v>
      </c>
      <c r="E569" s="19">
        <v>553</v>
      </c>
    </row>
    <row r="570" spans="1:5" x14ac:dyDescent="0.3">
      <c r="A570" s="20" t="s">
        <v>1699</v>
      </c>
      <c r="B570" s="19">
        <v>1865</v>
      </c>
      <c r="C570">
        <v>792</v>
      </c>
      <c r="D570">
        <v>182</v>
      </c>
      <c r="E570" s="19">
        <v>891</v>
      </c>
    </row>
    <row r="571" spans="1:5" x14ac:dyDescent="0.3">
      <c r="A571" s="20" t="s">
        <v>2006</v>
      </c>
      <c r="B571" s="19">
        <v>889</v>
      </c>
      <c r="C571">
        <v>267</v>
      </c>
      <c r="D571">
        <v>194</v>
      </c>
      <c r="E571" s="19">
        <v>428</v>
      </c>
    </row>
    <row r="572" spans="1:5" x14ac:dyDescent="0.3">
      <c r="A572" s="20" t="s">
        <v>2007</v>
      </c>
      <c r="B572" s="19">
        <v>377</v>
      </c>
      <c r="C572">
        <v>151</v>
      </c>
      <c r="D572">
        <v>44</v>
      </c>
      <c r="E572" s="19">
        <v>182</v>
      </c>
    </row>
    <row r="573" spans="1:5" x14ac:dyDescent="0.3">
      <c r="A573" s="20" t="s">
        <v>1282</v>
      </c>
      <c r="B573" s="19">
        <v>3205</v>
      </c>
      <c r="C573">
        <v>1642</v>
      </c>
      <c r="D573">
        <v>252</v>
      </c>
      <c r="E573" s="19">
        <v>1311</v>
      </c>
    </row>
    <row r="574" spans="1:5" x14ac:dyDescent="0.3">
      <c r="A574" s="20" t="s">
        <v>2008</v>
      </c>
      <c r="B574" s="19">
        <v>775</v>
      </c>
      <c r="C574">
        <v>361</v>
      </c>
      <c r="D574">
        <v>10</v>
      </c>
      <c r="E574" s="19">
        <v>404</v>
      </c>
    </row>
    <row r="575" spans="1:5" x14ac:dyDescent="0.3">
      <c r="A575" s="20" t="s">
        <v>1700</v>
      </c>
      <c r="B575" s="19">
        <v>1518</v>
      </c>
      <c r="C575">
        <v>679</v>
      </c>
      <c r="D575">
        <v>40</v>
      </c>
      <c r="E575" s="19">
        <v>799</v>
      </c>
    </row>
    <row r="576" spans="1:5" x14ac:dyDescent="0.3">
      <c r="A576" s="20" t="s">
        <v>1701</v>
      </c>
      <c r="B576" s="19">
        <v>2125</v>
      </c>
      <c r="C576">
        <v>1033</v>
      </c>
      <c r="D576">
        <v>50</v>
      </c>
      <c r="E576" s="19">
        <v>1042</v>
      </c>
    </row>
    <row r="577" spans="1:5" x14ac:dyDescent="0.3">
      <c r="A577" s="20" t="s">
        <v>1702</v>
      </c>
      <c r="B577" s="19">
        <v>2043</v>
      </c>
      <c r="C577">
        <v>764</v>
      </c>
      <c r="D577">
        <v>248</v>
      </c>
      <c r="E577" s="19">
        <v>1031</v>
      </c>
    </row>
    <row r="578" spans="1:5" x14ac:dyDescent="0.3">
      <c r="A578" s="20" t="s">
        <v>2009</v>
      </c>
      <c r="B578" s="19">
        <v>240</v>
      </c>
      <c r="C578">
        <v>121</v>
      </c>
      <c r="D578">
        <v>18</v>
      </c>
      <c r="E578" s="19">
        <v>101</v>
      </c>
    </row>
    <row r="579" spans="1:5" x14ac:dyDescent="0.3">
      <c r="A579" s="20" t="s">
        <v>1703</v>
      </c>
      <c r="B579" s="19">
        <v>884</v>
      </c>
      <c r="C579">
        <v>354</v>
      </c>
      <c r="D579">
        <v>104</v>
      </c>
      <c r="E579" s="19">
        <v>426</v>
      </c>
    </row>
    <row r="580" spans="1:5" x14ac:dyDescent="0.3">
      <c r="A580" s="20" t="s">
        <v>1704</v>
      </c>
      <c r="B580" s="19">
        <v>2926</v>
      </c>
      <c r="C580">
        <v>1269</v>
      </c>
      <c r="D580">
        <v>128</v>
      </c>
      <c r="E580" s="19">
        <v>1529</v>
      </c>
    </row>
    <row r="581" spans="1:5" x14ac:dyDescent="0.3">
      <c r="A581" s="20" t="s">
        <v>1705</v>
      </c>
      <c r="B581" s="19">
        <v>381</v>
      </c>
      <c r="C581">
        <v>151</v>
      </c>
      <c r="D581">
        <v>21</v>
      </c>
      <c r="E581" s="19">
        <v>209</v>
      </c>
    </row>
    <row r="582" spans="1:5" x14ac:dyDescent="0.3">
      <c r="A582" s="20" t="s">
        <v>1291</v>
      </c>
      <c r="B582" s="19">
        <v>83293</v>
      </c>
      <c r="C582">
        <v>40092</v>
      </c>
      <c r="D582">
        <v>7947</v>
      </c>
      <c r="E582" s="19">
        <v>35254</v>
      </c>
    </row>
    <row r="583" spans="1:5" x14ac:dyDescent="0.3">
      <c r="A583" s="20" t="s">
        <v>1706</v>
      </c>
      <c r="B583" s="19">
        <v>3660</v>
      </c>
      <c r="C583">
        <v>1512</v>
      </c>
      <c r="D583">
        <v>320</v>
      </c>
      <c r="E583" s="19">
        <v>1828</v>
      </c>
    </row>
    <row r="584" spans="1:5" x14ac:dyDescent="0.3">
      <c r="A584" s="20" t="s">
        <v>1707</v>
      </c>
      <c r="B584" s="19">
        <v>14002</v>
      </c>
      <c r="C584">
        <v>6406</v>
      </c>
      <c r="D584">
        <v>872</v>
      </c>
      <c r="E584" s="19">
        <v>6724</v>
      </c>
    </row>
    <row r="585" spans="1:5" x14ac:dyDescent="0.3">
      <c r="A585" s="20" t="s">
        <v>1423</v>
      </c>
      <c r="B585" s="19">
        <v>19582</v>
      </c>
      <c r="C585">
        <v>8382</v>
      </c>
      <c r="D585">
        <v>1356</v>
      </c>
      <c r="E585" s="19">
        <v>9844</v>
      </c>
    </row>
    <row r="586" spans="1:5" x14ac:dyDescent="0.3">
      <c r="A586" s="20" t="s">
        <v>1708</v>
      </c>
      <c r="B586" s="19">
        <v>10369</v>
      </c>
      <c r="C586">
        <v>4802</v>
      </c>
      <c r="D586">
        <v>959</v>
      </c>
      <c r="E586" s="19">
        <v>4608</v>
      </c>
    </row>
    <row r="587" spans="1:5" x14ac:dyDescent="0.3">
      <c r="A587" s="20" t="s">
        <v>1109</v>
      </c>
      <c r="B587" s="19">
        <v>15401</v>
      </c>
      <c r="C587">
        <v>6384</v>
      </c>
      <c r="D587">
        <v>1348</v>
      </c>
      <c r="E587" s="19">
        <v>7669</v>
      </c>
    </row>
    <row r="588" spans="1:5" x14ac:dyDescent="0.3">
      <c r="A588" s="20" t="s">
        <v>1709</v>
      </c>
      <c r="B588" s="19">
        <v>9789</v>
      </c>
      <c r="C588">
        <v>3873</v>
      </c>
      <c r="D588">
        <v>791</v>
      </c>
      <c r="E588" s="19">
        <v>5125</v>
      </c>
    </row>
    <row r="589" spans="1:5" x14ac:dyDescent="0.3">
      <c r="A589" s="20" t="s">
        <v>1710</v>
      </c>
      <c r="B589" s="19">
        <v>7325</v>
      </c>
      <c r="C589">
        <v>3246</v>
      </c>
      <c r="D589">
        <v>458</v>
      </c>
      <c r="E589" s="19">
        <v>3621</v>
      </c>
    </row>
    <row r="590" spans="1:5" x14ac:dyDescent="0.3">
      <c r="A590" s="20" t="s">
        <v>1711</v>
      </c>
      <c r="B590" s="19">
        <v>19335</v>
      </c>
      <c r="C590">
        <v>8862</v>
      </c>
      <c r="D590">
        <v>1943</v>
      </c>
      <c r="E590" s="19">
        <v>8530</v>
      </c>
    </row>
    <row r="591" spans="1:5" x14ac:dyDescent="0.3">
      <c r="A591" s="20" t="s">
        <v>2010</v>
      </c>
      <c r="B591" s="19">
        <v>1922</v>
      </c>
      <c r="C591">
        <v>968</v>
      </c>
      <c r="D591">
        <v>89</v>
      </c>
      <c r="E591" s="19">
        <v>865</v>
      </c>
    </row>
    <row r="592" spans="1:5" x14ac:dyDescent="0.3">
      <c r="A592" s="20" t="s">
        <v>1345</v>
      </c>
      <c r="B592" s="19">
        <v>10458</v>
      </c>
      <c r="C592">
        <v>4746</v>
      </c>
      <c r="D592">
        <v>538</v>
      </c>
      <c r="E592" s="19">
        <v>5174</v>
      </c>
    </row>
    <row r="593" spans="1:5" x14ac:dyDescent="0.3">
      <c r="A593" s="20" t="s">
        <v>2011</v>
      </c>
      <c r="B593" s="19">
        <v>3656</v>
      </c>
      <c r="C593">
        <v>1515</v>
      </c>
      <c r="D593">
        <v>261</v>
      </c>
      <c r="E593" s="19">
        <v>1880</v>
      </c>
    </row>
    <row r="594" spans="1:5" x14ac:dyDescent="0.3">
      <c r="A594" s="20" t="s">
        <v>1283</v>
      </c>
      <c r="B594" s="19">
        <v>14529</v>
      </c>
      <c r="C594">
        <v>6775</v>
      </c>
      <c r="D594">
        <v>949</v>
      </c>
      <c r="E594" s="19">
        <v>6805</v>
      </c>
    </row>
    <row r="595" spans="1:5" x14ac:dyDescent="0.3">
      <c r="A595" s="20" t="s">
        <v>1430</v>
      </c>
      <c r="B595" s="19">
        <v>134844</v>
      </c>
      <c r="C595">
        <v>60784</v>
      </c>
      <c r="D595">
        <v>13749</v>
      </c>
      <c r="E595" s="19">
        <v>60311</v>
      </c>
    </row>
    <row r="596" spans="1:5" x14ac:dyDescent="0.3">
      <c r="A596" s="20" t="s">
        <v>1300</v>
      </c>
      <c r="B596" s="19">
        <v>8614</v>
      </c>
      <c r="C596">
        <v>3620</v>
      </c>
      <c r="D596">
        <v>794</v>
      </c>
      <c r="E596" s="19">
        <v>4200</v>
      </c>
    </row>
    <row r="597" spans="1:5" x14ac:dyDescent="0.3">
      <c r="A597" s="20" t="s">
        <v>1156</v>
      </c>
      <c r="B597" s="19">
        <v>4749</v>
      </c>
      <c r="C597">
        <v>2128</v>
      </c>
      <c r="D597">
        <v>417</v>
      </c>
      <c r="E597" s="19">
        <v>2204</v>
      </c>
    </row>
    <row r="598" spans="1:5" x14ac:dyDescent="0.3">
      <c r="A598" s="20" t="s">
        <v>1712</v>
      </c>
      <c r="B598" s="19">
        <v>7036</v>
      </c>
      <c r="C598">
        <v>3095</v>
      </c>
      <c r="D598">
        <v>615</v>
      </c>
      <c r="E598" s="19">
        <v>3326</v>
      </c>
    </row>
    <row r="599" spans="1:5" x14ac:dyDescent="0.3">
      <c r="A599" s="20" t="s">
        <v>1713</v>
      </c>
      <c r="B599" s="19">
        <v>16994</v>
      </c>
      <c r="C599">
        <v>7840</v>
      </c>
      <c r="D599">
        <v>1150</v>
      </c>
      <c r="E599" s="19">
        <v>8004</v>
      </c>
    </row>
    <row r="600" spans="1:5" x14ac:dyDescent="0.3">
      <c r="A600" s="20" t="s">
        <v>1714</v>
      </c>
      <c r="B600" s="19">
        <v>35124</v>
      </c>
      <c r="C600">
        <v>15997</v>
      </c>
      <c r="D600">
        <v>3719</v>
      </c>
      <c r="E600" s="19">
        <v>15408</v>
      </c>
    </row>
    <row r="601" spans="1:5" x14ac:dyDescent="0.3">
      <c r="A601" s="20" t="s">
        <v>1715</v>
      </c>
      <c r="B601" s="19">
        <v>13383</v>
      </c>
      <c r="C601">
        <v>5909</v>
      </c>
      <c r="D601">
        <v>952</v>
      </c>
      <c r="E601" s="19">
        <v>6522</v>
      </c>
    </row>
    <row r="602" spans="1:5" x14ac:dyDescent="0.3">
      <c r="A602" s="20" t="s">
        <v>1716</v>
      </c>
      <c r="B602" s="19">
        <v>2274</v>
      </c>
      <c r="C602">
        <v>818</v>
      </c>
      <c r="D602">
        <v>344</v>
      </c>
      <c r="E602" s="19">
        <v>1112</v>
      </c>
    </row>
    <row r="603" spans="1:5" x14ac:dyDescent="0.3">
      <c r="A603" s="20" t="s">
        <v>2012</v>
      </c>
      <c r="B603" s="19">
        <v>1947</v>
      </c>
      <c r="C603">
        <v>715</v>
      </c>
      <c r="D603">
        <v>215</v>
      </c>
      <c r="E603" s="19">
        <v>1017</v>
      </c>
    </row>
    <row r="604" spans="1:5" x14ac:dyDescent="0.3">
      <c r="A604" s="20" t="s">
        <v>1270</v>
      </c>
      <c r="B604" s="19">
        <v>46125</v>
      </c>
      <c r="C604">
        <v>20481</v>
      </c>
      <c r="D604">
        <v>3914</v>
      </c>
      <c r="E604" s="19">
        <v>21730</v>
      </c>
    </row>
    <row r="605" spans="1:5" x14ac:dyDescent="0.3">
      <c r="A605" s="20" t="s">
        <v>1364</v>
      </c>
      <c r="B605" s="19">
        <v>13071</v>
      </c>
      <c r="C605">
        <v>5441</v>
      </c>
      <c r="D605">
        <v>1198</v>
      </c>
      <c r="E605" s="19">
        <v>6432</v>
      </c>
    </row>
    <row r="606" spans="1:5" x14ac:dyDescent="0.3">
      <c r="A606" s="20" t="s">
        <v>1717</v>
      </c>
      <c r="B606" s="19">
        <v>17735</v>
      </c>
      <c r="C606">
        <v>7377</v>
      </c>
      <c r="D606">
        <v>1437</v>
      </c>
      <c r="E606" s="19">
        <v>8921</v>
      </c>
    </row>
    <row r="607" spans="1:5" x14ac:dyDescent="0.3">
      <c r="A607" s="20" t="s">
        <v>1406</v>
      </c>
      <c r="B607" s="19">
        <v>41369</v>
      </c>
      <c r="C607">
        <v>18295</v>
      </c>
      <c r="D607">
        <v>3929</v>
      </c>
      <c r="E607" s="19">
        <v>19145</v>
      </c>
    </row>
    <row r="608" spans="1:5" x14ac:dyDescent="0.3">
      <c r="A608" s="20" t="s">
        <v>1249</v>
      </c>
      <c r="B608" s="19">
        <v>9950</v>
      </c>
      <c r="C608">
        <v>4829</v>
      </c>
      <c r="D608">
        <v>569</v>
      </c>
      <c r="E608" s="19">
        <v>4552</v>
      </c>
    </row>
    <row r="609" spans="1:5" x14ac:dyDescent="0.3">
      <c r="A609" s="20" t="s">
        <v>1468</v>
      </c>
      <c r="B609" s="19">
        <v>35833</v>
      </c>
      <c r="C609">
        <v>17386</v>
      </c>
      <c r="D609">
        <v>2420</v>
      </c>
      <c r="E609" s="19">
        <v>16027</v>
      </c>
    </row>
    <row r="610" spans="1:5" x14ac:dyDescent="0.3">
      <c r="A610" s="20" t="s">
        <v>1416</v>
      </c>
      <c r="B610" s="19">
        <v>30539</v>
      </c>
      <c r="C610">
        <v>13201</v>
      </c>
      <c r="D610">
        <v>2098</v>
      </c>
      <c r="E610" s="19">
        <v>15240</v>
      </c>
    </row>
    <row r="611" spans="1:5" x14ac:dyDescent="0.3">
      <c r="A611" s="20" t="s">
        <v>1718</v>
      </c>
      <c r="B611" s="19">
        <v>14031</v>
      </c>
      <c r="C611">
        <v>6697</v>
      </c>
      <c r="D611">
        <v>871</v>
      </c>
      <c r="E611" s="19">
        <v>6463</v>
      </c>
    </row>
    <row r="612" spans="1:5" x14ac:dyDescent="0.3">
      <c r="A612" s="20" t="s">
        <v>1456</v>
      </c>
      <c r="B612" s="19">
        <v>192820</v>
      </c>
      <c r="C612">
        <v>97166</v>
      </c>
      <c r="D612">
        <v>21442</v>
      </c>
      <c r="E612" s="19">
        <v>74212</v>
      </c>
    </row>
    <row r="613" spans="1:5" x14ac:dyDescent="0.3">
      <c r="A613" s="20" t="s">
        <v>1457</v>
      </c>
      <c r="B613" s="19">
        <v>12714</v>
      </c>
      <c r="C613">
        <v>6268</v>
      </c>
      <c r="D613">
        <v>1047</v>
      </c>
      <c r="E613" s="19">
        <v>5399</v>
      </c>
    </row>
    <row r="614" spans="1:5" x14ac:dyDescent="0.3">
      <c r="A614" s="20" t="s">
        <v>1719</v>
      </c>
      <c r="B614" s="19">
        <v>3622</v>
      </c>
      <c r="C614">
        <v>1673</v>
      </c>
      <c r="D614">
        <v>431</v>
      </c>
      <c r="E614" s="19">
        <v>1518</v>
      </c>
    </row>
    <row r="615" spans="1:5" x14ac:dyDescent="0.3">
      <c r="A615" s="20" t="s">
        <v>1418</v>
      </c>
      <c r="B615" s="19">
        <v>12593</v>
      </c>
      <c r="C615">
        <v>5414</v>
      </c>
      <c r="D615">
        <v>1765</v>
      </c>
      <c r="E615" s="19">
        <v>5414</v>
      </c>
    </row>
    <row r="616" spans="1:5" x14ac:dyDescent="0.3">
      <c r="A616" s="20" t="s">
        <v>1720</v>
      </c>
      <c r="B616" s="19">
        <v>3130</v>
      </c>
      <c r="C616">
        <v>1451</v>
      </c>
      <c r="D616">
        <v>245</v>
      </c>
      <c r="E616" s="19">
        <v>1434</v>
      </c>
    </row>
    <row r="617" spans="1:5" x14ac:dyDescent="0.3">
      <c r="A617" s="20" t="s">
        <v>1721</v>
      </c>
      <c r="B617" s="19">
        <v>13478</v>
      </c>
      <c r="C617">
        <v>6069</v>
      </c>
      <c r="D617">
        <v>1456</v>
      </c>
      <c r="E617" s="19">
        <v>5953</v>
      </c>
    </row>
    <row r="618" spans="1:5" x14ac:dyDescent="0.3">
      <c r="A618" s="20" t="s">
        <v>1458</v>
      </c>
      <c r="B618" s="19">
        <v>6282</v>
      </c>
      <c r="C618">
        <v>2749</v>
      </c>
      <c r="D618">
        <v>517</v>
      </c>
      <c r="E618" s="19">
        <v>3016</v>
      </c>
    </row>
    <row r="619" spans="1:5" x14ac:dyDescent="0.3">
      <c r="A619" s="20" t="s">
        <v>1722</v>
      </c>
      <c r="B619" s="19">
        <v>2068</v>
      </c>
      <c r="C619">
        <v>903</v>
      </c>
      <c r="D619">
        <v>193</v>
      </c>
      <c r="E619" s="19">
        <v>972</v>
      </c>
    </row>
    <row r="620" spans="1:5" x14ac:dyDescent="0.3">
      <c r="A620" s="20" t="s">
        <v>1438</v>
      </c>
      <c r="B620" s="19">
        <v>26100</v>
      </c>
      <c r="C620">
        <v>11495</v>
      </c>
      <c r="D620">
        <v>2528</v>
      </c>
      <c r="E620" s="19">
        <v>12077</v>
      </c>
    </row>
    <row r="621" spans="1:5" x14ac:dyDescent="0.3">
      <c r="A621" s="20" t="s">
        <v>1723</v>
      </c>
      <c r="B621" s="19">
        <v>2650</v>
      </c>
      <c r="C621">
        <v>971</v>
      </c>
      <c r="D621">
        <v>205</v>
      </c>
      <c r="E621" s="19">
        <v>1474</v>
      </c>
    </row>
    <row r="622" spans="1:5" x14ac:dyDescent="0.3">
      <c r="A622" s="20" t="s">
        <v>1384</v>
      </c>
      <c r="B622" s="19">
        <v>2707</v>
      </c>
      <c r="C622">
        <v>1067</v>
      </c>
      <c r="D622">
        <v>269</v>
      </c>
      <c r="E622" s="19">
        <v>1371</v>
      </c>
    </row>
    <row r="623" spans="1:5" x14ac:dyDescent="0.3">
      <c r="A623" s="20" t="s">
        <v>1470</v>
      </c>
      <c r="B623" s="19">
        <v>56962</v>
      </c>
      <c r="C623">
        <v>27075</v>
      </c>
      <c r="D623">
        <v>4880</v>
      </c>
      <c r="E623" s="19">
        <v>25007</v>
      </c>
    </row>
    <row r="624" spans="1:5" x14ac:dyDescent="0.3">
      <c r="A624" s="20" t="s">
        <v>1724</v>
      </c>
      <c r="B624" s="19">
        <v>3349</v>
      </c>
      <c r="C624">
        <v>1268</v>
      </c>
      <c r="D624">
        <v>328</v>
      </c>
      <c r="E624" s="19">
        <v>1753</v>
      </c>
    </row>
    <row r="625" spans="1:5" x14ac:dyDescent="0.3">
      <c r="A625" s="20" t="s">
        <v>1462</v>
      </c>
      <c r="B625" s="19">
        <v>8409</v>
      </c>
      <c r="C625">
        <v>3816</v>
      </c>
      <c r="D625">
        <v>380</v>
      </c>
      <c r="E625" s="19">
        <v>4213</v>
      </c>
    </row>
    <row r="626" spans="1:5" x14ac:dyDescent="0.3">
      <c r="A626" s="20" t="s">
        <v>1725</v>
      </c>
      <c r="B626" s="19">
        <v>4595</v>
      </c>
      <c r="C626">
        <v>1923</v>
      </c>
      <c r="D626">
        <v>399</v>
      </c>
      <c r="E626" s="19">
        <v>2273</v>
      </c>
    </row>
    <row r="627" spans="1:5" x14ac:dyDescent="0.3">
      <c r="A627" s="20" t="s">
        <v>1726</v>
      </c>
      <c r="B627" s="19">
        <v>4138</v>
      </c>
      <c r="C627">
        <v>1568</v>
      </c>
      <c r="D627">
        <v>344</v>
      </c>
      <c r="E627" s="19">
        <v>2226</v>
      </c>
    </row>
    <row r="628" spans="1:5" x14ac:dyDescent="0.3">
      <c r="A628" s="20" t="s">
        <v>1469</v>
      </c>
      <c r="B628" s="19">
        <v>5031</v>
      </c>
      <c r="C628">
        <v>1915</v>
      </c>
      <c r="D628">
        <v>540</v>
      </c>
      <c r="E628" s="19">
        <v>2576</v>
      </c>
    </row>
    <row r="629" spans="1:5" x14ac:dyDescent="0.3">
      <c r="A629" s="20" t="s">
        <v>1727</v>
      </c>
      <c r="B629" s="19">
        <v>5924</v>
      </c>
      <c r="C629">
        <v>2774</v>
      </c>
      <c r="D629">
        <v>317</v>
      </c>
      <c r="E629" s="19">
        <v>2833</v>
      </c>
    </row>
    <row r="630" spans="1:5" x14ac:dyDescent="0.3">
      <c r="A630" s="20" t="s">
        <v>1728</v>
      </c>
      <c r="B630" s="19">
        <v>7065</v>
      </c>
      <c r="C630">
        <v>3282</v>
      </c>
      <c r="D630">
        <v>387</v>
      </c>
      <c r="E630" s="19">
        <v>3396</v>
      </c>
    </row>
    <row r="631" spans="1:5" x14ac:dyDescent="0.3">
      <c r="A631" s="20" t="s">
        <v>1433</v>
      </c>
      <c r="B631" s="19">
        <v>60013</v>
      </c>
      <c r="C631">
        <v>28766</v>
      </c>
      <c r="D631">
        <v>4488</v>
      </c>
      <c r="E631" s="19">
        <v>26759</v>
      </c>
    </row>
    <row r="632" spans="1:5" x14ac:dyDescent="0.3">
      <c r="A632" s="20" t="s">
        <v>1729</v>
      </c>
      <c r="B632" s="19">
        <v>2783</v>
      </c>
      <c r="C632">
        <v>1259</v>
      </c>
      <c r="D632">
        <v>179</v>
      </c>
      <c r="E632" s="19">
        <v>1345</v>
      </c>
    </row>
    <row r="633" spans="1:5" x14ac:dyDescent="0.3">
      <c r="A633" s="20" t="s">
        <v>1730</v>
      </c>
      <c r="B633" s="19">
        <v>5228</v>
      </c>
      <c r="C633">
        <v>2540</v>
      </c>
      <c r="D633">
        <v>205</v>
      </c>
      <c r="E633" s="19">
        <v>2483</v>
      </c>
    </row>
    <row r="634" spans="1:5" x14ac:dyDescent="0.3">
      <c r="A634" s="20" t="s">
        <v>1731</v>
      </c>
      <c r="B634" s="19">
        <v>9698</v>
      </c>
      <c r="C634">
        <v>4102</v>
      </c>
      <c r="D634">
        <v>785</v>
      </c>
      <c r="E634" s="19">
        <v>4811</v>
      </c>
    </row>
    <row r="635" spans="1:5" x14ac:dyDescent="0.3">
      <c r="A635" s="20" t="s">
        <v>1229</v>
      </c>
      <c r="B635" s="19">
        <v>8568</v>
      </c>
      <c r="C635">
        <v>3824</v>
      </c>
      <c r="D635">
        <v>556</v>
      </c>
      <c r="E635" s="19">
        <v>4188</v>
      </c>
    </row>
    <row r="636" spans="1:5" x14ac:dyDescent="0.3">
      <c r="A636" s="20" t="s">
        <v>1452</v>
      </c>
      <c r="B636" s="19">
        <v>14582</v>
      </c>
      <c r="C636">
        <v>6796</v>
      </c>
      <c r="D636">
        <v>945</v>
      </c>
      <c r="E636" s="19">
        <v>6841</v>
      </c>
    </row>
    <row r="637" spans="1:5" x14ac:dyDescent="0.3">
      <c r="A637" s="20" t="s">
        <v>1732</v>
      </c>
      <c r="B637" s="19">
        <v>1855</v>
      </c>
      <c r="C637">
        <v>774</v>
      </c>
      <c r="D637">
        <v>122</v>
      </c>
      <c r="E637" s="19">
        <v>959</v>
      </c>
    </row>
    <row r="638" spans="1:5" x14ac:dyDescent="0.3">
      <c r="A638" s="20" t="s">
        <v>1733</v>
      </c>
      <c r="B638" s="19">
        <v>2656</v>
      </c>
      <c r="C638">
        <v>1129</v>
      </c>
      <c r="D638">
        <v>301</v>
      </c>
      <c r="E638" s="19">
        <v>1226</v>
      </c>
    </row>
    <row r="639" spans="1:5" x14ac:dyDescent="0.3">
      <c r="A639" s="20" t="s">
        <v>1361</v>
      </c>
      <c r="B639" s="19">
        <v>41164</v>
      </c>
      <c r="C639">
        <v>18229</v>
      </c>
      <c r="D639">
        <v>3815</v>
      </c>
      <c r="E639" s="19">
        <v>19120</v>
      </c>
    </row>
    <row r="640" spans="1:5" x14ac:dyDescent="0.3">
      <c r="A640" s="20" t="s">
        <v>1734</v>
      </c>
      <c r="B640" s="19">
        <v>2713</v>
      </c>
      <c r="C640">
        <v>922</v>
      </c>
      <c r="D640">
        <v>133</v>
      </c>
      <c r="E640" s="19">
        <v>1658</v>
      </c>
    </row>
    <row r="641" spans="1:5" x14ac:dyDescent="0.3">
      <c r="A641" s="20" t="s">
        <v>1735</v>
      </c>
      <c r="B641" s="19">
        <v>5385</v>
      </c>
      <c r="C641">
        <v>2044</v>
      </c>
      <c r="D641">
        <v>371</v>
      </c>
      <c r="E641" s="19">
        <v>2970</v>
      </c>
    </row>
    <row r="642" spans="1:5" x14ac:dyDescent="0.3">
      <c r="A642" s="20" t="s">
        <v>1736</v>
      </c>
      <c r="B642" s="19">
        <v>1393</v>
      </c>
      <c r="C642">
        <v>425</v>
      </c>
      <c r="D642">
        <v>71</v>
      </c>
      <c r="E642" s="19">
        <v>897</v>
      </c>
    </row>
    <row r="643" spans="1:5" x14ac:dyDescent="0.3">
      <c r="A643" s="20" t="s">
        <v>2013</v>
      </c>
      <c r="B643" s="19">
        <v>1359</v>
      </c>
      <c r="C643">
        <v>476</v>
      </c>
      <c r="D643">
        <v>46</v>
      </c>
      <c r="E643" s="19">
        <v>837</v>
      </c>
    </row>
    <row r="644" spans="1:5" x14ac:dyDescent="0.3">
      <c r="A644" s="20" t="s">
        <v>1211</v>
      </c>
      <c r="B644" s="19">
        <v>778</v>
      </c>
      <c r="C644">
        <v>345</v>
      </c>
      <c r="D644">
        <v>17</v>
      </c>
      <c r="E644" s="19">
        <v>416</v>
      </c>
    </row>
    <row r="645" spans="1:5" x14ac:dyDescent="0.3">
      <c r="A645" s="20" t="s">
        <v>1264</v>
      </c>
      <c r="B645" s="19">
        <v>3018</v>
      </c>
      <c r="C645">
        <v>963</v>
      </c>
      <c r="D645">
        <v>306</v>
      </c>
      <c r="E645" s="19">
        <v>1749</v>
      </c>
    </row>
    <row r="646" spans="1:5" x14ac:dyDescent="0.3">
      <c r="A646" s="20" t="s">
        <v>1425</v>
      </c>
      <c r="B646" s="19">
        <v>3315</v>
      </c>
      <c r="C646">
        <v>1656</v>
      </c>
      <c r="D646">
        <v>141</v>
      </c>
      <c r="E646" s="19">
        <v>1518</v>
      </c>
    </row>
    <row r="647" spans="1:5" x14ac:dyDescent="0.3">
      <c r="A647" s="20" t="s">
        <v>1467</v>
      </c>
      <c r="B647" s="19">
        <v>16695</v>
      </c>
      <c r="C647">
        <v>7320</v>
      </c>
      <c r="D647">
        <v>1166</v>
      </c>
      <c r="E647" s="19">
        <v>8209</v>
      </c>
    </row>
    <row r="648" spans="1:5" x14ac:dyDescent="0.3">
      <c r="A648" s="20" t="s">
        <v>1434</v>
      </c>
      <c r="B648" s="19">
        <v>198172</v>
      </c>
      <c r="C648">
        <v>102169</v>
      </c>
      <c r="D648">
        <v>20132</v>
      </c>
      <c r="E648" s="19">
        <v>75871</v>
      </c>
    </row>
    <row r="649" spans="1:5" x14ac:dyDescent="0.3">
      <c r="A649" s="20" t="s">
        <v>1399</v>
      </c>
      <c r="B649" s="19">
        <v>3921</v>
      </c>
      <c r="C649">
        <v>1595</v>
      </c>
      <c r="D649">
        <v>588</v>
      </c>
      <c r="E649" s="19">
        <v>1738</v>
      </c>
    </row>
    <row r="650" spans="1:5" x14ac:dyDescent="0.3">
      <c r="A650" s="20" t="s">
        <v>1349</v>
      </c>
      <c r="B650" s="19">
        <v>2786</v>
      </c>
      <c r="C650">
        <v>1316</v>
      </c>
      <c r="D650">
        <v>222</v>
      </c>
      <c r="E650" s="19">
        <v>1248</v>
      </c>
    </row>
    <row r="651" spans="1:5" x14ac:dyDescent="0.3">
      <c r="A651" s="20" t="s">
        <v>1451</v>
      </c>
      <c r="B651" s="19">
        <v>70383</v>
      </c>
      <c r="C651">
        <v>33893</v>
      </c>
      <c r="D651">
        <v>7172</v>
      </c>
      <c r="E651" s="19">
        <v>29318</v>
      </c>
    </row>
    <row r="652" spans="1:5" x14ac:dyDescent="0.3">
      <c r="A652" s="20" t="s">
        <v>1388</v>
      </c>
      <c r="B652" s="19">
        <v>2264</v>
      </c>
      <c r="C652">
        <v>1269</v>
      </c>
      <c r="D652">
        <v>202</v>
      </c>
      <c r="E652" s="19">
        <v>793</v>
      </c>
    </row>
    <row r="653" spans="1:5" x14ac:dyDescent="0.3">
      <c r="A653" s="20" t="s">
        <v>1035</v>
      </c>
      <c r="B653" s="19">
        <v>10578</v>
      </c>
      <c r="C653">
        <v>4684</v>
      </c>
      <c r="D653">
        <v>684</v>
      </c>
      <c r="E653" s="19">
        <v>5210</v>
      </c>
    </row>
    <row r="654" spans="1:5" x14ac:dyDescent="0.3">
      <c r="A654" s="20" t="s">
        <v>2014</v>
      </c>
      <c r="B654" s="19">
        <v>6453</v>
      </c>
      <c r="C654">
        <v>2520</v>
      </c>
      <c r="D654">
        <v>199</v>
      </c>
      <c r="E654" s="19">
        <v>3734</v>
      </c>
    </row>
    <row r="655" spans="1:5" x14ac:dyDescent="0.3">
      <c r="A655" s="20" t="s">
        <v>2015</v>
      </c>
      <c r="B655" s="19">
        <v>6373</v>
      </c>
      <c r="C655">
        <v>2638</v>
      </c>
      <c r="D655">
        <v>515</v>
      </c>
      <c r="E655" s="19">
        <v>3220</v>
      </c>
    </row>
    <row r="656" spans="1:5" x14ac:dyDescent="0.3">
      <c r="A656" s="20" t="s">
        <v>1036</v>
      </c>
      <c r="B656" s="19">
        <v>3410</v>
      </c>
      <c r="C656">
        <v>1250</v>
      </c>
      <c r="D656">
        <v>387</v>
      </c>
      <c r="E656" s="19">
        <v>1773</v>
      </c>
    </row>
    <row r="657" spans="1:5" x14ac:dyDescent="0.3">
      <c r="A657" s="20" t="s">
        <v>1037</v>
      </c>
      <c r="B657" s="19">
        <v>3821</v>
      </c>
      <c r="C657">
        <v>1681</v>
      </c>
      <c r="D657">
        <v>84</v>
      </c>
      <c r="E657" s="19">
        <v>2056</v>
      </c>
    </row>
    <row r="658" spans="1:5" x14ac:dyDescent="0.3">
      <c r="A658" s="20" t="s">
        <v>1427</v>
      </c>
      <c r="B658" s="19">
        <v>12666</v>
      </c>
      <c r="C658">
        <v>4857</v>
      </c>
      <c r="D658">
        <v>1009</v>
      </c>
      <c r="E658" s="19">
        <v>6800</v>
      </c>
    </row>
    <row r="659" spans="1:5" x14ac:dyDescent="0.3">
      <c r="A659" s="20" t="s">
        <v>1737</v>
      </c>
      <c r="B659" s="19">
        <v>5790</v>
      </c>
      <c r="C659">
        <v>1893</v>
      </c>
      <c r="D659">
        <v>670</v>
      </c>
      <c r="E659" s="19">
        <v>3227</v>
      </c>
    </row>
    <row r="660" spans="1:5" x14ac:dyDescent="0.3">
      <c r="A660" s="20" t="s">
        <v>1738</v>
      </c>
      <c r="B660" s="19">
        <v>3570</v>
      </c>
      <c r="C660">
        <v>1427</v>
      </c>
      <c r="D660">
        <v>398</v>
      </c>
      <c r="E660" s="19">
        <v>1745</v>
      </c>
    </row>
    <row r="661" spans="1:5" x14ac:dyDescent="0.3">
      <c r="A661" s="20" t="s">
        <v>1454</v>
      </c>
      <c r="B661" s="19">
        <v>32213</v>
      </c>
      <c r="C661">
        <v>16680</v>
      </c>
      <c r="D661">
        <v>2089</v>
      </c>
      <c r="E661" s="19">
        <v>13444</v>
      </c>
    </row>
    <row r="662" spans="1:5" x14ac:dyDescent="0.3">
      <c r="A662" s="20" t="s">
        <v>1397</v>
      </c>
      <c r="B662" s="19">
        <v>18649</v>
      </c>
      <c r="C662">
        <v>8793</v>
      </c>
      <c r="D662">
        <v>1471</v>
      </c>
      <c r="E662" s="19">
        <v>8385</v>
      </c>
    </row>
    <row r="663" spans="1:5" x14ac:dyDescent="0.3">
      <c r="A663" s="20" t="s">
        <v>1739</v>
      </c>
      <c r="B663" s="19">
        <v>6015</v>
      </c>
      <c r="C663">
        <v>2898</v>
      </c>
      <c r="D663">
        <v>423</v>
      </c>
      <c r="E663" s="19">
        <v>2694</v>
      </c>
    </row>
    <row r="664" spans="1:5" x14ac:dyDescent="0.3">
      <c r="A664" s="20" t="s">
        <v>1432</v>
      </c>
      <c r="B664" s="19">
        <v>4304</v>
      </c>
      <c r="C664">
        <v>1767</v>
      </c>
      <c r="D664">
        <v>348</v>
      </c>
      <c r="E664" s="19">
        <v>2189</v>
      </c>
    </row>
    <row r="665" spans="1:5" x14ac:dyDescent="0.3">
      <c r="A665" s="20" t="s">
        <v>1740</v>
      </c>
      <c r="B665" s="19">
        <v>5285</v>
      </c>
      <c r="C665">
        <v>2234</v>
      </c>
      <c r="D665">
        <v>411</v>
      </c>
      <c r="E665" s="19">
        <v>2640</v>
      </c>
    </row>
    <row r="666" spans="1:5" x14ac:dyDescent="0.3">
      <c r="A666" s="20" t="s">
        <v>1741</v>
      </c>
      <c r="B666" s="19">
        <v>4179</v>
      </c>
      <c r="C666">
        <v>1571</v>
      </c>
      <c r="D666">
        <v>500</v>
      </c>
      <c r="E666" s="19">
        <v>2108</v>
      </c>
    </row>
    <row r="667" spans="1:5" x14ac:dyDescent="0.3">
      <c r="A667" s="20" t="s">
        <v>1448</v>
      </c>
      <c r="B667" s="19">
        <v>20586</v>
      </c>
      <c r="C667">
        <v>9582</v>
      </c>
      <c r="D667">
        <v>1997</v>
      </c>
      <c r="E667" s="19">
        <v>9007</v>
      </c>
    </row>
    <row r="668" spans="1:5" x14ac:dyDescent="0.3">
      <c r="A668" s="20" t="s">
        <v>1447</v>
      </c>
      <c r="B668" s="19">
        <v>17478</v>
      </c>
      <c r="C668">
        <v>8415</v>
      </c>
      <c r="D668">
        <v>1638</v>
      </c>
      <c r="E668" s="19">
        <v>7425</v>
      </c>
    </row>
    <row r="669" spans="1:5" x14ac:dyDescent="0.3">
      <c r="A669" s="20" t="s">
        <v>1466</v>
      </c>
      <c r="B669" s="19">
        <v>8991</v>
      </c>
      <c r="C669">
        <v>3876</v>
      </c>
      <c r="D669">
        <v>695</v>
      </c>
      <c r="E669" s="19">
        <v>4420</v>
      </c>
    </row>
    <row r="670" spans="1:5" x14ac:dyDescent="0.3">
      <c r="A670" s="20" t="s">
        <v>1464</v>
      </c>
      <c r="B670" s="19">
        <v>23029</v>
      </c>
      <c r="C670">
        <v>9300</v>
      </c>
      <c r="D670">
        <v>1702</v>
      </c>
      <c r="E670" s="19">
        <v>12027</v>
      </c>
    </row>
    <row r="671" spans="1:5" x14ac:dyDescent="0.3">
      <c r="A671" s="20" t="s">
        <v>1742</v>
      </c>
      <c r="B671" s="19">
        <v>3350</v>
      </c>
      <c r="C671">
        <v>1569</v>
      </c>
      <c r="D671">
        <v>232</v>
      </c>
      <c r="E671" s="19">
        <v>1549</v>
      </c>
    </row>
    <row r="672" spans="1:5" x14ac:dyDescent="0.3">
      <c r="A672" s="20" t="s">
        <v>1743</v>
      </c>
      <c r="B672" s="19">
        <v>5471</v>
      </c>
      <c r="C672">
        <v>2297</v>
      </c>
      <c r="D672">
        <v>608</v>
      </c>
      <c r="E672" s="19">
        <v>2566</v>
      </c>
    </row>
    <row r="673" spans="1:5" x14ac:dyDescent="0.3">
      <c r="A673" s="20" t="s">
        <v>1316</v>
      </c>
      <c r="B673" s="19">
        <v>11801</v>
      </c>
      <c r="C673">
        <v>4709</v>
      </c>
      <c r="D673">
        <v>844</v>
      </c>
      <c r="E673" s="19">
        <v>6248</v>
      </c>
    </row>
    <row r="674" spans="1:5" x14ac:dyDescent="0.3">
      <c r="A674" s="20" t="s">
        <v>1744</v>
      </c>
      <c r="B674" s="19">
        <v>4290</v>
      </c>
      <c r="C674">
        <v>1593</v>
      </c>
      <c r="D674">
        <v>351</v>
      </c>
      <c r="E674" s="19">
        <v>2346</v>
      </c>
    </row>
    <row r="675" spans="1:5" x14ac:dyDescent="0.3">
      <c r="A675" s="20" t="s">
        <v>1038</v>
      </c>
      <c r="B675" s="19">
        <v>5374</v>
      </c>
      <c r="C675">
        <v>1523</v>
      </c>
      <c r="D675">
        <v>966</v>
      </c>
      <c r="E675" s="19">
        <v>2885</v>
      </c>
    </row>
    <row r="676" spans="1:5" x14ac:dyDescent="0.3">
      <c r="A676" s="20" t="s">
        <v>2016</v>
      </c>
      <c r="B676" s="19">
        <v>2311</v>
      </c>
      <c r="C676">
        <v>726</v>
      </c>
      <c r="D676">
        <v>214</v>
      </c>
      <c r="E676" s="19">
        <v>1371</v>
      </c>
    </row>
    <row r="677" spans="1:5" x14ac:dyDescent="0.3">
      <c r="A677" s="20" t="s">
        <v>1472</v>
      </c>
      <c r="B677" s="19">
        <v>28721</v>
      </c>
      <c r="C677">
        <v>11969</v>
      </c>
      <c r="D677">
        <v>3240</v>
      </c>
      <c r="E677" s="19">
        <v>13512</v>
      </c>
    </row>
    <row r="678" spans="1:5" x14ac:dyDescent="0.3">
      <c r="A678" s="20" t="s">
        <v>1745</v>
      </c>
      <c r="B678" s="19">
        <v>12148</v>
      </c>
      <c r="C678">
        <v>4147</v>
      </c>
      <c r="D678">
        <v>1935</v>
      </c>
      <c r="E678" s="19">
        <v>6066</v>
      </c>
    </row>
    <row r="679" spans="1:5" x14ac:dyDescent="0.3">
      <c r="A679" s="20" t="s">
        <v>1463</v>
      </c>
      <c r="B679" s="19">
        <v>4218</v>
      </c>
      <c r="C679">
        <v>1468</v>
      </c>
      <c r="D679">
        <v>310</v>
      </c>
      <c r="E679" s="19">
        <v>2440</v>
      </c>
    </row>
    <row r="680" spans="1:5" x14ac:dyDescent="0.3">
      <c r="A680" s="20" t="s">
        <v>1746</v>
      </c>
      <c r="B680" s="19">
        <v>1748</v>
      </c>
      <c r="C680">
        <v>406</v>
      </c>
      <c r="D680">
        <v>278</v>
      </c>
      <c r="E680" s="19">
        <v>1064</v>
      </c>
    </row>
    <row r="681" spans="1:5" x14ac:dyDescent="0.3">
      <c r="A681" s="20" t="s">
        <v>1442</v>
      </c>
      <c r="B681" s="19">
        <v>7568</v>
      </c>
      <c r="C681">
        <v>3078</v>
      </c>
      <c r="D681">
        <v>544</v>
      </c>
      <c r="E681" s="19">
        <v>3946</v>
      </c>
    </row>
    <row r="682" spans="1:5" x14ac:dyDescent="0.3">
      <c r="A682" s="20" t="s">
        <v>1277</v>
      </c>
      <c r="B682" s="19">
        <v>9490</v>
      </c>
      <c r="C682">
        <v>4486</v>
      </c>
      <c r="D682">
        <v>799</v>
      </c>
      <c r="E682" s="19">
        <v>4205</v>
      </c>
    </row>
    <row r="683" spans="1:5" x14ac:dyDescent="0.3">
      <c r="A683" s="20" t="s">
        <v>1218</v>
      </c>
      <c r="B683" s="19">
        <v>4483</v>
      </c>
      <c r="C683">
        <v>1594</v>
      </c>
      <c r="D683">
        <v>405</v>
      </c>
      <c r="E683" s="19">
        <v>2484</v>
      </c>
    </row>
    <row r="684" spans="1:5" x14ac:dyDescent="0.3">
      <c r="A684" s="20" t="s">
        <v>1329</v>
      </c>
      <c r="B684" s="19">
        <v>4202</v>
      </c>
      <c r="C684">
        <v>1872</v>
      </c>
      <c r="D684">
        <v>493</v>
      </c>
      <c r="E684" s="19">
        <v>1837</v>
      </c>
    </row>
    <row r="685" spans="1:5" x14ac:dyDescent="0.3">
      <c r="A685" s="20" t="s">
        <v>1461</v>
      </c>
      <c r="B685" s="19">
        <v>11717</v>
      </c>
      <c r="C685">
        <v>4920</v>
      </c>
      <c r="D685">
        <v>1186</v>
      </c>
      <c r="E685" s="19">
        <v>5611</v>
      </c>
    </row>
    <row r="686" spans="1:5" x14ac:dyDescent="0.3">
      <c r="A686" s="20" t="s">
        <v>1385</v>
      </c>
      <c r="B686" s="19">
        <v>20476</v>
      </c>
      <c r="C686">
        <v>9108</v>
      </c>
      <c r="D686">
        <v>1988</v>
      </c>
      <c r="E686" s="19">
        <v>9380</v>
      </c>
    </row>
    <row r="687" spans="1:5" x14ac:dyDescent="0.3">
      <c r="A687" s="20" t="s">
        <v>1471</v>
      </c>
      <c r="B687" s="19">
        <v>12478</v>
      </c>
      <c r="C687">
        <v>5368</v>
      </c>
      <c r="D687">
        <v>1516</v>
      </c>
      <c r="E687" s="19">
        <v>5594</v>
      </c>
    </row>
    <row r="688" spans="1:5" x14ac:dyDescent="0.3">
      <c r="A688" s="20" t="s">
        <v>1747</v>
      </c>
      <c r="B688" s="19">
        <v>5842</v>
      </c>
      <c r="C688">
        <v>2356</v>
      </c>
      <c r="D688">
        <v>506</v>
      </c>
      <c r="E688" s="19">
        <v>2980</v>
      </c>
    </row>
    <row r="689" spans="1:5" x14ac:dyDescent="0.3">
      <c r="A689" s="20" t="s">
        <v>1350</v>
      </c>
      <c r="B689" s="19">
        <v>16107</v>
      </c>
      <c r="C689">
        <v>9336</v>
      </c>
      <c r="D689">
        <v>1228</v>
      </c>
      <c r="E689" s="19">
        <v>5543</v>
      </c>
    </row>
    <row r="690" spans="1:5" x14ac:dyDescent="0.3">
      <c r="A690" s="20" t="s">
        <v>1748</v>
      </c>
      <c r="B690" s="19">
        <v>298</v>
      </c>
      <c r="C690">
        <v>111</v>
      </c>
      <c r="D690">
        <v>49</v>
      </c>
      <c r="E690" s="19">
        <v>138</v>
      </c>
    </row>
    <row r="691" spans="1:5" x14ac:dyDescent="0.3">
      <c r="A691" s="20" t="s">
        <v>1749</v>
      </c>
      <c r="B691" s="19">
        <v>3381</v>
      </c>
      <c r="C691">
        <v>1789</v>
      </c>
      <c r="D691">
        <v>357</v>
      </c>
      <c r="E691" s="19">
        <v>1235</v>
      </c>
    </row>
    <row r="692" spans="1:5" x14ac:dyDescent="0.3">
      <c r="A692" s="20" t="s">
        <v>1750</v>
      </c>
      <c r="B692" s="19">
        <v>839</v>
      </c>
      <c r="C692">
        <v>369</v>
      </c>
      <c r="D692">
        <v>149</v>
      </c>
      <c r="E692" s="19">
        <v>321</v>
      </c>
    </row>
    <row r="693" spans="1:5" x14ac:dyDescent="0.3">
      <c r="A693" s="20" t="s">
        <v>1751</v>
      </c>
      <c r="B693" s="19">
        <v>11062</v>
      </c>
      <c r="C693">
        <v>2860</v>
      </c>
      <c r="D693">
        <v>1635</v>
      </c>
      <c r="E693" s="19">
        <v>6567</v>
      </c>
    </row>
    <row r="694" spans="1:5" x14ac:dyDescent="0.3">
      <c r="A694" s="20" t="s">
        <v>1752</v>
      </c>
      <c r="B694" s="19">
        <v>668</v>
      </c>
      <c r="C694">
        <v>214</v>
      </c>
      <c r="D694">
        <v>67</v>
      </c>
      <c r="E694" s="19">
        <v>387</v>
      </c>
    </row>
    <row r="695" spans="1:5" x14ac:dyDescent="0.3">
      <c r="A695" s="20" t="s">
        <v>1753</v>
      </c>
      <c r="B695" s="19">
        <v>152</v>
      </c>
      <c r="C695">
        <v>93</v>
      </c>
      <c r="D695">
        <v>14</v>
      </c>
      <c r="E695" s="19">
        <v>45</v>
      </c>
    </row>
    <row r="696" spans="1:5" x14ac:dyDescent="0.3">
      <c r="A696" s="20" t="s">
        <v>1754</v>
      </c>
      <c r="B696" s="19">
        <v>1607</v>
      </c>
      <c r="C696">
        <v>156</v>
      </c>
      <c r="D696">
        <v>196</v>
      </c>
      <c r="E696" s="19">
        <v>1255</v>
      </c>
    </row>
    <row r="697" spans="1:5" x14ac:dyDescent="0.3">
      <c r="A697" s="20" t="s">
        <v>1755</v>
      </c>
      <c r="B697" s="19">
        <v>2066</v>
      </c>
      <c r="C697">
        <v>937</v>
      </c>
      <c r="D697">
        <v>246</v>
      </c>
      <c r="E697" s="19">
        <v>883</v>
      </c>
    </row>
    <row r="698" spans="1:5" x14ac:dyDescent="0.3">
      <c r="A698" s="20" t="s">
        <v>1314</v>
      </c>
      <c r="B698" s="19">
        <v>8493</v>
      </c>
      <c r="C698">
        <v>4695</v>
      </c>
      <c r="D698">
        <v>588</v>
      </c>
      <c r="E698" s="19">
        <v>3210</v>
      </c>
    </row>
    <row r="699" spans="1:5" x14ac:dyDescent="0.3">
      <c r="A699" s="20" t="s">
        <v>1756</v>
      </c>
      <c r="B699" s="19">
        <v>114</v>
      </c>
      <c r="C699">
        <v>45</v>
      </c>
      <c r="D699">
        <v>14</v>
      </c>
      <c r="E699" s="19">
        <v>55</v>
      </c>
    </row>
    <row r="700" spans="1:5" x14ac:dyDescent="0.3">
      <c r="A700" s="20" t="s">
        <v>2017</v>
      </c>
      <c r="B700" s="19">
        <v>153</v>
      </c>
      <c r="C700">
        <v>75</v>
      </c>
      <c r="D700">
        <v>12</v>
      </c>
      <c r="E700" s="19">
        <v>66</v>
      </c>
    </row>
    <row r="701" spans="1:5" x14ac:dyDescent="0.3">
      <c r="A701" s="20" t="s">
        <v>1757</v>
      </c>
      <c r="B701" s="19">
        <v>3842</v>
      </c>
      <c r="C701">
        <v>1055</v>
      </c>
      <c r="D701">
        <v>463</v>
      </c>
      <c r="E701" s="19">
        <v>2324</v>
      </c>
    </row>
    <row r="702" spans="1:5" x14ac:dyDescent="0.3">
      <c r="A702" s="20" t="s">
        <v>2018</v>
      </c>
      <c r="B702" s="19">
        <v>388</v>
      </c>
      <c r="C702">
        <v>147</v>
      </c>
      <c r="D702">
        <v>21</v>
      </c>
      <c r="E702" s="19">
        <v>220</v>
      </c>
    </row>
    <row r="703" spans="1:5" x14ac:dyDescent="0.3">
      <c r="A703" s="20" t="s">
        <v>1758</v>
      </c>
      <c r="B703" s="19">
        <v>408</v>
      </c>
      <c r="C703">
        <v>160</v>
      </c>
      <c r="D703">
        <v>1</v>
      </c>
      <c r="E703" s="19">
        <v>247</v>
      </c>
    </row>
    <row r="704" spans="1:5" x14ac:dyDescent="0.3">
      <c r="A704" s="20" t="s">
        <v>1759</v>
      </c>
      <c r="B704" s="19">
        <v>464</v>
      </c>
      <c r="C704">
        <v>256</v>
      </c>
      <c r="D704">
        <v>26</v>
      </c>
      <c r="E704" s="19">
        <v>182</v>
      </c>
    </row>
    <row r="705" spans="1:5" x14ac:dyDescent="0.3">
      <c r="A705" s="20" t="s">
        <v>1760</v>
      </c>
      <c r="B705" s="19">
        <v>91</v>
      </c>
      <c r="C705">
        <v>42</v>
      </c>
      <c r="D705">
        <v>4</v>
      </c>
      <c r="E705" s="19">
        <v>45</v>
      </c>
    </row>
    <row r="706" spans="1:5" x14ac:dyDescent="0.3">
      <c r="A706" s="20" t="s">
        <v>2019</v>
      </c>
      <c r="B706" s="19">
        <v>519</v>
      </c>
      <c r="C706">
        <v>247</v>
      </c>
      <c r="D706">
        <v>63</v>
      </c>
      <c r="E706" s="19">
        <v>209</v>
      </c>
    </row>
    <row r="707" spans="1:5" x14ac:dyDescent="0.3">
      <c r="A707" s="20" t="s">
        <v>1039</v>
      </c>
      <c r="B707" s="19">
        <v>3294</v>
      </c>
      <c r="C707">
        <v>1960</v>
      </c>
      <c r="D707">
        <v>232</v>
      </c>
      <c r="E707" s="19">
        <v>1102</v>
      </c>
    </row>
    <row r="708" spans="1:5" x14ac:dyDescent="0.3">
      <c r="A708" s="20" t="s">
        <v>1761</v>
      </c>
      <c r="B708" s="19">
        <v>755</v>
      </c>
      <c r="C708">
        <v>400</v>
      </c>
      <c r="D708">
        <v>60</v>
      </c>
      <c r="E708" s="19">
        <v>295</v>
      </c>
    </row>
    <row r="709" spans="1:5" x14ac:dyDescent="0.3">
      <c r="A709" s="20" t="s">
        <v>2020</v>
      </c>
      <c r="B709" s="19">
        <v>811</v>
      </c>
      <c r="C709">
        <v>273</v>
      </c>
      <c r="D709">
        <v>28</v>
      </c>
      <c r="E709" s="19">
        <v>510</v>
      </c>
    </row>
    <row r="710" spans="1:5" x14ac:dyDescent="0.3">
      <c r="A710" s="20" t="s">
        <v>2021</v>
      </c>
      <c r="B710" s="19">
        <v>262</v>
      </c>
      <c r="C710">
        <v>129</v>
      </c>
      <c r="D710">
        <v>23</v>
      </c>
      <c r="E710" s="19">
        <v>110</v>
      </c>
    </row>
    <row r="711" spans="1:5" x14ac:dyDescent="0.3">
      <c r="A711" s="20" t="s">
        <v>1762</v>
      </c>
      <c r="B711" s="19">
        <v>513</v>
      </c>
      <c r="C711">
        <v>146</v>
      </c>
      <c r="D711">
        <v>32</v>
      </c>
      <c r="E711" s="19">
        <v>335</v>
      </c>
    </row>
    <row r="712" spans="1:5" x14ac:dyDescent="0.3">
      <c r="A712" s="20" t="s">
        <v>1763</v>
      </c>
      <c r="B712" s="19">
        <v>727</v>
      </c>
      <c r="C712">
        <v>127</v>
      </c>
      <c r="D712">
        <v>78</v>
      </c>
      <c r="E712" s="19">
        <v>522</v>
      </c>
    </row>
    <row r="713" spans="1:5" x14ac:dyDescent="0.3">
      <c r="A713" s="20" t="s">
        <v>1152</v>
      </c>
      <c r="B713" s="19">
        <v>4783</v>
      </c>
      <c r="C713">
        <v>3073</v>
      </c>
      <c r="D713">
        <v>345</v>
      </c>
      <c r="E713" s="19">
        <v>1365</v>
      </c>
    </row>
    <row r="714" spans="1:5" x14ac:dyDescent="0.3">
      <c r="A714" s="20" t="s">
        <v>1239</v>
      </c>
      <c r="B714" s="19">
        <v>594</v>
      </c>
      <c r="C714">
        <v>216</v>
      </c>
      <c r="D714">
        <v>61</v>
      </c>
      <c r="E714" s="19">
        <v>317</v>
      </c>
    </row>
    <row r="715" spans="1:5" x14ac:dyDescent="0.3">
      <c r="A715" s="20" t="s">
        <v>1051</v>
      </c>
      <c r="B715" s="19">
        <v>235</v>
      </c>
      <c r="C715">
        <v>95</v>
      </c>
      <c r="D715">
        <v>46</v>
      </c>
      <c r="E715" s="19">
        <v>94</v>
      </c>
    </row>
    <row r="716" spans="1:5" x14ac:dyDescent="0.3">
      <c r="A716" s="20" t="s">
        <v>1165</v>
      </c>
      <c r="B716" s="19">
        <v>1548</v>
      </c>
      <c r="C716">
        <v>767</v>
      </c>
      <c r="D716">
        <v>91</v>
      </c>
      <c r="E716" s="19">
        <v>690</v>
      </c>
    </row>
    <row r="717" spans="1:5" x14ac:dyDescent="0.3">
      <c r="A717" s="20" t="s">
        <v>1764</v>
      </c>
      <c r="B717" s="19">
        <v>816</v>
      </c>
      <c r="C717">
        <v>324</v>
      </c>
      <c r="D717">
        <v>40</v>
      </c>
      <c r="E717" s="19">
        <v>452</v>
      </c>
    </row>
    <row r="718" spans="1:5" x14ac:dyDescent="0.3">
      <c r="A718" s="20" t="s">
        <v>1110</v>
      </c>
      <c r="B718" s="19">
        <v>2404</v>
      </c>
      <c r="C718">
        <v>1274</v>
      </c>
      <c r="D718">
        <v>170</v>
      </c>
      <c r="E718" s="19">
        <v>960</v>
      </c>
    </row>
    <row r="719" spans="1:5" x14ac:dyDescent="0.3">
      <c r="A719" s="20" t="s">
        <v>1765</v>
      </c>
      <c r="B719" s="19">
        <v>304</v>
      </c>
      <c r="C719">
        <v>181</v>
      </c>
      <c r="D719">
        <v>9</v>
      </c>
      <c r="E719" s="19">
        <v>114</v>
      </c>
    </row>
    <row r="720" spans="1:5" x14ac:dyDescent="0.3">
      <c r="A720" s="20" t="s">
        <v>1131</v>
      </c>
      <c r="B720" s="19">
        <v>469</v>
      </c>
      <c r="C720">
        <v>174</v>
      </c>
      <c r="D720">
        <v>45</v>
      </c>
      <c r="E720" s="19">
        <v>250</v>
      </c>
    </row>
    <row r="721" spans="1:5" x14ac:dyDescent="0.3">
      <c r="A721" s="20" t="s">
        <v>1766</v>
      </c>
      <c r="B721" s="19">
        <v>1303</v>
      </c>
      <c r="C721">
        <v>395</v>
      </c>
      <c r="D721">
        <v>146</v>
      </c>
      <c r="E721" s="19">
        <v>762</v>
      </c>
    </row>
    <row r="722" spans="1:5" x14ac:dyDescent="0.3">
      <c r="A722" s="20" t="s">
        <v>1767</v>
      </c>
      <c r="B722" s="19">
        <v>416</v>
      </c>
      <c r="C722">
        <v>149</v>
      </c>
      <c r="D722">
        <v>52</v>
      </c>
      <c r="E722" s="19">
        <v>215</v>
      </c>
    </row>
    <row r="723" spans="1:5" x14ac:dyDescent="0.3">
      <c r="A723" s="20" t="s">
        <v>1768</v>
      </c>
      <c r="B723" s="19">
        <v>1037</v>
      </c>
      <c r="C723">
        <v>355</v>
      </c>
      <c r="D723">
        <v>222</v>
      </c>
      <c r="E723" s="19">
        <v>460</v>
      </c>
    </row>
    <row r="724" spans="1:5" x14ac:dyDescent="0.3">
      <c r="A724" s="20" t="s">
        <v>1769</v>
      </c>
      <c r="B724" s="19">
        <v>693</v>
      </c>
      <c r="C724">
        <v>174</v>
      </c>
      <c r="D724">
        <v>79</v>
      </c>
      <c r="E724" s="19">
        <v>440</v>
      </c>
    </row>
    <row r="725" spans="1:5" x14ac:dyDescent="0.3">
      <c r="A725" s="20" t="s">
        <v>1394</v>
      </c>
      <c r="B725" s="19">
        <v>11064</v>
      </c>
      <c r="C725">
        <v>5334</v>
      </c>
      <c r="D725">
        <v>996</v>
      </c>
      <c r="E725" s="19">
        <v>4734</v>
      </c>
    </row>
    <row r="726" spans="1:5" x14ac:dyDescent="0.3">
      <c r="A726" s="20" t="s">
        <v>1770</v>
      </c>
      <c r="B726" s="19">
        <v>1390</v>
      </c>
      <c r="C726">
        <v>298</v>
      </c>
      <c r="D726">
        <v>153</v>
      </c>
      <c r="E726" s="19">
        <v>939</v>
      </c>
    </row>
    <row r="727" spans="1:5" x14ac:dyDescent="0.3">
      <c r="A727" s="20" t="s">
        <v>1771</v>
      </c>
      <c r="B727" s="19">
        <v>2290</v>
      </c>
      <c r="C727">
        <v>694</v>
      </c>
      <c r="D727">
        <v>378</v>
      </c>
      <c r="E727" s="19">
        <v>1218</v>
      </c>
    </row>
    <row r="728" spans="1:5" x14ac:dyDescent="0.3">
      <c r="A728" s="20" t="s">
        <v>1772</v>
      </c>
      <c r="B728" s="19">
        <v>951</v>
      </c>
      <c r="C728">
        <v>472</v>
      </c>
      <c r="D728">
        <v>62</v>
      </c>
      <c r="E728" s="19">
        <v>417</v>
      </c>
    </row>
    <row r="729" spans="1:5" x14ac:dyDescent="0.3">
      <c r="A729" s="20" t="s">
        <v>1292</v>
      </c>
      <c r="B729" s="19">
        <v>2389</v>
      </c>
      <c r="C729">
        <v>823</v>
      </c>
      <c r="D729">
        <v>329</v>
      </c>
      <c r="E729" s="19">
        <v>1237</v>
      </c>
    </row>
    <row r="730" spans="1:5" x14ac:dyDescent="0.3">
      <c r="A730" s="20" t="s">
        <v>1773</v>
      </c>
      <c r="B730" s="19">
        <v>3906</v>
      </c>
      <c r="C730">
        <v>734</v>
      </c>
      <c r="D730">
        <v>432</v>
      </c>
      <c r="E730" s="19">
        <v>2740</v>
      </c>
    </row>
    <row r="731" spans="1:5" x14ac:dyDescent="0.3">
      <c r="A731" s="20" t="s">
        <v>1348</v>
      </c>
      <c r="B731" s="19">
        <v>1754</v>
      </c>
      <c r="C731">
        <v>918</v>
      </c>
      <c r="D731">
        <v>129</v>
      </c>
      <c r="E731" s="19">
        <v>707</v>
      </c>
    </row>
    <row r="732" spans="1:5" x14ac:dyDescent="0.3">
      <c r="A732" s="20" t="s">
        <v>2022</v>
      </c>
      <c r="B732" s="19">
        <v>137</v>
      </c>
      <c r="C732">
        <v>54</v>
      </c>
      <c r="D732">
        <v>15</v>
      </c>
      <c r="E732" s="19">
        <v>68</v>
      </c>
    </row>
    <row r="733" spans="1:5" x14ac:dyDescent="0.3">
      <c r="A733" s="20" t="s">
        <v>2023</v>
      </c>
      <c r="B733" s="19">
        <v>472</v>
      </c>
      <c r="C733">
        <v>47</v>
      </c>
      <c r="D733">
        <v>69</v>
      </c>
      <c r="E733" s="19">
        <v>356</v>
      </c>
    </row>
    <row r="734" spans="1:5" x14ac:dyDescent="0.3">
      <c r="A734" s="20" t="s">
        <v>2024</v>
      </c>
      <c r="B734" s="19">
        <v>147</v>
      </c>
      <c r="C734">
        <v>49</v>
      </c>
      <c r="D734">
        <v>14</v>
      </c>
      <c r="E734" s="19">
        <v>84</v>
      </c>
    </row>
    <row r="735" spans="1:5" x14ac:dyDescent="0.3">
      <c r="A735" s="20" t="s">
        <v>2025</v>
      </c>
      <c r="B735" s="19">
        <v>321</v>
      </c>
      <c r="C735">
        <v>118</v>
      </c>
      <c r="D735">
        <v>30</v>
      </c>
      <c r="E735" s="19">
        <v>173</v>
      </c>
    </row>
    <row r="736" spans="1:5" x14ac:dyDescent="0.3">
      <c r="A736" s="20" t="s">
        <v>1465</v>
      </c>
      <c r="B736" s="19">
        <v>4258</v>
      </c>
      <c r="C736">
        <v>871</v>
      </c>
      <c r="D736">
        <v>331</v>
      </c>
      <c r="E736" s="19">
        <v>3056</v>
      </c>
    </row>
    <row r="737" spans="1:5" x14ac:dyDescent="0.3">
      <c r="A737" s="20" t="s">
        <v>1774</v>
      </c>
      <c r="B737" s="19">
        <v>991</v>
      </c>
      <c r="C737">
        <v>44</v>
      </c>
      <c r="D737">
        <v>231</v>
      </c>
      <c r="E737" s="19">
        <v>716</v>
      </c>
    </row>
    <row r="738" spans="1:5" x14ac:dyDescent="0.3">
      <c r="A738" s="20" t="s">
        <v>1775</v>
      </c>
      <c r="B738" s="19">
        <v>3837</v>
      </c>
      <c r="C738">
        <v>403</v>
      </c>
      <c r="D738">
        <v>381</v>
      </c>
      <c r="E738" s="19">
        <v>3053</v>
      </c>
    </row>
    <row r="739" spans="1:5" x14ac:dyDescent="0.3">
      <c r="A739" s="20" t="s">
        <v>1776</v>
      </c>
      <c r="B739" s="19">
        <v>2595</v>
      </c>
      <c r="C739">
        <v>263</v>
      </c>
      <c r="D739">
        <v>310</v>
      </c>
      <c r="E739" s="19">
        <v>2022</v>
      </c>
    </row>
    <row r="740" spans="1:5" x14ac:dyDescent="0.3">
      <c r="A740" s="20" t="s">
        <v>1777</v>
      </c>
      <c r="B740" s="19">
        <v>2038</v>
      </c>
      <c r="C740">
        <v>249</v>
      </c>
      <c r="D740">
        <v>165</v>
      </c>
      <c r="E740" s="19">
        <v>1624</v>
      </c>
    </row>
    <row r="741" spans="1:5" x14ac:dyDescent="0.3">
      <c r="A741" s="20" t="s">
        <v>1778</v>
      </c>
      <c r="B741" s="19">
        <v>1698</v>
      </c>
      <c r="C741">
        <v>540</v>
      </c>
      <c r="D741">
        <v>184</v>
      </c>
      <c r="E741" s="19">
        <v>974</v>
      </c>
    </row>
    <row r="742" spans="1:5" x14ac:dyDescent="0.3">
      <c r="A742" s="20" t="s">
        <v>2026</v>
      </c>
      <c r="B742" s="19">
        <v>1167</v>
      </c>
      <c r="C742">
        <v>109</v>
      </c>
      <c r="D742">
        <v>298</v>
      </c>
      <c r="E742" s="19">
        <v>760</v>
      </c>
    </row>
    <row r="743" spans="1:5" x14ac:dyDescent="0.3">
      <c r="A743" s="20" t="s">
        <v>1779</v>
      </c>
      <c r="B743" s="19">
        <v>1582</v>
      </c>
      <c r="C743">
        <v>351</v>
      </c>
      <c r="D743">
        <v>299</v>
      </c>
      <c r="E743" s="19">
        <v>932</v>
      </c>
    </row>
    <row r="744" spans="1:5" x14ac:dyDescent="0.3">
      <c r="A744" s="20" t="s">
        <v>1060</v>
      </c>
      <c r="B744" s="19">
        <v>1454</v>
      </c>
      <c r="C744">
        <v>493</v>
      </c>
      <c r="D744">
        <v>158</v>
      </c>
      <c r="E744" s="19">
        <v>803</v>
      </c>
    </row>
    <row r="745" spans="1:5" x14ac:dyDescent="0.3">
      <c r="A745" s="20" t="s">
        <v>1780</v>
      </c>
      <c r="B745" s="19">
        <v>3094</v>
      </c>
      <c r="C745">
        <v>822</v>
      </c>
      <c r="D745">
        <v>164</v>
      </c>
      <c r="E745" s="19">
        <v>2108</v>
      </c>
    </row>
    <row r="746" spans="1:5" x14ac:dyDescent="0.3">
      <c r="A746" s="20" t="s">
        <v>1781</v>
      </c>
      <c r="B746" s="19">
        <v>2068</v>
      </c>
      <c r="C746">
        <v>564</v>
      </c>
      <c r="D746">
        <v>350</v>
      </c>
      <c r="E746" s="19">
        <v>1154</v>
      </c>
    </row>
    <row r="747" spans="1:5" x14ac:dyDescent="0.3">
      <c r="A747" s="20" t="s">
        <v>1265</v>
      </c>
      <c r="B747" s="19">
        <v>28268</v>
      </c>
      <c r="C747">
        <v>15493</v>
      </c>
      <c r="D747">
        <v>3148</v>
      </c>
      <c r="E747" s="19">
        <v>9627</v>
      </c>
    </row>
    <row r="748" spans="1:5" x14ac:dyDescent="0.3">
      <c r="A748" s="20" t="s">
        <v>1782</v>
      </c>
      <c r="B748" s="19">
        <v>4512</v>
      </c>
      <c r="C748">
        <v>1360</v>
      </c>
      <c r="D748">
        <v>766</v>
      </c>
      <c r="E748" s="19">
        <v>2386</v>
      </c>
    </row>
    <row r="749" spans="1:5" x14ac:dyDescent="0.3">
      <c r="A749" s="20" t="s">
        <v>1783</v>
      </c>
      <c r="B749" s="19">
        <v>5055</v>
      </c>
      <c r="C749">
        <v>1840</v>
      </c>
      <c r="D749">
        <v>389</v>
      </c>
      <c r="E749" s="19">
        <v>2826</v>
      </c>
    </row>
    <row r="750" spans="1:5" x14ac:dyDescent="0.3">
      <c r="A750" s="20" t="s">
        <v>1784</v>
      </c>
      <c r="B750" s="19">
        <v>1415</v>
      </c>
      <c r="C750">
        <v>548</v>
      </c>
      <c r="D750">
        <v>247</v>
      </c>
      <c r="E750" s="19">
        <v>620</v>
      </c>
    </row>
    <row r="751" spans="1:5" x14ac:dyDescent="0.3">
      <c r="A751" s="20" t="s">
        <v>1242</v>
      </c>
      <c r="B751" s="19">
        <v>3137</v>
      </c>
      <c r="C751">
        <v>842</v>
      </c>
      <c r="D751">
        <v>419</v>
      </c>
      <c r="E751" s="19">
        <v>1876</v>
      </c>
    </row>
    <row r="752" spans="1:5" x14ac:dyDescent="0.3">
      <c r="A752" s="20" t="s">
        <v>1424</v>
      </c>
      <c r="B752" s="19">
        <v>4758</v>
      </c>
      <c r="C752">
        <v>1862</v>
      </c>
      <c r="D752">
        <v>635</v>
      </c>
      <c r="E752" s="19">
        <v>2261</v>
      </c>
    </row>
    <row r="753" spans="1:5" x14ac:dyDescent="0.3">
      <c r="A753" s="20" t="s">
        <v>1785</v>
      </c>
      <c r="B753" s="19">
        <v>2221</v>
      </c>
      <c r="C753">
        <v>719</v>
      </c>
      <c r="D753">
        <v>438</v>
      </c>
      <c r="E753" s="19">
        <v>1064</v>
      </c>
    </row>
    <row r="754" spans="1:5" x14ac:dyDescent="0.3">
      <c r="A754" s="20" t="s">
        <v>1786</v>
      </c>
      <c r="B754" s="19">
        <v>4688</v>
      </c>
      <c r="C754">
        <v>1755</v>
      </c>
      <c r="D754">
        <v>459</v>
      </c>
      <c r="E754" s="19">
        <v>2474</v>
      </c>
    </row>
    <row r="755" spans="1:5" x14ac:dyDescent="0.3">
      <c r="A755" s="20" t="s">
        <v>1367</v>
      </c>
      <c r="B755" s="19">
        <v>10491</v>
      </c>
      <c r="C755">
        <v>4263</v>
      </c>
      <c r="D755">
        <v>1288</v>
      </c>
      <c r="E755" s="19">
        <v>4940</v>
      </c>
    </row>
    <row r="756" spans="1:5" x14ac:dyDescent="0.3">
      <c r="A756" s="20" t="s">
        <v>1787</v>
      </c>
      <c r="B756" s="19">
        <v>4559</v>
      </c>
      <c r="C756">
        <v>1408</v>
      </c>
      <c r="D756">
        <v>648</v>
      </c>
      <c r="E756" s="19">
        <v>2503</v>
      </c>
    </row>
    <row r="757" spans="1:5" x14ac:dyDescent="0.3">
      <c r="A757" s="20" t="s">
        <v>2027</v>
      </c>
      <c r="B757" s="19">
        <v>3481</v>
      </c>
      <c r="C757">
        <v>827</v>
      </c>
      <c r="D757">
        <v>479</v>
      </c>
      <c r="E757" s="19">
        <v>2175</v>
      </c>
    </row>
    <row r="758" spans="1:5" x14ac:dyDescent="0.3">
      <c r="A758" s="20" t="s">
        <v>1788</v>
      </c>
      <c r="B758" s="19">
        <v>1737</v>
      </c>
      <c r="C758">
        <v>740</v>
      </c>
      <c r="D758">
        <v>170</v>
      </c>
      <c r="E758" s="19">
        <v>827</v>
      </c>
    </row>
    <row r="759" spans="1:5" x14ac:dyDescent="0.3">
      <c r="A759" s="20" t="s">
        <v>1084</v>
      </c>
      <c r="B759" s="19">
        <v>4166</v>
      </c>
      <c r="C759">
        <v>2323</v>
      </c>
      <c r="D759">
        <v>500</v>
      </c>
      <c r="E759" s="19">
        <v>1343</v>
      </c>
    </row>
    <row r="760" spans="1:5" x14ac:dyDescent="0.3">
      <c r="A760" s="20" t="s">
        <v>1398</v>
      </c>
      <c r="B760" s="19">
        <v>392</v>
      </c>
      <c r="C760">
        <v>219</v>
      </c>
      <c r="D760">
        <v>47</v>
      </c>
      <c r="E760" s="19">
        <v>126</v>
      </c>
    </row>
    <row r="761" spans="1:5" x14ac:dyDescent="0.3">
      <c r="A761" s="20" t="s">
        <v>1102</v>
      </c>
      <c r="B761" s="19">
        <v>132</v>
      </c>
      <c r="C761">
        <v>75</v>
      </c>
      <c r="D761">
        <v>18</v>
      </c>
      <c r="E761" s="19">
        <v>39</v>
      </c>
    </row>
    <row r="762" spans="1:5" x14ac:dyDescent="0.3">
      <c r="A762" s="20" t="s">
        <v>1789</v>
      </c>
      <c r="B762" s="19">
        <v>535</v>
      </c>
      <c r="C762">
        <v>296</v>
      </c>
      <c r="D762">
        <v>34</v>
      </c>
      <c r="E762" s="19">
        <v>205</v>
      </c>
    </row>
    <row r="763" spans="1:5" x14ac:dyDescent="0.3">
      <c r="A763" s="20" t="s">
        <v>1435</v>
      </c>
      <c r="B763" s="19">
        <v>1197</v>
      </c>
      <c r="C763">
        <v>675</v>
      </c>
      <c r="D763">
        <v>152</v>
      </c>
      <c r="E763" s="19">
        <v>370</v>
      </c>
    </row>
    <row r="764" spans="1:5" x14ac:dyDescent="0.3">
      <c r="A764" s="20" t="s">
        <v>1790</v>
      </c>
      <c r="B764" s="19">
        <v>469</v>
      </c>
      <c r="C764">
        <v>294</v>
      </c>
      <c r="D764">
        <v>29</v>
      </c>
      <c r="E764" s="19">
        <v>146</v>
      </c>
    </row>
    <row r="765" spans="1:5" x14ac:dyDescent="0.3">
      <c r="A765" s="20" t="s">
        <v>1159</v>
      </c>
      <c r="B765" s="19">
        <v>1708</v>
      </c>
      <c r="C765">
        <v>1036</v>
      </c>
      <c r="D765">
        <v>69</v>
      </c>
      <c r="E765" s="19">
        <v>603</v>
      </c>
    </row>
    <row r="766" spans="1:5" x14ac:dyDescent="0.3">
      <c r="A766" s="20" t="s">
        <v>1791</v>
      </c>
      <c r="B766" s="19">
        <v>331</v>
      </c>
      <c r="C766">
        <v>209</v>
      </c>
      <c r="D766">
        <v>30</v>
      </c>
      <c r="E766" s="19">
        <v>92</v>
      </c>
    </row>
    <row r="767" spans="1:5" x14ac:dyDescent="0.3">
      <c r="A767" s="20" t="s">
        <v>2028</v>
      </c>
      <c r="B767" s="19">
        <v>383</v>
      </c>
      <c r="C767">
        <v>221</v>
      </c>
      <c r="D767">
        <v>23</v>
      </c>
      <c r="E767" s="19">
        <v>139</v>
      </c>
    </row>
    <row r="768" spans="1:5" x14ac:dyDescent="0.3">
      <c r="A768" s="20" t="s">
        <v>1792</v>
      </c>
      <c r="B768" s="19">
        <v>490</v>
      </c>
      <c r="C768">
        <v>283</v>
      </c>
      <c r="D768">
        <v>45</v>
      </c>
      <c r="E768" s="19">
        <v>162</v>
      </c>
    </row>
    <row r="769" spans="1:5" x14ac:dyDescent="0.3">
      <c r="A769" s="20" t="s">
        <v>1105</v>
      </c>
      <c r="B769" s="19">
        <v>1857</v>
      </c>
      <c r="C769">
        <v>1085</v>
      </c>
      <c r="D769">
        <v>233</v>
      </c>
      <c r="E769" s="19">
        <v>539</v>
      </c>
    </row>
    <row r="770" spans="1:5" x14ac:dyDescent="0.3">
      <c r="A770" s="20" t="s">
        <v>1793</v>
      </c>
      <c r="B770" s="19">
        <v>94</v>
      </c>
      <c r="C770">
        <v>41</v>
      </c>
      <c r="D770">
        <v>19</v>
      </c>
      <c r="E770" s="19">
        <v>34</v>
      </c>
    </row>
    <row r="771" spans="1:5" x14ac:dyDescent="0.3">
      <c r="A771" s="20" t="s">
        <v>1281</v>
      </c>
      <c r="B771" s="19">
        <v>3178</v>
      </c>
      <c r="C771">
        <v>1606</v>
      </c>
      <c r="D771">
        <v>254</v>
      </c>
      <c r="E771" s="19">
        <v>1318</v>
      </c>
    </row>
    <row r="772" spans="1:5" x14ac:dyDescent="0.3">
      <c r="A772" s="20" t="s">
        <v>1267</v>
      </c>
      <c r="B772" s="19">
        <v>29120</v>
      </c>
      <c r="C772">
        <v>17133</v>
      </c>
      <c r="D772">
        <v>2220</v>
      </c>
      <c r="E772" s="19">
        <v>9767</v>
      </c>
    </row>
    <row r="773" spans="1:5" x14ac:dyDescent="0.3">
      <c r="A773" s="20" t="s">
        <v>1794</v>
      </c>
      <c r="B773" s="19">
        <v>1555</v>
      </c>
      <c r="C773">
        <v>349</v>
      </c>
      <c r="D773">
        <v>251</v>
      </c>
      <c r="E773" s="19">
        <v>955</v>
      </c>
    </row>
    <row r="774" spans="1:5" x14ac:dyDescent="0.3">
      <c r="A774" s="20" t="s">
        <v>1795</v>
      </c>
      <c r="B774" s="19">
        <v>940</v>
      </c>
      <c r="C774">
        <v>537</v>
      </c>
      <c r="D774">
        <v>32</v>
      </c>
      <c r="E774" s="19">
        <v>371</v>
      </c>
    </row>
    <row r="775" spans="1:5" x14ac:dyDescent="0.3">
      <c r="A775" s="20" t="s">
        <v>1796</v>
      </c>
      <c r="B775" s="19">
        <v>1207</v>
      </c>
      <c r="C775">
        <v>645</v>
      </c>
      <c r="D775">
        <v>127</v>
      </c>
      <c r="E775" s="19">
        <v>435</v>
      </c>
    </row>
    <row r="776" spans="1:5" x14ac:dyDescent="0.3">
      <c r="A776" s="20" t="s">
        <v>2056</v>
      </c>
      <c r="B776" s="19">
        <v>2385</v>
      </c>
      <c r="C776">
        <v>820</v>
      </c>
      <c r="D776">
        <v>89</v>
      </c>
      <c r="E776" s="19">
        <v>1476</v>
      </c>
    </row>
    <row r="777" spans="1:5" x14ac:dyDescent="0.3">
      <c r="A777" s="20" t="s">
        <v>1797</v>
      </c>
      <c r="B777" s="19">
        <v>207</v>
      </c>
      <c r="C777">
        <v>93</v>
      </c>
      <c r="D777">
        <v>43</v>
      </c>
      <c r="E777" s="19">
        <v>71</v>
      </c>
    </row>
    <row r="778" spans="1:5" x14ac:dyDescent="0.3">
      <c r="A778" s="20" t="s">
        <v>1798</v>
      </c>
      <c r="B778" s="19">
        <v>221</v>
      </c>
      <c r="C778">
        <v>17</v>
      </c>
      <c r="E778" s="19">
        <v>204</v>
      </c>
    </row>
    <row r="779" spans="1:5" x14ac:dyDescent="0.3">
      <c r="A779" s="20" t="s">
        <v>2029</v>
      </c>
      <c r="B779" s="19">
        <v>514</v>
      </c>
      <c r="C779">
        <v>171</v>
      </c>
      <c r="D779">
        <v>72</v>
      </c>
      <c r="E779" s="19">
        <v>271</v>
      </c>
    </row>
    <row r="780" spans="1:5" x14ac:dyDescent="0.3">
      <c r="A780" s="20" t="s">
        <v>1799</v>
      </c>
      <c r="B780" s="19">
        <v>2022</v>
      </c>
      <c r="C780">
        <v>281</v>
      </c>
      <c r="D780">
        <v>50</v>
      </c>
      <c r="E780" s="19">
        <v>1691</v>
      </c>
    </row>
    <row r="781" spans="1:5" x14ac:dyDescent="0.3">
      <c r="A781" s="20" t="s">
        <v>1800</v>
      </c>
      <c r="B781" s="19">
        <v>4266</v>
      </c>
      <c r="C781">
        <v>1114</v>
      </c>
      <c r="D781">
        <v>393</v>
      </c>
      <c r="E781" s="19">
        <v>2759</v>
      </c>
    </row>
    <row r="782" spans="1:5" x14ac:dyDescent="0.3">
      <c r="A782" s="20" t="s">
        <v>1268</v>
      </c>
      <c r="B782" s="19">
        <v>9928</v>
      </c>
      <c r="C782">
        <v>5373</v>
      </c>
      <c r="D782">
        <v>927</v>
      </c>
      <c r="E782" s="19">
        <v>3628</v>
      </c>
    </row>
    <row r="783" spans="1:5" x14ac:dyDescent="0.3">
      <c r="A783" s="20" t="s">
        <v>1801</v>
      </c>
      <c r="B783" s="19">
        <v>831</v>
      </c>
      <c r="C783">
        <v>569</v>
      </c>
      <c r="D783">
        <v>14</v>
      </c>
      <c r="E783" s="19">
        <v>248</v>
      </c>
    </row>
    <row r="784" spans="1:5" x14ac:dyDescent="0.3">
      <c r="A784" s="20" t="s">
        <v>1802</v>
      </c>
      <c r="B784" s="19">
        <v>1740</v>
      </c>
      <c r="C784">
        <v>948</v>
      </c>
      <c r="D784">
        <v>191</v>
      </c>
      <c r="E784" s="19">
        <v>601</v>
      </c>
    </row>
    <row r="785" spans="1:5" x14ac:dyDescent="0.3">
      <c r="A785" s="20" t="s">
        <v>1803</v>
      </c>
      <c r="B785" s="19">
        <v>932</v>
      </c>
      <c r="C785">
        <v>493</v>
      </c>
      <c r="D785">
        <v>96</v>
      </c>
      <c r="E785" s="19">
        <v>343</v>
      </c>
    </row>
    <row r="786" spans="1:5" x14ac:dyDescent="0.3">
      <c r="A786" s="20" t="s">
        <v>1212</v>
      </c>
      <c r="B786" s="19">
        <v>1479</v>
      </c>
      <c r="C786">
        <v>786</v>
      </c>
      <c r="D786">
        <v>145</v>
      </c>
      <c r="E786" s="19">
        <v>548</v>
      </c>
    </row>
    <row r="787" spans="1:5" x14ac:dyDescent="0.3">
      <c r="A787" s="20" t="s">
        <v>1804</v>
      </c>
      <c r="B787" s="19">
        <v>2341</v>
      </c>
      <c r="C787">
        <v>929</v>
      </c>
      <c r="D787">
        <v>389</v>
      </c>
      <c r="E787" s="19">
        <v>1023</v>
      </c>
    </row>
    <row r="788" spans="1:5" x14ac:dyDescent="0.3">
      <c r="A788" s="20" t="s">
        <v>1189</v>
      </c>
      <c r="B788" s="19">
        <v>6458</v>
      </c>
      <c r="C788">
        <v>3330</v>
      </c>
      <c r="D788">
        <v>765</v>
      </c>
      <c r="E788" s="19">
        <v>2363</v>
      </c>
    </row>
    <row r="789" spans="1:5" x14ac:dyDescent="0.3">
      <c r="A789" s="20" t="s">
        <v>1128</v>
      </c>
      <c r="B789" s="19">
        <v>2592</v>
      </c>
      <c r="C789">
        <v>1312</v>
      </c>
      <c r="D789">
        <v>205</v>
      </c>
      <c r="E789" s="19">
        <v>1075</v>
      </c>
    </row>
    <row r="790" spans="1:5" x14ac:dyDescent="0.3">
      <c r="A790" s="20" t="s">
        <v>2030</v>
      </c>
      <c r="B790" s="19">
        <v>618</v>
      </c>
      <c r="C790">
        <v>394</v>
      </c>
      <c r="D790">
        <v>16</v>
      </c>
      <c r="E790" s="19">
        <v>208</v>
      </c>
    </row>
    <row r="791" spans="1:5" x14ac:dyDescent="0.3">
      <c r="A791" s="20" t="s">
        <v>1213</v>
      </c>
      <c r="B791" s="19">
        <v>3440</v>
      </c>
      <c r="C791">
        <v>950</v>
      </c>
      <c r="D791">
        <v>341</v>
      </c>
      <c r="E791" s="19">
        <v>2149</v>
      </c>
    </row>
    <row r="792" spans="1:5" x14ac:dyDescent="0.3">
      <c r="A792" s="20" t="s">
        <v>1805</v>
      </c>
      <c r="B792" s="19">
        <v>2075</v>
      </c>
      <c r="C792">
        <v>381</v>
      </c>
      <c r="D792">
        <v>321</v>
      </c>
      <c r="E792" s="19">
        <v>1373</v>
      </c>
    </row>
    <row r="793" spans="1:5" x14ac:dyDescent="0.3">
      <c r="A793" s="20" t="s">
        <v>1443</v>
      </c>
      <c r="B793" s="19">
        <v>1407751</v>
      </c>
      <c r="C793">
        <v>852087</v>
      </c>
      <c r="D793">
        <v>108164</v>
      </c>
      <c r="E793" s="19">
        <v>447500</v>
      </c>
    </row>
    <row r="794" spans="1:5" x14ac:dyDescent="0.3">
      <c r="A794" s="20" t="s">
        <v>1263</v>
      </c>
      <c r="B794" s="19">
        <v>27659</v>
      </c>
      <c r="C794">
        <v>16865</v>
      </c>
      <c r="D794">
        <v>1853</v>
      </c>
      <c r="E794" s="19">
        <v>8941</v>
      </c>
    </row>
    <row r="795" spans="1:5" x14ac:dyDescent="0.3">
      <c r="A795" s="20" t="s">
        <v>1405</v>
      </c>
      <c r="B795" s="19">
        <v>33351</v>
      </c>
      <c r="C795">
        <v>18806</v>
      </c>
      <c r="D795">
        <v>2448</v>
      </c>
      <c r="E795" s="19">
        <v>12097</v>
      </c>
    </row>
    <row r="796" spans="1:5" x14ac:dyDescent="0.3">
      <c r="A796" s="20" t="s">
        <v>1806</v>
      </c>
      <c r="B796" s="19">
        <v>1170</v>
      </c>
      <c r="C796">
        <v>654</v>
      </c>
      <c r="D796">
        <v>64</v>
      </c>
      <c r="E796" s="19">
        <v>452</v>
      </c>
    </row>
    <row r="797" spans="1:5" x14ac:dyDescent="0.3">
      <c r="A797" s="20" t="s">
        <v>1311</v>
      </c>
      <c r="B797" s="19">
        <v>3861</v>
      </c>
      <c r="C797">
        <v>2165</v>
      </c>
      <c r="D797">
        <v>286</v>
      </c>
      <c r="E797" s="19">
        <v>1410</v>
      </c>
    </row>
    <row r="798" spans="1:5" x14ac:dyDescent="0.3">
      <c r="A798" s="20" t="s">
        <v>1274</v>
      </c>
      <c r="B798" s="19">
        <v>192498</v>
      </c>
      <c r="C798">
        <v>116424</v>
      </c>
      <c r="D798">
        <v>16576</v>
      </c>
      <c r="E798" s="19">
        <v>59498</v>
      </c>
    </row>
    <row r="799" spans="1:5" x14ac:dyDescent="0.3">
      <c r="A799" s="20" t="s">
        <v>1251</v>
      </c>
      <c r="B799" s="19">
        <v>102566</v>
      </c>
      <c r="C799">
        <v>64189</v>
      </c>
      <c r="D799">
        <v>6113</v>
      </c>
      <c r="E799" s="19">
        <v>32264</v>
      </c>
    </row>
    <row r="800" spans="1:5" x14ac:dyDescent="0.3">
      <c r="A800" s="20" t="s">
        <v>1302</v>
      </c>
      <c r="B800" s="19">
        <v>34514</v>
      </c>
      <c r="C800">
        <v>22401</v>
      </c>
      <c r="D800">
        <v>1311</v>
      </c>
      <c r="E800" s="19">
        <v>10802</v>
      </c>
    </row>
    <row r="801" spans="1:5" x14ac:dyDescent="0.3">
      <c r="A801" s="20" t="s">
        <v>2031</v>
      </c>
      <c r="B801" s="19">
        <v>474</v>
      </c>
      <c r="C801">
        <v>248</v>
      </c>
      <c r="D801">
        <v>22</v>
      </c>
      <c r="E801" s="19">
        <v>204</v>
      </c>
    </row>
    <row r="802" spans="1:5" x14ac:dyDescent="0.3">
      <c r="A802" s="20" t="s">
        <v>1114</v>
      </c>
      <c r="B802" s="19">
        <v>8699</v>
      </c>
      <c r="C802">
        <v>5090</v>
      </c>
      <c r="D802">
        <v>719</v>
      </c>
      <c r="E802" s="19">
        <v>2890</v>
      </c>
    </row>
    <row r="803" spans="1:5" x14ac:dyDescent="0.3">
      <c r="A803" s="20" t="s">
        <v>1103</v>
      </c>
      <c r="B803" s="19">
        <v>13980</v>
      </c>
      <c r="C803">
        <v>8282</v>
      </c>
      <c r="D803">
        <v>968</v>
      </c>
      <c r="E803" s="19">
        <v>4730</v>
      </c>
    </row>
    <row r="804" spans="1:5" x14ac:dyDescent="0.3">
      <c r="A804" s="20" t="s">
        <v>1807</v>
      </c>
      <c r="B804" s="19">
        <v>1312</v>
      </c>
      <c r="C804">
        <v>653</v>
      </c>
      <c r="D804">
        <v>84</v>
      </c>
      <c r="E804" s="19">
        <v>575</v>
      </c>
    </row>
    <row r="805" spans="1:5" x14ac:dyDescent="0.3">
      <c r="A805" s="20" t="s">
        <v>1250</v>
      </c>
      <c r="B805" s="19">
        <v>3320</v>
      </c>
      <c r="C805">
        <v>1909</v>
      </c>
      <c r="D805">
        <v>251</v>
      </c>
      <c r="E805" s="19">
        <v>1160</v>
      </c>
    </row>
    <row r="806" spans="1:5" x14ac:dyDescent="0.3">
      <c r="A806" s="20" t="s">
        <v>1067</v>
      </c>
      <c r="B806" s="19">
        <v>15836</v>
      </c>
      <c r="C806">
        <v>9451</v>
      </c>
      <c r="D806">
        <v>1029</v>
      </c>
      <c r="E806" s="19">
        <v>5356</v>
      </c>
    </row>
    <row r="807" spans="1:5" x14ac:dyDescent="0.3">
      <c r="A807" s="20" t="s">
        <v>1333</v>
      </c>
      <c r="B807" s="19">
        <v>8786</v>
      </c>
      <c r="C807">
        <v>4852</v>
      </c>
      <c r="D807">
        <v>756</v>
      </c>
      <c r="E807" s="19">
        <v>3178</v>
      </c>
    </row>
    <row r="808" spans="1:5" x14ac:dyDescent="0.3">
      <c r="A808" s="20" t="s">
        <v>1072</v>
      </c>
      <c r="B808" s="19">
        <v>11435</v>
      </c>
      <c r="C808">
        <v>6635</v>
      </c>
      <c r="D808">
        <v>1233</v>
      </c>
      <c r="E808" s="19">
        <v>3567</v>
      </c>
    </row>
    <row r="809" spans="1:5" x14ac:dyDescent="0.3">
      <c r="A809" s="20" t="s">
        <v>1808</v>
      </c>
      <c r="B809" s="19">
        <v>1499</v>
      </c>
      <c r="C809">
        <v>851</v>
      </c>
      <c r="D809">
        <v>132</v>
      </c>
      <c r="E809" s="19">
        <v>516</v>
      </c>
    </row>
    <row r="810" spans="1:5" x14ac:dyDescent="0.3">
      <c r="A810" s="20" t="s">
        <v>1809</v>
      </c>
      <c r="B810" s="19">
        <v>2271</v>
      </c>
      <c r="C810">
        <v>1183</v>
      </c>
      <c r="D810">
        <v>255</v>
      </c>
      <c r="E810" s="19">
        <v>833</v>
      </c>
    </row>
    <row r="811" spans="1:5" x14ac:dyDescent="0.3">
      <c r="A811" s="20" t="s">
        <v>1810</v>
      </c>
      <c r="B811" s="19">
        <v>2127</v>
      </c>
      <c r="C811">
        <v>1173</v>
      </c>
      <c r="D811">
        <v>219</v>
      </c>
      <c r="E811" s="19">
        <v>735</v>
      </c>
    </row>
    <row r="812" spans="1:5" x14ac:dyDescent="0.3">
      <c r="A812" s="20" t="s">
        <v>1155</v>
      </c>
      <c r="B812" s="19">
        <v>17686</v>
      </c>
      <c r="C812">
        <v>11713</v>
      </c>
      <c r="D812">
        <v>687</v>
      </c>
      <c r="E812" s="19">
        <v>5286</v>
      </c>
    </row>
    <row r="813" spans="1:5" x14ac:dyDescent="0.3">
      <c r="A813" s="20" t="s">
        <v>1286</v>
      </c>
      <c r="B813" s="19">
        <v>2219</v>
      </c>
      <c r="C813">
        <v>1111</v>
      </c>
      <c r="D813">
        <v>178</v>
      </c>
      <c r="E813" s="19">
        <v>930</v>
      </c>
    </row>
    <row r="814" spans="1:5" x14ac:dyDescent="0.3">
      <c r="A814" s="20" t="s">
        <v>1811</v>
      </c>
      <c r="B814" s="19">
        <v>2932</v>
      </c>
      <c r="C814">
        <v>1717</v>
      </c>
      <c r="D814">
        <v>74</v>
      </c>
      <c r="E814" s="19">
        <v>1141</v>
      </c>
    </row>
    <row r="815" spans="1:5" x14ac:dyDescent="0.3">
      <c r="A815" s="20" t="s">
        <v>1812</v>
      </c>
      <c r="B815" s="19">
        <v>584</v>
      </c>
      <c r="C815">
        <v>326</v>
      </c>
      <c r="D815">
        <v>13</v>
      </c>
      <c r="E815" s="19">
        <v>245</v>
      </c>
    </row>
    <row r="816" spans="1:5" x14ac:dyDescent="0.3">
      <c r="A816" s="20" t="s">
        <v>1373</v>
      </c>
      <c r="B816" s="19">
        <v>17192</v>
      </c>
      <c r="C816">
        <v>10723</v>
      </c>
      <c r="D816">
        <v>1430</v>
      </c>
      <c r="E816" s="19">
        <v>5039</v>
      </c>
    </row>
    <row r="817" spans="1:5" x14ac:dyDescent="0.3">
      <c r="A817" s="20" t="s">
        <v>1401</v>
      </c>
      <c r="B817" s="19">
        <v>17375</v>
      </c>
      <c r="C817">
        <v>9218</v>
      </c>
      <c r="D817">
        <v>1643</v>
      </c>
      <c r="E817" s="19">
        <v>6514</v>
      </c>
    </row>
    <row r="818" spans="1:5" x14ac:dyDescent="0.3">
      <c r="A818" s="20" t="s">
        <v>1187</v>
      </c>
      <c r="B818" s="19">
        <v>29250</v>
      </c>
      <c r="C818">
        <v>18403</v>
      </c>
      <c r="D818">
        <v>1757</v>
      </c>
      <c r="E818" s="19">
        <v>9090</v>
      </c>
    </row>
    <row r="819" spans="1:5" x14ac:dyDescent="0.3">
      <c r="A819" s="20" t="s">
        <v>1112</v>
      </c>
      <c r="B819" s="19">
        <v>4060</v>
      </c>
      <c r="C819">
        <v>2309</v>
      </c>
      <c r="D819">
        <v>222</v>
      </c>
      <c r="E819" s="19">
        <v>1529</v>
      </c>
    </row>
    <row r="820" spans="1:5" x14ac:dyDescent="0.3">
      <c r="A820" s="20" t="s">
        <v>1181</v>
      </c>
      <c r="B820" s="19">
        <v>13729</v>
      </c>
      <c r="C820">
        <v>8983</v>
      </c>
      <c r="D820">
        <v>990</v>
      </c>
      <c r="E820" s="19">
        <v>3756</v>
      </c>
    </row>
    <row r="821" spans="1:5" x14ac:dyDescent="0.3">
      <c r="A821" s="20" t="s">
        <v>1214</v>
      </c>
      <c r="B821" s="19">
        <v>38383</v>
      </c>
      <c r="C821">
        <v>22740</v>
      </c>
      <c r="D821">
        <v>3074</v>
      </c>
      <c r="E821" s="19">
        <v>12569</v>
      </c>
    </row>
    <row r="822" spans="1:5" x14ac:dyDescent="0.3">
      <c r="A822" s="20" t="s">
        <v>1813</v>
      </c>
      <c r="B822" s="19">
        <v>4341</v>
      </c>
      <c r="C822">
        <v>2313</v>
      </c>
      <c r="D822">
        <v>194</v>
      </c>
      <c r="E822" s="19">
        <v>1834</v>
      </c>
    </row>
    <row r="823" spans="1:5" x14ac:dyDescent="0.3">
      <c r="A823" s="20" t="s">
        <v>1136</v>
      </c>
      <c r="B823" s="19">
        <v>3024</v>
      </c>
      <c r="C823">
        <v>1900</v>
      </c>
      <c r="D823">
        <v>226</v>
      </c>
      <c r="E823" s="19">
        <v>898</v>
      </c>
    </row>
    <row r="824" spans="1:5" x14ac:dyDescent="0.3">
      <c r="A824" s="20" t="s">
        <v>1317</v>
      </c>
      <c r="B824" s="19">
        <v>61509</v>
      </c>
      <c r="C824">
        <v>39361</v>
      </c>
      <c r="D824">
        <v>3614</v>
      </c>
      <c r="E824" s="19">
        <v>18534</v>
      </c>
    </row>
    <row r="825" spans="1:5" x14ac:dyDescent="0.3">
      <c r="A825" s="20" t="s">
        <v>1332</v>
      </c>
      <c r="B825" s="19">
        <v>20037</v>
      </c>
      <c r="C825">
        <v>11868</v>
      </c>
      <c r="D825">
        <v>1636</v>
      </c>
      <c r="E825" s="19">
        <v>6533</v>
      </c>
    </row>
    <row r="826" spans="1:5" x14ac:dyDescent="0.3">
      <c r="A826" s="20" t="s">
        <v>1083</v>
      </c>
      <c r="B826" s="19">
        <v>4761</v>
      </c>
      <c r="C826">
        <v>2942</v>
      </c>
      <c r="D826">
        <v>269</v>
      </c>
      <c r="E826" s="19">
        <v>1550</v>
      </c>
    </row>
    <row r="827" spans="1:5" x14ac:dyDescent="0.3">
      <c r="A827" s="20" t="s">
        <v>1363</v>
      </c>
      <c r="B827" s="19">
        <v>37329</v>
      </c>
      <c r="C827">
        <v>24027</v>
      </c>
      <c r="D827">
        <v>1767</v>
      </c>
      <c r="E827" s="19">
        <v>11535</v>
      </c>
    </row>
    <row r="828" spans="1:5" x14ac:dyDescent="0.3">
      <c r="A828" s="20" t="s">
        <v>1814</v>
      </c>
      <c r="B828" s="19">
        <v>5850</v>
      </c>
      <c r="C828">
        <v>3609</v>
      </c>
      <c r="D828">
        <v>333</v>
      </c>
      <c r="E828" s="19">
        <v>1908</v>
      </c>
    </row>
    <row r="829" spans="1:5" x14ac:dyDescent="0.3">
      <c r="A829" s="20" t="s">
        <v>1337</v>
      </c>
      <c r="B829" s="19">
        <v>13038</v>
      </c>
      <c r="C829">
        <v>6904</v>
      </c>
      <c r="D829">
        <v>737</v>
      </c>
      <c r="E829" s="19">
        <v>5397</v>
      </c>
    </row>
    <row r="830" spans="1:5" x14ac:dyDescent="0.3">
      <c r="A830" s="20" t="s">
        <v>1815</v>
      </c>
      <c r="B830" s="19">
        <v>5052</v>
      </c>
      <c r="C830">
        <v>2627</v>
      </c>
      <c r="D830">
        <v>204</v>
      </c>
      <c r="E830" s="19">
        <v>2221</v>
      </c>
    </row>
    <row r="831" spans="1:5" x14ac:dyDescent="0.3">
      <c r="A831" s="20" t="s">
        <v>1054</v>
      </c>
      <c r="B831" s="19">
        <v>2286</v>
      </c>
      <c r="C831">
        <v>1403</v>
      </c>
      <c r="D831">
        <v>138</v>
      </c>
      <c r="E831" s="19">
        <v>745</v>
      </c>
    </row>
    <row r="832" spans="1:5" x14ac:dyDescent="0.3">
      <c r="A832" s="20" t="s">
        <v>1065</v>
      </c>
      <c r="B832" s="19">
        <v>4473</v>
      </c>
      <c r="C832">
        <v>2686</v>
      </c>
      <c r="D832">
        <v>295</v>
      </c>
      <c r="E832" s="19">
        <v>1492</v>
      </c>
    </row>
    <row r="833" spans="1:5" x14ac:dyDescent="0.3">
      <c r="A833" s="20" t="s">
        <v>1437</v>
      </c>
      <c r="B833" s="19">
        <v>10819</v>
      </c>
      <c r="C833">
        <v>6530</v>
      </c>
      <c r="D833">
        <v>598</v>
      </c>
      <c r="E833" s="19">
        <v>3691</v>
      </c>
    </row>
    <row r="834" spans="1:5" x14ac:dyDescent="0.3">
      <c r="A834" s="20" t="s">
        <v>1372</v>
      </c>
      <c r="B834" s="19">
        <v>25202</v>
      </c>
      <c r="C834">
        <v>14870</v>
      </c>
      <c r="D834">
        <v>1797</v>
      </c>
      <c r="E834" s="19">
        <v>8535</v>
      </c>
    </row>
    <row r="835" spans="1:5" x14ac:dyDescent="0.3">
      <c r="A835" s="20" t="s">
        <v>1313</v>
      </c>
      <c r="B835" s="19">
        <v>7697</v>
      </c>
      <c r="C835">
        <v>4001</v>
      </c>
      <c r="D835">
        <v>584</v>
      </c>
      <c r="E835" s="19">
        <v>3112</v>
      </c>
    </row>
    <row r="836" spans="1:5" x14ac:dyDescent="0.3">
      <c r="A836" s="20" t="s">
        <v>1202</v>
      </c>
      <c r="B836" s="19">
        <v>9182</v>
      </c>
      <c r="C836">
        <v>5354</v>
      </c>
      <c r="D836">
        <v>673</v>
      </c>
      <c r="E836" s="19">
        <v>3155</v>
      </c>
    </row>
    <row r="837" spans="1:5" x14ac:dyDescent="0.3">
      <c r="A837" s="20" t="s">
        <v>1318</v>
      </c>
      <c r="B837" s="19">
        <v>18567</v>
      </c>
      <c r="C837">
        <v>10078</v>
      </c>
      <c r="D837">
        <v>2030</v>
      </c>
      <c r="E837" s="19">
        <v>6459</v>
      </c>
    </row>
    <row r="838" spans="1:5" x14ac:dyDescent="0.3">
      <c r="A838" s="20" t="s">
        <v>1816</v>
      </c>
      <c r="B838" s="19">
        <v>1084</v>
      </c>
      <c r="C838">
        <v>630</v>
      </c>
      <c r="D838">
        <v>56</v>
      </c>
      <c r="E838" s="19">
        <v>398</v>
      </c>
    </row>
    <row r="839" spans="1:5" x14ac:dyDescent="0.3">
      <c r="A839" s="20" t="s">
        <v>1817</v>
      </c>
      <c r="B839" s="19">
        <v>2400</v>
      </c>
      <c r="C839">
        <v>1115</v>
      </c>
      <c r="D839">
        <v>316</v>
      </c>
      <c r="E839" s="19">
        <v>969</v>
      </c>
    </row>
    <row r="840" spans="1:5" x14ac:dyDescent="0.3">
      <c r="A840" s="20" t="s">
        <v>1422</v>
      </c>
      <c r="B840" s="19">
        <v>7498</v>
      </c>
      <c r="C840">
        <v>3951</v>
      </c>
      <c r="D840">
        <v>505</v>
      </c>
      <c r="E840" s="19">
        <v>3042</v>
      </c>
    </row>
    <row r="841" spans="1:5" x14ac:dyDescent="0.3">
      <c r="A841" s="20" t="s">
        <v>1419</v>
      </c>
      <c r="B841" s="19">
        <v>4836</v>
      </c>
      <c r="C841">
        <v>2683</v>
      </c>
      <c r="D841">
        <v>267</v>
      </c>
      <c r="E841" s="19">
        <v>1886</v>
      </c>
    </row>
    <row r="842" spans="1:5" x14ac:dyDescent="0.3">
      <c r="A842" s="20" t="s">
        <v>1287</v>
      </c>
      <c r="B842" s="19">
        <v>15245</v>
      </c>
      <c r="C842">
        <v>10095</v>
      </c>
      <c r="D842">
        <v>650</v>
      </c>
      <c r="E842" s="19">
        <v>4500</v>
      </c>
    </row>
    <row r="843" spans="1:5" x14ac:dyDescent="0.3">
      <c r="A843" s="20" t="s">
        <v>1098</v>
      </c>
      <c r="B843" s="19">
        <v>3517</v>
      </c>
      <c r="C843">
        <v>2189</v>
      </c>
      <c r="D843">
        <v>123</v>
      </c>
      <c r="E843" s="19">
        <v>1205</v>
      </c>
    </row>
    <row r="844" spans="1:5" x14ac:dyDescent="0.3">
      <c r="A844" s="20" t="s">
        <v>1044</v>
      </c>
      <c r="B844" s="19">
        <v>4689</v>
      </c>
      <c r="C844">
        <v>2807</v>
      </c>
      <c r="D844">
        <v>187</v>
      </c>
      <c r="E844" s="19">
        <v>1695</v>
      </c>
    </row>
    <row r="845" spans="1:5" x14ac:dyDescent="0.3">
      <c r="A845" s="20" t="s">
        <v>1045</v>
      </c>
      <c r="B845" s="19">
        <v>1553</v>
      </c>
      <c r="C845">
        <v>835</v>
      </c>
      <c r="D845">
        <v>62</v>
      </c>
      <c r="E845" s="19">
        <v>656</v>
      </c>
    </row>
    <row r="846" spans="1:5" x14ac:dyDescent="0.3">
      <c r="A846" s="20" t="s">
        <v>1818</v>
      </c>
      <c r="B846" s="19">
        <v>4648</v>
      </c>
      <c r="C846">
        <v>2683</v>
      </c>
      <c r="D846">
        <v>290</v>
      </c>
      <c r="E846" s="19">
        <v>1675</v>
      </c>
    </row>
    <row r="847" spans="1:5" x14ac:dyDescent="0.3">
      <c r="A847" s="20" t="s">
        <v>1289</v>
      </c>
      <c r="B847" s="19">
        <v>82563</v>
      </c>
      <c r="C847">
        <v>50026</v>
      </c>
      <c r="D847">
        <v>5352</v>
      </c>
      <c r="E847" s="19">
        <v>27185</v>
      </c>
    </row>
    <row r="848" spans="1:5" x14ac:dyDescent="0.3">
      <c r="A848" s="20" t="s">
        <v>1375</v>
      </c>
      <c r="B848" s="19">
        <v>3442</v>
      </c>
      <c r="C848">
        <v>1863</v>
      </c>
      <c r="D848">
        <v>330</v>
      </c>
      <c r="E848" s="19">
        <v>1249</v>
      </c>
    </row>
    <row r="849" spans="1:5" x14ac:dyDescent="0.3">
      <c r="A849" s="20" t="s">
        <v>1819</v>
      </c>
      <c r="B849" s="19">
        <v>494</v>
      </c>
      <c r="C849">
        <v>234</v>
      </c>
      <c r="D849">
        <v>84</v>
      </c>
      <c r="E849" s="19">
        <v>176</v>
      </c>
    </row>
    <row r="850" spans="1:5" x14ac:dyDescent="0.3">
      <c r="A850" s="20" t="s">
        <v>1820</v>
      </c>
      <c r="B850" s="19">
        <v>7675</v>
      </c>
      <c r="C850">
        <v>3931</v>
      </c>
      <c r="D850">
        <v>608</v>
      </c>
      <c r="E850" s="19">
        <v>3136</v>
      </c>
    </row>
    <row r="851" spans="1:5" x14ac:dyDescent="0.3">
      <c r="A851" s="20" t="s">
        <v>1821</v>
      </c>
      <c r="B851" s="19">
        <v>2248</v>
      </c>
      <c r="C851">
        <v>1348</v>
      </c>
      <c r="D851">
        <v>104</v>
      </c>
      <c r="E851" s="19">
        <v>796</v>
      </c>
    </row>
    <row r="852" spans="1:5" x14ac:dyDescent="0.3">
      <c r="A852" s="20" t="s">
        <v>1822</v>
      </c>
      <c r="B852" s="19">
        <v>10791</v>
      </c>
      <c r="C852">
        <v>6216</v>
      </c>
      <c r="D852">
        <v>469</v>
      </c>
      <c r="E852" s="19">
        <v>4106</v>
      </c>
    </row>
    <row r="853" spans="1:5" x14ac:dyDescent="0.3">
      <c r="A853" s="20" t="s">
        <v>1460</v>
      </c>
      <c r="B853" s="19">
        <v>17899</v>
      </c>
      <c r="C853">
        <v>8869</v>
      </c>
      <c r="D853">
        <v>1452</v>
      </c>
      <c r="E853" s="19">
        <v>7578</v>
      </c>
    </row>
    <row r="854" spans="1:5" x14ac:dyDescent="0.3">
      <c r="A854" s="20" t="s">
        <v>1369</v>
      </c>
      <c r="B854" s="19">
        <v>148571</v>
      </c>
      <c r="C854">
        <v>90960</v>
      </c>
      <c r="D854">
        <v>9213</v>
      </c>
      <c r="E854" s="19">
        <v>48398</v>
      </c>
    </row>
    <row r="855" spans="1:5" x14ac:dyDescent="0.3">
      <c r="A855" s="20" t="s">
        <v>1227</v>
      </c>
      <c r="B855" s="19">
        <v>3978</v>
      </c>
      <c r="C855">
        <v>2305</v>
      </c>
      <c r="D855">
        <v>221</v>
      </c>
      <c r="E855" s="19">
        <v>1452</v>
      </c>
    </row>
    <row r="856" spans="1:5" x14ac:dyDescent="0.3">
      <c r="A856" s="20" t="s">
        <v>1252</v>
      </c>
      <c r="B856" s="19">
        <v>10819</v>
      </c>
      <c r="C856">
        <v>7073</v>
      </c>
      <c r="D856">
        <v>562</v>
      </c>
      <c r="E856" s="19">
        <v>3184</v>
      </c>
    </row>
    <row r="857" spans="1:5" x14ac:dyDescent="0.3">
      <c r="A857" s="20" t="s">
        <v>1276</v>
      </c>
      <c r="B857" s="19">
        <v>6468</v>
      </c>
      <c r="C857">
        <v>3819</v>
      </c>
      <c r="D857">
        <v>316</v>
      </c>
      <c r="E857" s="19">
        <v>2333</v>
      </c>
    </row>
    <row r="858" spans="1:5" x14ac:dyDescent="0.3">
      <c r="A858" s="20" t="s">
        <v>1228</v>
      </c>
      <c r="B858" s="19">
        <v>3063</v>
      </c>
      <c r="C858">
        <v>1731</v>
      </c>
      <c r="D858">
        <v>226</v>
      </c>
      <c r="E858" s="19">
        <v>1106</v>
      </c>
    </row>
    <row r="859" spans="1:5" x14ac:dyDescent="0.3">
      <c r="A859" s="20" t="s">
        <v>1235</v>
      </c>
      <c r="B859" s="19">
        <v>11735</v>
      </c>
      <c r="C859">
        <v>7137</v>
      </c>
      <c r="D859">
        <v>662</v>
      </c>
      <c r="E859" s="19">
        <v>3936</v>
      </c>
    </row>
    <row r="860" spans="1:5" x14ac:dyDescent="0.3">
      <c r="A860" s="20" t="s">
        <v>1261</v>
      </c>
      <c r="B860" s="19">
        <v>16960</v>
      </c>
      <c r="C860">
        <v>11045</v>
      </c>
      <c r="D860">
        <v>666</v>
      </c>
      <c r="E860" s="19">
        <v>5249</v>
      </c>
    </row>
    <row r="861" spans="1:5" x14ac:dyDescent="0.3">
      <c r="A861" s="20" t="s">
        <v>1353</v>
      </c>
      <c r="B861" s="19">
        <v>5809</v>
      </c>
      <c r="C861">
        <v>3557</v>
      </c>
      <c r="D861">
        <v>227</v>
      </c>
      <c r="E861" s="19">
        <v>2025</v>
      </c>
    </row>
    <row r="862" spans="1:5" x14ac:dyDescent="0.3">
      <c r="A862" s="20" t="s">
        <v>1222</v>
      </c>
      <c r="B862" s="19">
        <v>4562</v>
      </c>
      <c r="C862">
        <v>2600</v>
      </c>
      <c r="D862">
        <v>284</v>
      </c>
      <c r="E862" s="19">
        <v>1678</v>
      </c>
    </row>
    <row r="863" spans="1:5" x14ac:dyDescent="0.3">
      <c r="A863" s="20" t="s">
        <v>1296</v>
      </c>
      <c r="B863" s="19">
        <v>3383</v>
      </c>
      <c r="C863">
        <v>1457</v>
      </c>
      <c r="D863">
        <v>204</v>
      </c>
      <c r="E863" s="19">
        <v>1722</v>
      </c>
    </row>
    <row r="864" spans="1:5" x14ac:dyDescent="0.3">
      <c r="A864" s="20" t="s">
        <v>1237</v>
      </c>
      <c r="B864" s="19">
        <v>7967</v>
      </c>
      <c r="C864">
        <v>4538</v>
      </c>
      <c r="D864">
        <v>393</v>
      </c>
      <c r="E864" s="19">
        <v>3036</v>
      </c>
    </row>
    <row r="865" spans="1:5" x14ac:dyDescent="0.3">
      <c r="A865" s="20" t="s">
        <v>1321</v>
      </c>
      <c r="B865" s="19">
        <v>8549</v>
      </c>
      <c r="C865">
        <v>4397</v>
      </c>
      <c r="D865">
        <v>280</v>
      </c>
      <c r="E865" s="19">
        <v>3872</v>
      </c>
    </row>
    <row r="866" spans="1:5" x14ac:dyDescent="0.3">
      <c r="A866" s="20" t="s">
        <v>1377</v>
      </c>
      <c r="B866" s="19">
        <v>8106</v>
      </c>
      <c r="C866">
        <v>4431</v>
      </c>
      <c r="D866">
        <v>338</v>
      </c>
      <c r="E866" s="19">
        <v>3337</v>
      </c>
    </row>
    <row r="867" spans="1:5" x14ac:dyDescent="0.3">
      <c r="A867" s="20" t="s">
        <v>1257</v>
      </c>
      <c r="B867" s="19">
        <v>7834</v>
      </c>
      <c r="C867">
        <v>5002</v>
      </c>
      <c r="D867">
        <v>441</v>
      </c>
      <c r="E867" s="19">
        <v>2391</v>
      </c>
    </row>
    <row r="868" spans="1:5" x14ac:dyDescent="0.3">
      <c r="A868" s="20" t="s">
        <v>1823</v>
      </c>
      <c r="B868" s="19">
        <v>1526</v>
      </c>
      <c r="C868">
        <v>452</v>
      </c>
      <c r="D868">
        <v>186</v>
      </c>
      <c r="E868" s="19">
        <v>888</v>
      </c>
    </row>
    <row r="869" spans="1:5" x14ac:dyDescent="0.3">
      <c r="A869" s="20" t="s">
        <v>1327</v>
      </c>
      <c r="B869" s="19">
        <v>20575</v>
      </c>
      <c r="C869">
        <v>12511</v>
      </c>
      <c r="D869">
        <v>1091</v>
      </c>
      <c r="E869" s="19">
        <v>6973</v>
      </c>
    </row>
    <row r="870" spans="1:5" x14ac:dyDescent="0.3">
      <c r="A870" s="20" t="s">
        <v>1248</v>
      </c>
      <c r="B870" s="19">
        <v>7279</v>
      </c>
      <c r="C870">
        <v>4209</v>
      </c>
      <c r="D870">
        <v>444</v>
      </c>
      <c r="E870" s="19">
        <v>2626</v>
      </c>
    </row>
    <row r="871" spans="1:5" x14ac:dyDescent="0.3">
      <c r="A871" s="20" t="s">
        <v>1331</v>
      </c>
      <c r="B871" s="19">
        <v>4164</v>
      </c>
      <c r="C871">
        <v>2511</v>
      </c>
      <c r="D871">
        <v>197</v>
      </c>
      <c r="E871" s="19">
        <v>1456</v>
      </c>
    </row>
    <row r="872" spans="1:5" x14ac:dyDescent="0.3">
      <c r="A872" s="20" t="s">
        <v>1224</v>
      </c>
      <c r="B872" s="19">
        <v>4481</v>
      </c>
      <c r="C872">
        <v>3065</v>
      </c>
      <c r="D872">
        <v>218</v>
      </c>
      <c r="E872" s="19">
        <v>1198</v>
      </c>
    </row>
    <row r="873" spans="1:5" x14ac:dyDescent="0.3">
      <c r="A873" s="20" t="s">
        <v>1411</v>
      </c>
      <c r="B873" s="19">
        <v>12696</v>
      </c>
      <c r="C873">
        <v>8154</v>
      </c>
      <c r="D873">
        <v>522</v>
      </c>
      <c r="E873" s="19">
        <v>4020</v>
      </c>
    </row>
    <row r="874" spans="1:5" x14ac:dyDescent="0.3">
      <c r="A874" s="20" t="s">
        <v>1824</v>
      </c>
      <c r="B874" s="19">
        <v>288</v>
      </c>
      <c r="C874">
        <v>148</v>
      </c>
      <c r="D874">
        <v>14</v>
      </c>
      <c r="E874" s="19">
        <v>126</v>
      </c>
    </row>
    <row r="875" spans="1:5" x14ac:dyDescent="0.3">
      <c r="A875" s="20" t="s">
        <v>1825</v>
      </c>
      <c r="B875" s="19">
        <v>1010</v>
      </c>
      <c r="C875">
        <v>616</v>
      </c>
      <c r="D875">
        <v>63</v>
      </c>
      <c r="E875" s="19">
        <v>331</v>
      </c>
    </row>
    <row r="876" spans="1:5" x14ac:dyDescent="0.3">
      <c r="A876" s="20" t="s">
        <v>1826</v>
      </c>
      <c r="B876" s="19">
        <v>1041</v>
      </c>
      <c r="C876">
        <v>622</v>
      </c>
      <c r="D876">
        <v>90</v>
      </c>
      <c r="E876" s="19">
        <v>329</v>
      </c>
    </row>
    <row r="877" spans="1:5" x14ac:dyDescent="0.3">
      <c r="A877" s="20" t="s">
        <v>1827</v>
      </c>
      <c r="B877" s="19">
        <v>2259</v>
      </c>
      <c r="C877">
        <v>1298</v>
      </c>
      <c r="D877">
        <v>119</v>
      </c>
      <c r="E877" s="19">
        <v>842</v>
      </c>
    </row>
    <row r="878" spans="1:5" x14ac:dyDescent="0.3">
      <c r="A878" s="20" t="s">
        <v>1254</v>
      </c>
      <c r="B878" s="19">
        <v>8033</v>
      </c>
      <c r="C878">
        <v>4719</v>
      </c>
      <c r="D878">
        <v>335</v>
      </c>
      <c r="E878" s="19">
        <v>2979</v>
      </c>
    </row>
    <row r="879" spans="1:5" x14ac:dyDescent="0.3">
      <c r="A879" s="20" t="s">
        <v>1305</v>
      </c>
      <c r="B879" s="19">
        <v>4567</v>
      </c>
      <c r="C879">
        <v>2628</v>
      </c>
      <c r="D879">
        <v>287</v>
      </c>
      <c r="E879" s="19">
        <v>1652</v>
      </c>
    </row>
    <row r="880" spans="1:5" x14ac:dyDescent="0.3">
      <c r="A880" s="20" t="s">
        <v>1074</v>
      </c>
      <c r="B880" s="19">
        <v>1135</v>
      </c>
      <c r="C880">
        <v>628</v>
      </c>
      <c r="D880">
        <v>87</v>
      </c>
      <c r="E880" s="19">
        <v>420</v>
      </c>
    </row>
    <row r="881" spans="1:5" x14ac:dyDescent="0.3">
      <c r="A881" s="20" t="s">
        <v>1298</v>
      </c>
      <c r="B881" s="19">
        <v>6887</v>
      </c>
      <c r="C881">
        <v>3981</v>
      </c>
      <c r="D881">
        <v>417</v>
      </c>
      <c r="E881" s="19">
        <v>2489</v>
      </c>
    </row>
    <row r="882" spans="1:5" x14ac:dyDescent="0.3">
      <c r="A882" s="20" t="s">
        <v>2032</v>
      </c>
      <c r="B882" s="19">
        <v>1020</v>
      </c>
      <c r="C882">
        <v>647</v>
      </c>
      <c r="D882">
        <v>6</v>
      </c>
      <c r="E882" s="19">
        <v>367</v>
      </c>
    </row>
    <row r="883" spans="1:5" x14ac:dyDescent="0.3">
      <c r="A883" s="20" t="s">
        <v>1828</v>
      </c>
      <c r="B883" s="19">
        <v>1041</v>
      </c>
      <c r="C883">
        <v>591</v>
      </c>
      <c r="D883">
        <v>97</v>
      </c>
      <c r="E883" s="19">
        <v>353</v>
      </c>
    </row>
    <row r="884" spans="1:5" x14ac:dyDescent="0.3">
      <c r="A884" s="20" t="s">
        <v>1829</v>
      </c>
      <c r="B884" s="19">
        <v>1702</v>
      </c>
      <c r="C884">
        <v>626</v>
      </c>
      <c r="D884">
        <v>283</v>
      </c>
      <c r="E884" s="19">
        <v>793</v>
      </c>
    </row>
    <row r="885" spans="1:5" x14ac:dyDescent="0.3">
      <c r="A885" s="20" t="s">
        <v>1376</v>
      </c>
      <c r="B885" s="19">
        <v>10999</v>
      </c>
      <c r="C885">
        <v>6751</v>
      </c>
      <c r="D885">
        <v>504</v>
      </c>
      <c r="E885" s="19">
        <v>3744</v>
      </c>
    </row>
    <row r="886" spans="1:5" x14ac:dyDescent="0.3">
      <c r="A886" s="20" t="s">
        <v>1830</v>
      </c>
      <c r="B886" s="19">
        <v>2261</v>
      </c>
      <c r="C886">
        <v>1255</v>
      </c>
      <c r="D886">
        <v>68</v>
      </c>
      <c r="E886" s="19">
        <v>938</v>
      </c>
    </row>
    <row r="887" spans="1:5" x14ac:dyDescent="0.3">
      <c r="A887" s="20" t="s">
        <v>1064</v>
      </c>
      <c r="B887" s="19">
        <v>1293</v>
      </c>
      <c r="C887">
        <v>699</v>
      </c>
      <c r="D887">
        <v>32</v>
      </c>
      <c r="E887" s="19">
        <v>562</v>
      </c>
    </row>
    <row r="888" spans="1:5" x14ac:dyDescent="0.3">
      <c r="A888" s="20" t="s">
        <v>1271</v>
      </c>
      <c r="B888" s="19">
        <v>21438</v>
      </c>
      <c r="C888">
        <v>13261</v>
      </c>
      <c r="D888">
        <v>850</v>
      </c>
      <c r="E888" s="19">
        <v>7327</v>
      </c>
    </row>
    <row r="889" spans="1:5" x14ac:dyDescent="0.3">
      <c r="A889" s="20" t="s">
        <v>1176</v>
      </c>
      <c r="B889" s="19">
        <v>1992</v>
      </c>
      <c r="C889">
        <v>995</v>
      </c>
      <c r="D889">
        <v>144</v>
      </c>
      <c r="E889" s="19">
        <v>853</v>
      </c>
    </row>
    <row r="890" spans="1:5" x14ac:dyDescent="0.3">
      <c r="A890" s="20" t="s">
        <v>1831</v>
      </c>
      <c r="B890" s="19">
        <v>2269</v>
      </c>
      <c r="C890">
        <v>1447</v>
      </c>
      <c r="D890">
        <v>70</v>
      </c>
      <c r="E890" s="19">
        <v>752</v>
      </c>
    </row>
    <row r="891" spans="1:5" x14ac:dyDescent="0.3">
      <c r="A891" s="20" t="s">
        <v>1832</v>
      </c>
      <c r="B891" s="19">
        <v>1647</v>
      </c>
      <c r="C891">
        <v>1029</v>
      </c>
      <c r="D891">
        <v>40</v>
      </c>
      <c r="E891" s="19">
        <v>578</v>
      </c>
    </row>
    <row r="892" spans="1:5" x14ac:dyDescent="0.3">
      <c r="A892" s="20" t="s">
        <v>1413</v>
      </c>
      <c r="B892" s="19">
        <v>2054</v>
      </c>
      <c r="C892">
        <v>1545</v>
      </c>
      <c r="D892">
        <v>18</v>
      </c>
      <c r="E892" s="19">
        <v>491</v>
      </c>
    </row>
    <row r="893" spans="1:5" x14ac:dyDescent="0.3">
      <c r="A893" s="20" t="s">
        <v>1146</v>
      </c>
      <c r="B893" s="19">
        <v>1922</v>
      </c>
      <c r="C893">
        <v>1145</v>
      </c>
      <c r="D893">
        <v>94</v>
      </c>
      <c r="E893" s="19">
        <v>683</v>
      </c>
    </row>
    <row r="894" spans="1:5" x14ac:dyDescent="0.3">
      <c r="A894" s="20" t="s">
        <v>1169</v>
      </c>
      <c r="B894" s="19">
        <v>5934</v>
      </c>
      <c r="C894">
        <v>3360</v>
      </c>
      <c r="D894">
        <v>236</v>
      </c>
      <c r="E894" s="19">
        <v>2338</v>
      </c>
    </row>
    <row r="895" spans="1:5" x14ac:dyDescent="0.3">
      <c r="A895" s="20" t="s">
        <v>1833</v>
      </c>
      <c r="B895" s="19">
        <v>6430</v>
      </c>
      <c r="C895">
        <v>3962</v>
      </c>
      <c r="D895">
        <v>277</v>
      </c>
      <c r="E895" s="19">
        <v>2191</v>
      </c>
    </row>
    <row r="896" spans="1:5" x14ac:dyDescent="0.3">
      <c r="A896" s="20" t="s">
        <v>1223</v>
      </c>
      <c r="B896" s="19">
        <v>4860</v>
      </c>
      <c r="C896">
        <v>1841</v>
      </c>
      <c r="D896">
        <v>825</v>
      </c>
      <c r="E896" s="19">
        <v>2194</v>
      </c>
    </row>
    <row r="897" spans="1:5" x14ac:dyDescent="0.3">
      <c r="A897" s="20" t="s">
        <v>1279</v>
      </c>
      <c r="B897" s="19">
        <v>12415</v>
      </c>
      <c r="C897">
        <v>7235</v>
      </c>
      <c r="D897">
        <v>705</v>
      </c>
      <c r="E897" s="19">
        <v>4475</v>
      </c>
    </row>
    <row r="898" spans="1:5" x14ac:dyDescent="0.3">
      <c r="A898" s="20" t="s">
        <v>1834</v>
      </c>
      <c r="B898" s="19">
        <v>199</v>
      </c>
      <c r="C898">
        <v>99</v>
      </c>
      <c r="D898">
        <v>37</v>
      </c>
      <c r="E898" s="19">
        <v>63</v>
      </c>
    </row>
    <row r="899" spans="1:5" x14ac:dyDescent="0.3">
      <c r="A899" s="20" t="s">
        <v>1835</v>
      </c>
      <c r="B899" s="19">
        <v>1155</v>
      </c>
      <c r="C899">
        <v>431</v>
      </c>
      <c r="D899">
        <v>290</v>
      </c>
      <c r="E899" s="19">
        <v>434</v>
      </c>
    </row>
    <row r="900" spans="1:5" x14ac:dyDescent="0.3">
      <c r="A900" s="20" t="s">
        <v>1357</v>
      </c>
      <c r="B900" s="19">
        <v>1835</v>
      </c>
      <c r="C900">
        <v>993</v>
      </c>
      <c r="D900">
        <v>92</v>
      </c>
      <c r="E900" s="19">
        <v>750</v>
      </c>
    </row>
    <row r="901" spans="1:5" x14ac:dyDescent="0.3">
      <c r="A901" s="20" t="s">
        <v>1358</v>
      </c>
      <c r="B901" s="19">
        <v>2534</v>
      </c>
      <c r="C901">
        <v>1279</v>
      </c>
      <c r="D901">
        <v>202</v>
      </c>
      <c r="E901" s="19">
        <v>1053</v>
      </c>
    </row>
    <row r="902" spans="1:5" x14ac:dyDescent="0.3">
      <c r="A902" s="20" t="s">
        <v>1241</v>
      </c>
      <c r="B902" s="19">
        <v>9264</v>
      </c>
      <c r="C902">
        <v>3987</v>
      </c>
      <c r="D902">
        <v>1486</v>
      </c>
      <c r="E902" s="19">
        <v>3791</v>
      </c>
    </row>
    <row r="903" spans="1:5" x14ac:dyDescent="0.3">
      <c r="A903" s="20" t="s">
        <v>1836</v>
      </c>
      <c r="B903" s="19">
        <v>1459</v>
      </c>
      <c r="C903">
        <v>502</v>
      </c>
      <c r="D903">
        <v>306</v>
      </c>
      <c r="E903" s="19">
        <v>651</v>
      </c>
    </row>
    <row r="904" spans="1:5" x14ac:dyDescent="0.3">
      <c r="A904" s="20" t="s">
        <v>1837</v>
      </c>
      <c r="B904" s="19">
        <v>4042</v>
      </c>
      <c r="C904">
        <v>2243</v>
      </c>
      <c r="D904">
        <v>236</v>
      </c>
      <c r="E904" s="19">
        <v>1563</v>
      </c>
    </row>
    <row r="905" spans="1:5" x14ac:dyDescent="0.3">
      <c r="A905" s="20" t="s">
        <v>1379</v>
      </c>
      <c r="B905" s="19">
        <v>9764</v>
      </c>
      <c r="C905">
        <v>6373</v>
      </c>
      <c r="D905">
        <v>353</v>
      </c>
      <c r="E905" s="19">
        <v>3038</v>
      </c>
    </row>
    <row r="906" spans="1:5" x14ac:dyDescent="0.3">
      <c r="A906" s="20" t="s">
        <v>1191</v>
      </c>
      <c r="B906" s="19">
        <v>1027</v>
      </c>
      <c r="C906">
        <v>686</v>
      </c>
      <c r="D906">
        <v>39</v>
      </c>
      <c r="E906" s="19">
        <v>302</v>
      </c>
    </row>
    <row r="907" spans="1:5" x14ac:dyDescent="0.3">
      <c r="A907" s="20" t="s">
        <v>1380</v>
      </c>
      <c r="B907" s="19">
        <v>13168</v>
      </c>
      <c r="C907">
        <v>7937</v>
      </c>
      <c r="D907">
        <v>878</v>
      </c>
      <c r="E907" s="19">
        <v>4353</v>
      </c>
    </row>
    <row r="908" spans="1:5" x14ac:dyDescent="0.3">
      <c r="A908" s="20" t="s">
        <v>1838</v>
      </c>
      <c r="B908" s="19">
        <v>2686</v>
      </c>
      <c r="C908">
        <v>1198</v>
      </c>
      <c r="D908">
        <v>296</v>
      </c>
      <c r="E908" s="19">
        <v>1192</v>
      </c>
    </row>
    <row r="909" spans="1:5" x14ac:dyDescent="0.3">
      <c r="A909" s="20" t="s">
        <v>1839</v>
      </c>
      <c r="B909" s="19">
        <v>2491</v>
      </c>
      <c r="C909">
        <v>1125</v>
      </c>
      <c r="D909">
        <v>282</v>
      </c>
      <c r="E909" s="19">
        <v>1084</v>
      </c>
    </row>
    <row r="910" spans="1:5" x14ac:dyDescent="0.3">
      <c r="A910" s="20" t="s">
        <v>2033</v>
      </c>
      <c r="B910" s="19">
        <v>598</v>
      </c>
      <c r="C910">
        <v>258</v>
      </c>
      <c r="D910">
        <v>20</v>
      </c>
      <c r="E910" s="19">
        <v>320</v>
      </c>
    </row>
    <row r="911" spans="1:5" x14ac:dyDescent="0.3">
      <c r="A911" s="20" t="s">
        <v>1840</v>
      </c>
      <c r="B911" s="19">
        <v>431</v>
      </c>
      <c r="C911">
        <v>190</v>
      </c>
      <c r="D911">
        <v>30</v>
      </c>
      <c r="E911" s="19">
        <v>211</v>
      </c>
    </row>
    <row r="912" spans="1:5" x14ac:dyDescent="0.3">
      <c r="A912" s="20" t="s">
        <v>1841</v>
      </c>
      <c r="B912" s="19">
        <v>1218</v>
      </c>
      <c r="C912">
        <v>614</v>
      </c>
      <c r="D912">
        <v>112</v>
      </c>
      <c r="E912" s="19">
        <v>492</v>
      </c>
    </row>
    <row r="913" spans="1:5" x14ac:dyDescent="0.3">
      <c r="A913" s="20" t="s">
        <v>1842</v>
      </c>
      <c r="B913" s="19">
        <v>1437</v>
      </c>
      <c r="C913">
        <v>649</v>
      </c>
      <c r="D913">
        <v>124</v>
      </c>
      <c r="E913" s="19">
        <v>664</v>
      </c>
    </row>
    <row r="914" spans="1:5" x14ac:dyDescent="0.3">
      <c r="A914" s="20" t="s">
        <v>1340</v>
      </c>
      <c r="B914" s="19">
        <v>5708</v>
      </c>
      <c r="C914">
        <v>2564</v>
      </c>
      <c r="D914">
        <v>769</v>
      </c>
      <c r="E914" s="19">
        <v>2375</v>
      </c>
    </row>
    <row r="915" spans="1:5" x14ac:dyDescent="0.3">
      <c r="A915" s="20" t="s">
        <v>1843</v>
      </c>
      <c r="B915" s="19">
        <v>968</v>
      </c>
      <c r="C915">
        <v>361</v>
      </c>
      <c r="D915">
        <v>86</v>
      </c>
      <c r="E915" s="19">
        <v>521</v>
      </c>
    </row>
    <row r="916" spans="1:5" x14ac:dyDescent="0.3">
      <c r="A916" s="20" t="s">
        <v>1844</v>
      </c>
      <c r="B916" s="19">
        <v>131</v>
      </c>
      <c r="C916">
        <v>50</v>
      </c>
      <c r="D916">
        <v>10</v>
      </c>
      <c r="E916" s="19">
        <v>71</v>
      </c>
    </row>
    <row r="917" spans="1:5" x14ac:dyDescent="0.3">
      <c r="A917" s="20" t="s">
        <v>1845</v>
      </c>
      <c r="B917" s="19">
        <v>175</v>
      </c>
      <c r="C917">
        <v>51</v>
      </c>
      <c r="D917">
        <v>12</v>
      </c>
      <c r="E917" s="19">
        <v>112</v>
      </c>
    </row>
    <row r="918" spans="1:5" x14ac:dyDescent="0.3">
      <c r="A918" s="20" t="s">
        <v>1846</v>
      </c>
      <c r="B918" s="19">
        <v>82</v>
      </c>
      <c r="C918">
        <v>22</v>
      </c>
      <c r="D918">
        <v>3</v>
      </c>
      <c r="E918" s="19">
        <v>57</v>
      </c>
    </row>
    <row r="919" spans="1:5" x14ac:dyDescent="0.3">
      <c r="A919" s="20" t="s">
        <v>1847</v>
      </c>
      <c r="B919" s="19">
        <v>263</v>
      </c>
      <c r="C919">
        <v>108</v>
      </c>
      <c r="D919">
        <v>33</v>
      </c>
      <c r="E919" s="19">
        <v>122</v>
      </c>
    </row>
    <row r="920" spans="1:5" x14ac:dyDescent="0.3">
      <c r="A920" s="20" t="s">
        <v>2034</v>
      </c>
      <c r="B920" s="19">
        <v>2152</v>
      </c>
      <c r="C920">
        <v>1049</v>
      </c>
      <c r="D920">
        <v>244</v>
      </c>
      <c r="E920" s="19">
        <v>859</v>
      </c>
    </row>
    <row r="921" spans="1:5" x14ac:dyDescent="0.3">
      <c r="A921" s="20" t="s">
        <v>2035</v>
      </c>
      <c r="B921" s="19">
        <v>1267</v>
      </c>
      <c r="C921">
        <v>397</v>
      </c>
      <c r="D921">
        <v>245</v>
      </c>
      <c r="E921" s="19">
        <v>625</v>
      </c>
    </row>
    <row r="922" spans="1:5" x14ac:dyDescent="0.3">
      <c r="A922" s="20" t="s">
        <v>2036</v>
      </c>
      <c r="B922" s="19">
        <v>446</v>
      </c>
      <c r="C922">
        <v>108</v>
      </c>
      <c r="D922">
        <v>159</v>
      </c>
      <c r="E922" s="19">
        <v>179</v>
      </c>
    </row>
    <row r="923" spans="1:5" x14ac:dyDescent="0.3">
      <c r="A923" s="20" t="s">
        <v>2037</v>
      </c>
      <c r="B923" s="19">
        <v>341</v>
      </c>
      <c r="C923">
        <v>67</v>
      </c>
      <c r="D923">
        <v>94</v>
      </c>
      <c r="E923" s="19">
        <v>180</v>
      </c>
    </row>
    <row r="924" spans="1:5" x14ac:dyDescent="0.3">
      <c r="A924" s="20" t="s">
        <v>1149</v>
      </c>
      <c r="B924" s="19">
        <v>2007</v>
      </c>
      <c r="C924">
        <v>754</v>
      </c>
      <c r="D924">
        <v>128</v>
      </c>
      <c r="E924" s="19">
        <v>1125</v>
      </c>
    </row>
    <row r="925" spans="1:5" x14ac:dyDescent="0.3">
      <c r="A925" s="20" t="s">
        <v>1848</v>
      </c>
      <c r="B925" s="19">
        <v>1488</v>
      </c>
      <c r="C925">
        <v>503</v>
      </c>
      <c r="D925">
        <v>136</v>
      </c>
      <c r="E925" s="19">
        <v>849</v>
      </c>
    </row>
    <row r="926" spans="1:5" x14ac:dyDescent="0.3">
      <c r="A926" s="20" t="s">
        <v>1849</v>
      </c>
      <c r="B926" s="19">
        <v>825</v>
      </c>
      <c r="C926">
        <v>258</v>
      </c>
      <c r="D926">
        <v>87</v>
      </c>
      <c r="E926" s="19">
        <v>480</v>
      </c>
    </row>
    <row r="927" spans="1:5" x14ac:dyDescent="0.3">
      <c r="A927" s="20" t="s">
        <v>1253</v>
      </c>
      <c r="B927" s="19">
        <v>11392</v>
      </c>
      <c r="C927">
        <v>6301</v>
      </c>
      <c r="D927">
        <v>1035</v>
      </c>
      <c r="E927" s="19">
        <v>4056</v>
      </c>
    </row>
    <row r="928" spans="1:5" x14ac:dyDescent="0.3">
      <c r="A928" s="20" t="s">
        <v>1209</v>
      </c>
      <c r="B928" s="19">
        <v>1981</v>
      </c>
      <c r="C928">
        <v>823</v>
      </c>
      <c r="D928">
        <v>112</v>
      </c>
      <c r="E928" s="19">
        <v>1046</v>
      </c>
    </row>
    <row r="929" spans="1:5" x14ac:dyDescent="0.3">
      <c r="A929" s="20" t="s">
        <v>1234</v>
      </c>
      <c r="B929" s="19">
        <v>2893</v>
      </c>
      <c r="C929">
        <v>1367</v>
      </c>
      <c r="D929">
        <v>231</v>
      </c>
      <c r="E929" s="19">
        <v>1295</v>
      </c>
    </row>
    <row r="930" spans="1:5" x14ac:dyDescent="0.3">
      <c r="A930" s="20" t="s">
        <v>1304</v>
      </c>
      <c r="B930" s="19">
        <v>5595</v>
      </c>
      <c r="C930">
        <v>2901</v>
      </c>
      <c r="D930">
        <v>477</v>
      </c>
      <c r="E930" s="19">
        <v>2217</v>
      </c>
    </row>
    <row r="931" spans="1:5" x14ac:dyDescent="0.3">
      <c r="A931" s="20" t="s">
        <v>1850</v>
      </c>
      <c r="B931" s="19">
        <v>1098</v>
      </c>
      <c r="C931">
        <v>480</v>
      </c>
      <c r="D931">
        <v>106</v>
      </c>
      <c r="E931" s="19">
        <v>512</v>
      </c>
    </row>
    <row r="932" spans="1:5" x14ac:dyDescent="0.3">
      <c r="A932" s="20" t="s">
        <v>1111</v>
      </c>
      <c r="B932" s="19">
        <v>1207</v>
      </c>
      <c r="C932">
        <v>594</v>
      </c>
      <c r="D932">
        <v>111</v>
      </c>
      <c r="E932" s="19">
        <v>502</v>
      </c>
    </row>
    <row r="933" spans="1:5" x14ac:dyDescent="0.3">
      <c r="A933" s="20" t="s">
        <v>1851</v>
      </c>
      <c r="B933" s="19">
        <v>728</v>
      </c>
      <c r="C933">
        <v>347</v>
      </c>
      <c r="D933">
        <v>141</v>
      </c>
      <c r="E933" s="19">
        <v>240</v>
      </c>
    </row>
    <row r="934" spans="1:5" x14ac:dyDescent="0.3">
      <c r="A934" s="20" t="s">
        <v>1852</v>
      </c>
      <c r="B934" s="19">
        <v>3754</v>
      </c>
      <c r="C934">
        <v>1953</v>
      </c>
      <c r="D934">
        <v>318</v>
      </c>
      <c r="E934" s="19">
        <v>1483</v>
      </c>
    </row>
    <row r="935" spans="1:5" x14ac:dyDescent="0.3">
      <c r="A935" s="20" t="s">
        <v>2038</v>
      </c>
      <c r="B935" s="19">
        <v>671</v>
      </c>
      <c r="C935">
        <v>302</v>
      </c>
      <c r="D935">
        <v>73</v>
      </c>
      <c r="E935" s="19">
        <v>296</v>
      </c>
    </row>
    <row r="936" spans="1:5" x14ac:dyDescent="0.3">
      <c r="A936" s="20" t="s">
        <v>2039</v>
      </c>
      <c r="B936" s="19">
        <v>1221</v>
      </c>
      <c r="C936">
        <v>603</v>
      </c>
      <c r="D936">
        <v>124</v>
      </c>
      <c r="E936" s="19">
        <v>494</v>
      </c>
    </row>
    <row r="937" spans="1:5" x14ac:dyDescent="0.3">
      <c r="A937" s="20" t="s">
        <v>1853</v>
      </c>
      <c r="B937" s="19">
        <v>2828</v>
      </c>
      <c r="C937">
        <v>1322</v>
      </c>
      <c r="D937">
        <v>252</v>
      </c>
      <c r="E937" s="19">
        <v>1254</v>
      </c>
    </row>
    <row r="938" spans="1:5" x14ac:dyDescent="0.3">
      <c r="A938" s="20" t="s">
        <v>1854</v>
      </c>
      <c r="B938" s="19">
        <v>1064</v>
      </c>
      <c r="C938">
        <v>367</v>
      </c>
      <c r="D938">
        <v>91</v>
      </c>
      <c r="E938" s="19">
        <v>606</v>
      </c>
    </row>
    <row r="939" spans="1:5" x14ac:dyDescent="0.3">
      <c r="A939" s="20" t="s">
        <v>1855</v>
      </c>
      <c r="B939" s="19">
        <v>1073</v>
      </c>
      <c r="C939">
        <v>486</v>
      </c>
      <c r="D939">
        <v>86</v>
      </c>
      <c r="E939" s="19">
        <v>501</v>
      </c>
    </row>
    <row r="940" spans="1:5" x14ac:dyDescent="0.3">
      <c r="A940" s="20" t="s">
        <v>1856</v>
      </c>
      <c r="B940" s="19">
        <v>923</v>
      </c>
      <c r="C940">
        <v>504</v>
      </c>
      <c r="D940">
        <v>78</v>
      </c>
      <c r="E940" s="19">
        <v>341</v>
      </c>
    </row>
    <row r="941" spans="1:5" x14ac:dyDescent="0.3">
      <c r="A941" s="20" t="s">
        <v>2040</v>
      </c>
      <c r="B941" s="19">
        <v>326</v>
      </c>
      <c r="C941">
        <v>116</v>
      </c>
      <c r="D941">
        <v>37</v>
      </c>
      <c r="E941" s="19">
        <v>173</v>
      </c>
    </row>
    <row r="942" spans="1:5" x14ac:dyDescent="0.3">
      <c r="A942" s="20" t="s">
        <v>1857</v>
      </c>
      <c r="B942" s="19">
        <v>1591</v>
      </c>
      <c r="C942">
        <v>820</v>
      </c>
      <c r="D942">
        <v>153</v>
      </c>
      <c r="E942" s="19">
        <v>618</v>
      </c>
    </row>
    <row r="943" spans="1:5" x14ac:dyDescent="0.3">
      <c r="A943" s="20" t="s">
        <v>2041</v>
      </c>
      <c r="B943" s="19">
        <v>292</v>
      </c>
      <c r="C943">
        <v>105</v>
      </c>
      <c r="D943">
        <v>49</v>
      </c>
      <c r="E943" s="19">
        <v>138</v>
      </c>
    </row>
    <row r="944" spans="1:5" x14ac:dyDescent="0.3">
      <c r="A944" s="20" t="s">
        <v>2042</v>
      </c>
      <c r="B944" s="19">
        <v>1350</v>
      </c>
      <c r="C944">
        <v>643</v>
      </c>
      <c r="D944">
        <v>198</v>
      </c>
      <c r="E944" s="19">
        <v>509</v>
      </c>
    </row>
    <row r="945" spans="1:5" x14ac:dyDescent="0.3">
      <c r="A945" s="20" t="s">
        <v>1858</v>
      </c>
      <c r="B945" s="19">
        <v>5576</v>
      </c>
      <c r="C945">
        <v>3857</v>
      </c>
      <c r="D945">
        <v>334</v>
      </c>
      <c r="E945" s="19">
        <v>1385</v>
      </c>
    </row>
    <row r="946" spans="1:5" x14ac:dyDescent="0.3">
      <c r="A946" s="20" t="s">
        <v>1859</v>
      </c>
      <c r="B946" s="19">
        <v>653</v>
      </c>
      <c r="C946">
        <v>413</v>
      </c>
      <c r="D946">
        <v>61</v>
      </c>
      <c r="E946" s="19">
        <v>179</v>
      </c>
    </row>
    <row r="947" spans="1:5" x14ac:dyDescent="0.3">
      <c r="A947" s="20" t="s">
        <v>1860</v>
      </c>
      <c r="B947" s="19">
        <v>112</v>
      </c>
      <c r="C947">
        <v>89</v>
      </c>
      <c r="D947">
        <v>3</v>
      </c>
      <c r="E947" s="19">
        <v>20</v>
      </c>
    </row>
    <row r="948" spans="1:5" x14ac:dyDescent="0.3">
      <c r="A948" s="20" t="s">
        <v>1861</v>
      </c>
      <c r="B948" s="19">
        <v>2042</v>
      </c>
      <c r="C948">
        <v>1532</v>
      </c>
      <c r="D948">
        <v>96</v>
      </c>
      <c r="E948" s="19">
        <v>414</v>
      </c>
    </row>
    <row r="949" spans="1:5" x14ac:dyDescent="0.3">
      <c r="A949" s="20" t="s">
        <v>1862</v>
      </c>
      <c r="B949" s="19">
        <v>234</v>
      </c>
      <c r="C949">
        <v>133</v>
      </c>
      <c r="D949">
        <v>26</v>
      </c>
      <c r="E949" s="19">
        <v>75</v>
      </c>
    </row>
    <row r="950" spans="1:5" x14ac:dyDescent="0.3">
      <c r="A950" s="20" t="s">
        <v>1863</v>
      </c>
      <c r="B950" s="19">
        <v>9706</v>
      </c>
      <c r="C950">
        <v>7092</v>
      </c>
      <c r="D950">
        <v>566</v>
      </c>
      <c r="E950" s="19">
        <v>2048</v>
      </c>
    </row>
    <row r="951" spans="1:5" x14ac:dyDescent="0.3">
      <c r="A951" s="20" t="s">
        <v>1864</v>
      </c>
      <c r="B951" s="19">
        <v>2943</v>
      </c>
      <c r="C951">
        <v>1966</v>
      </c>
      <c r="D951">
        <v>157</v>
      </c>
      <c r="E951" s="19">
        <v>820</v>
      </c>
    </row>
    <row r="952" spans="1:5" x14ac:dyDescent="0.3">
      <c r="A952" s="20" t="s">
        <v>1865</v>
      </c>
      <c r="B952" s="19">
        <v>447</v>
      </c>
      <c r="C952">
        <v>270</v>
      </c>
      <c r="D952">
        <v>8</v>
      </c>
      <c r="E952" s="19">
        <v>169</v>
      </c>
    </row>
    <row r="953" spans="1:5" x14ac:dyDescent="0.3">
      <c r="A953" s="20" t="s">
        <v>1195</v>
      </c>
      <c r="B953" s="19">
        <v>47430</v>
      </c>
      <c r="C953">
        <v>26441</v>
      </c>
      <c r="D953">
        <v>4822</v>
      </c>
      <c r="E953" s="19">
        <v>16167</v>
      </c>
    </row>
    <row r="954" spans="1:5" x14ac:dyDescent="0.3">
      <c r="A954" s="20" t="s">
        <v>1866</v>
      </c>
      <c r="B954" s="19">
        <v>2207</v>
      </c>
      <c r="C954">
        <v>987</v>
      </c>
      <c r="D954">
        <v>211</v>
      </c>
      <c r="E954" s="19">
        <v>1009</v>
      </c>
    </row>
    <row r="955" spans="1:5" x14ac:dyDescent="0.3">
      <c r="A955" s="20" t="s">
        <v>1068</v>
      </c>
      <c r="B955" s="19">
        <v>4716</v>
      </c>
      <c r="C955">
        <v>2147</v>
      </c>
      <c r="D955">
        <v>545</v>
      </c>
      <c r="E955" s="19">
        <v>2024</v>
      </c>
    </row>
    <row r="956" spans="1:5" x14ac:dyDescent="0.3">
      <c r="A956" s="20" t="s">
        <v>1867</v>
      </c>
      <c r="B956" s="19">
        <v>4620</v>
      </c>
      <c r="C956">
        <v>1841</v>
      </c>
      <c r="D956">
        <v>567</v>
      </c>
      <c r="E956" s="19">
        <v>2212</v>
      </c>
    </row>
    <row r="957" spans="1:5" x14ac:dyDescent="0.3">
      <c r="A957" s="20" t="s">
        <v>1868</v>
      </c>
      <c r="B957" s="19">
        <v>5931</v>
      </c>
      <c r="C957">
        <v>2678</v>
      </c>
      <c r="D957">
        <v>811</v>
      </c>
      <c r="E957" s="19">
        <v>2442</v>
      </c>
    </row>
    <row r="958" spans="1:5" x14ac:dyDescent="0.3">
      <c r="A958" s="20" t="s">
        <v>1869</v>
      </c>
      <c r="B958" s="19">
        <v>2378</v>
      </c>
      <c r="C958">
        <v>820</v>
      </c>
      <c r="D958">
        <v>257</v>
      </c>
      <c r="E958" s="19">
        <v>1301</v>
      </c>
    </row>
    <row r="959" spans="1:5" x14ac:dyDescent="0.3">
      <c r="A959" s="20" t="s">
        <v>1196</v>
      </c>
      <c r="B959" s="19">
        <v>5780</v>
      </c>
      <c r="C959">
        <v>2221</v>
      </c>
      <c r="D959">
        <v>718</v>
      </c>
      <c r="E959" s="19">
        <v>2841</v>
      </c>
    </row>
    <row r="960" spans="1:5" x14ac:dyDescent="0.3">
      <c r="A960" s="20" t="s">
        <v>2043</v>
      </c>
      <c r="B960" s="19">
        <v>1436</v>
      </c>
      <c r="C960">
        <v>674</v>
      </c>
      <c r="D960">
        <v>105</v>
      </c>
      <c r="E960" s="19">
        <v>657</v>
      </c>
    </row>
    <row r="961" spans="1:5" x14ac:dyDescent="0.3">
      <c r="A961" s="20" t="s">
        <v>1415</v>
      </c>
      <c r="B961" s="19">
        <v>2923</v>
      </c>
      <c r="C961">
        <v>1403</v>
      </c>
      <c r="D961">
        <v>372</v>
      </c>
      <c r="E961" s="19">
        <v>1148</v>
      </c>
    </row>
    <row r="962" spans="1:5" x14ac:dyDescent="0.3">
      <c r="A962" s="20" t="s">
        <v>1407</v>
      </c>
      <c r="B962" s="19">
        <v>800</v>
      </c>
      <c r="C962">
        <v>354</v>
      </c>
      <c r="D962">
        <v>36</v>
      </c>
      <c r="E962" s="19">
        <v>410</v>
      </c>
    </row>
    <row r="963" spans="1:5" x14ac:dyDescent="0.3">
      <c r="A963" s="20" t="s">
        <v>1475</v>
      </c>
      <c r="B963" s="19">
        <v>2246</v>
      </c>
      <c r="C963">
        <v>880</v>
      </c>
      <c r="D963">
        <v>430</v>
      </c>
      <c r="E963" s="19">
        <v>936</v>
      </c>
    </row>
    <row r="964" spans="1:5" x14ac:dyDescent="0.3">
      <c r="A964" s="20" t="s">
        <v>1870</v>
      </c>
      <c r="B964" s="19">
        <v>1101</v>
      </c>
      <c r="C964">
        <v>400</v>
      </c>
      <c r="D964">
        <v>122</v>
      </c>
      <c r="E964" s="19">
        <v>579</v>
      </c>
    </row>
    <row r="965" spans="1:5" x14ac:dyDescent="0.3">
      <c r="A965" s="20" t="s">
        <v>1182</v>
      </c>
      <c r="B965" s="19">
        <v>2065</v>
      </c>
      <c r="C965">
        <v>884</v>
      </c>
      <c r="D965">
        <v>256</v>
      </c>
      <c r="E965" s="19">
        <v>925</v>
      </c>
    </row>
    <row r="966" spans="1:5" x14ac:dyDescent="0.3">
      <c r="A966" s="20" t="s">
        <v>1871</v>
      </c>
      <c r="B966" s="19">
        <v>685</v>
      </c>
      <c r="C966">
        <v>184</v>
      </c>
      <c r="D966">
        <v>107</v>
      </c>
      <c r="E966" s="19">
        <v>394</v>
      </c>
    </row>
    <row r="967" spans="1:5" x14ac:dyDescent="0.3">
      <c r="A967" s="20" t="s">
        <v>1872</v>
      </c>
      <c r="B967" s="19">
        <v>50</v>
      </c>
      <c r="C967">
        <v>10</v>
      </c>
      <c r="D967">
        <v>3</v>
      </c>
      <c r="E967" s="19">
        <v>37</v>
      </c>
    </row>
    <row r="968" spans="1:5" x14ac:dyDescent="0.3">
      <c r="A968" s="20" t="s">
        <v>2044</v>
      </c>
      <c r="B968" s="19">
        <v>182</v>
      </c>
      <c r="C968">
        <v>72</v>
      </c>
      <c r="D968">
        <v>18</v>
      </c>
      <c r="E968" s="19">
        <v>92</v>
      </c>
    </row>
    <row r="969" spans="1:5" x14ac:dyDescent="0.3">
      <c r="A969" s="20" t="s">
        <v>1873</v>
      </c>
      <c r="B969" s="19">
        <v>1259</v>
      </c>
      <c r="C969">
        <v>551</v>
      </c>
      <c r="D969">
        <v>120</v>
      </c>
      <c r="E969" s="19">
        <v>588</v>
      </c>
    </row>
    <row r="970" spans="1:5" x14ac:dyDescent="0.3">
      <c r="A970" s="20" t="s">
        <v>1126</v>
      </c>
      <c r="B970" s="19">
        <v>1845</v>
      </c>
      <c r="C970">
        <v>782</v>
      </c>
      <c r="D970">
        <v>268</v>
      </c>
      <c r="E970" s="19">
        <v>795</v>
      </c>
    </row>
    <row r="971" spans="1:5" x14ac:dyDescent="0.3">
      <c r="A971" s="20" t="s">
        <v>1243</v>
      </c>
      <c r="B971" s="19">
        <v>21607</v>
      </c>
      <c r="C971">
        <v>9961</v>
      </c>
      <c r="D971">
        <v>3213</v>
      </c>
      <c r="E971" s="19">
        <v>8433</v>
      </c>
    </row>
    <row r="972" spans="1:5" x14ac:dyDescent="0.3">
      <c r="A972" s="20" t="s">
        <v>1874</v>
      </c>
      <c r="B972" s="19">
        <v>4296</v>
      </c>
      <c r="C972">
        <v>1161</v>
      </c>
      <c r="D972">
        <v>722</v>
      </c>
      <c r="E972" s="19">
        <v>2413</v>
      </c>
    </row>
    <row r="973" spans="1:5" x14ac:dyDescent="0.3">
      <c r="A973" s="20" t="s">
        <v>1875</v>
      </c>
      <c r="B973" s="19">
        <v>451</v>
      </c>
      <c r="C973">
        <v>126</v>
      </c>
      <c r="D973">
        <v>72</v>
      </c>
      <c r="E973" s="19">
        <v>253</v>
      </c>
    </row>
    <row r="974" spans="1:5" x14ac:dyDescent="0.3">
      <c r="A974" s="20" t="s">
        <v>1876</v>
      </c>
      <c r="B974" s="19">
        <v>3032</v>
      </c>
      <c r="C974">
        <v>1259</v>
      </c>
      <c r="D974">
        <v>299</v>
      </c>
      <c r="E974" s="19">
        <v>1474</v>
      </c>
    </row>
    <row r="975" spans="1:5" x14ac:dyDescent="0.3">
      <c r="A975" s="20" t="s">
        <v>1049</v>
      </c>
      <c r="B975" s="19">
        <v>2701</v>
      </c>
      <c r="C975">
        <v>1309</v>
      </c>
      <c r="D975">
        <v>382</v>
      </c>
      <c r="E975" s="19">
        <v>1010</v>
      </c>
    </row>
    <row r="976" spans="1:5" x14ac:dyDescent="0.3">
      <c r="A976" s="20" t="s">
        <v>2045</v>
      </c>
      <c r="B976" s="19">
        <v>3166</v>
      </c>
      <c r="C976">
        <v>1184</v>
      </c>
      <c r="D976">
        <v>480</v>
      </c>
      <c r="E976" s="19">
        <v>1502</v>
      </c>
    </row>
    <row r="977" spans="1:5" x14ac:dyDescent="0.3">
      <c r="A977" s="20" t="s">
        <v>1040</v>
      </c>
      <c r="B977" s="19">
        <v>682</v>
      </c>
      <c r="C977">
        <v>374</v>
      </c>
      <c r="D977">
        <v>53</v>
      </c>
      <c r="E977" s="19">
        <v>255</v>
      </c>
    </row>
    <row r="978" spans="1:5" x14ac:dyDescent="0.3">
      <c r="A978" s="20" t="s">
        <v>1041</v>
      </c>
      <c r="B978" s="19">
        <v>999</v>
      </c>
      <c r="C978">
        <v>461</v>
      </c>
      <c r="D978">
        <v>66</v>
      </c>
      <c r="E978" s="19">
        <v>472</v>
      </c>
    </row>
    <row r="979" spans="1:5" x14ac:dyDescent="0.3">
      <c r="A979" s="20" t="s">
        <v>2046</v>
      </c>
      <c r="B979" s="19">
        <v>94</v>
      </c>
      <c r="C979">
        <v>48</v>
      </c>
      <c r="D979">
        <v>8</v>
      </c>
      <c r="E979" s="19">
        <v>38</v>
      </c>
    </row>
    <row r="980" spans="1:5" x14ac:dyDescent="0.3">
      <c r="A980" s="20" t="s">
        <v>2047</v>
      </c>
      <c r="B980" s="19">
        <v>195</v>
      </c>
      <c r="C980">
        <v>92</v>
      </c>
      <c r="D980">
        <v>13</v>
      </c>
      <c r="E980" s="19">
        <v>90</v>
      </c>
    </row>
    <row r="981" spans="1:5" x14ac:dyDescent="0.3">
      <c r="A981" s="20" t="s">
        <v>1163</v>
      </c>
      <c r="B981" s="19">
        <v>463</v>
      </c>
      <c r="C981">
        <v>233</v>
      </c>
      <c r="D981">
        <v>23</v>
      </c>
      <c r="E981" s="19">
        <v>207</v>
      </c>
    </row>
    <row r="982" spans="1:5" x14ac:dyDescent="0.3">
      <c r="A982" s="20" t="s">
        <v>1877</v>
      </c>
      <c r="B982" s="19">
        <v>2705</v>
      </c>
      <c r="C982">
        <v>1325</v>
      </c>
      <c r="D982">
        <v>210</v>
      </c>
      <c r="E982" s="19">
        <v>1170</v>
      </c>
    </row>
    <row r="983" spans="1:5" x14ac:dyDescent="0.3">
      <c r="A983" s="20" t="s">
        <v>2048</v>
      </c>
      <c r="B983" s="19">
        <v>426</v>
      </c>
      <c r="C983">
        <v>233</v>
      </c>
      <c r="D983">
        <v>27</v>
      </c>
      <c r="E983" s="19">
        <v>166</v>
      </c>
    </row>
    <row r="984" spans="1:5" x14ac:dyDescent="0.3">
      <c r="A984" s="20" t="s">
        <v>1878</v>
      </c>
      <c r="B984" s="19">
        <v>2245</v>
      </c>
      <c r="C984">
        <v>1057</v>
      </c>
      <c r="D984">
        <v>172</v>
      </c>
      <c r="E984" s="19">
        <v>1016</v>
      </c>
    </row>
    <row r="985" spans="1:5" x14ac:dyDescent="0.3">
      <c r="A985" s="20" t="s">
        <v>1879</v>
      </c>
      <c r="B985" s="19">
        <v>2540</v>
      </c>
      <c r="C985">
        <v>956</v>
      </c>
      <c r="D985">
        <v>214</v>
      </c>
      <c r="E985" s="19">
        <v>1370</v>
      </c>
    </row>
    <row r="986" spans="1:5" x14ac:dyDescent="0.3">
      <c r="A986" s="20" t="s">
        <v>1368</v>
      </c>
      <c r="B986" s="19">
        <v>4556</v>
      </c>
      <c r="C986">
        <v>1928</v>
      </c>
      <c r="D986">
        <v>451</v>
      </c>
      <c r="E986" s="19">
        <v>2177</v>
      </c>
    </row>
    <row r="987" spans="1:5" x14ac:dyDescent="0.3">
      <c r="A987" s="20" t="s">
        <v>1880</v>
      </c>
      <c r="B987" s="19">
        <v>258</v>
      </c>
      <c r="C987">
        <v>73</v>
      </c>
      <c r="D987">
        <v>10</v>
      </c>
      <c r="E987" s="19">
        <v>175</v>
      </c>
    </row>
    <row r="988" spans="1:5" x14ac:dyDescent="0.3">
      <c r="A988" s="20" t="s">
        <v>1288</v>
      </c>
      <c r="B988" s="19">
        <v>1179</v>
      </c>
      <c r="C988">
        <v>485</v>
      </c>
      <c r="D988">
        <v>143</v>
      </c>
      <c r="E988" s="19">
        <v>551</v>
      </c>
    </row>
    <row r="989" spans="1:5" x14ac:dyDescent="0.3">
      <c r="A989" s="20" t="s">
        <v>1440</v>
      </c>
      <c r="B989" s="19">
        <v>40736</v>
      </c>
      <c r="C989">
        <v>21331</v>
      </c>
      <c r="D989">
        <v>5356</v>
      </c>
      <c r="E989" s="19">
        <v>14049</v>
      </c>
    </row>
    <row r="990" spans="1:5" x14ac:dyDescent="0.3">
      <c r="A990" s="20" t="s">
        <v>1881</v>
      </c>
      <c r="B990" s="19">
        <v>4695</v>
      </c>
      <c r="C990">
        <v>1755</v>
      </c>
      <c r="D990">
        <v>873</v>
      </c>
      <c r="E990" s="19">
        <v>2067</v>
      </c>
    </row>
    <row r="991" spans="1:5" x14ac:dyDescent="0.3">
      <c r="A991" s="20" t="s">
        <v>1882</v>
      </c>
      <c r="B991" s="19">
        <v>2013</v>
      </c>
      <c r="C991">
        <v>590</v>
      </c>
      <c r="D991">
        <v>426</v>
      </c>
      <c r="E991" s="19">
        <v>997</v>
      </c>
    </row>
    <row r="992" spans="1:5" x14ac:dyDescent="0.3">
      <c r="A992" s="20" t="s">
        <v>1883</v>
      </c>
      <c r="B992" s="19">
        <v>889</v>
      </c>
      <c r="C992">
        <v>195</v>
      </c>
      <c r="D992">
        <v>131</v>
      </c>
      <c r="E992" s="19">
        <v>563</v>
      </c>
    </row>
    <row r="993" spans="1:5" x14ac:dyDescent="0.3">
      <c r="A993" s="20" t="s">
        <v>1884</v>
      </c>
      <c r="B993" s="19">
        <v>2197</v>
      </c>
      <c r="C993">
        <v>880</v>
      </c>
      <c r="D993">
        <v>404</v>
      </c>
      <c r="E993" s="19">
        <v>913</v>
      </c>
    </row>
    <row r="994" spans="1:5" x14ac:dyDescent="0.3">
      <c r="A994" s="20" t="s">
        <v>1885</v>
      </c>
      <c r="B994" s="19">
        <v>673</v>
      </c>
      <c r="C994">
        <v>136</v>
      </c>
      <c r="D994">
        <v>63</v>
      </c>
      <c r="E994" s="19">
        <v>474</v>
      </c>
    </row>
    <row r="995" spans="1:5" x14ac:dyDescent="0.3">
      <c r="A995" s="20" t="s">
        <v>1886</v>
      </c>
      <c r="B995" s="19">
        <v>980</v>
      </c>
      <c r="C995">
        <v>265</v>
      </c>
      <c r="D995">
        <v>198</v>
      </c>
      <c r="E995" s="19">
        <v>517</v>
      </c>
    </row>
    <row r="996" spans="1:5" x14ac:dyDescent="0.3">
      <c r="A996" s="20" t="s">
        <v>1887</v>
      </c>
      <c r="B996" s="19">
        <v>2514</v>
      </c>
      <c r="C996">
        <v>975</v>
      </c>
      <c r="D996">
        <v>141</v>
      </c>
      <c r="E996" s="19">
        <v>1398</v>
      </c>
    </row>
    <row r="997" spans="1:5" x14ac:dyDescent="0.3">
      <c r="A997" s="20" t="s">
        <v>2049</v>
      </c>
      <c r="B997" s="19">
        <v>3124</v>
      </c>
      <c r="C997">
        <v>626</v>
      </c>
      <c r="D997">
        <v>550</v>
      </c>
      <c r="E997" s="19">
        <v>1948</v>
      </c>
    </row>
    <row r="998" spans="1:5" x14ac:dyDescent="0.3">
      <c r="A998" s="20" t="s">
        <v>1888</v>
      </c>
      <c r="B998" s="19">
        <v>2241</v>
      </c>
      <c r="C998">
        <v>882</v>
      </c>
      <c r="D998">
        <v>344</v>
      </c>
      <c r="E998" s="19">
        <v>1015</v>
      </c>
    </row>
    <row r="999" spans="1:5" x14ac:dyDescent="0.3">
      <c r="A999" s="20" t="s">
        <v>1889</v>
      </c>
      <c r="B999" s="19">
        <v>1883</v>
      </c>
      <c r="C999">
        <v>674</v>
      </c>
      <c r="D999">
        <v>247</v>
      </c>
      <c r="E999" s="19">
        <v>962</v>
      </c>
    </row>
    <row r="1000" spans="1:5" x14ac:dyDescent="0.3">
      <c r="A1000" s="20" t="s">
        <v>1890</v>
      </c>
      <c r="B1000" s="19">
        <v>1458</v>
      </c>
      <c r="C1000">
        <v>377</v>
      </c>
      <c r="D1000">
        <v>258</v>
      </c>
      <c r="E1000" s="19">
        <v>823</v>
      </c>
    </row>
    <row r="1001" spans="1:5" x14ac:dyDescent="0.3">
      <c r="A1001" s="20" t="s">
        <v>1409</v>
      </c>
      <c r="B1001" s="19">
        <v>2305</v>
      </c>
      <c r="C1001">
        <v>807</v>
      </c>
      <c r="D1001">
        <v>284</v>
      </c>
      <c r="E1001" s="19">
        <v>1214</v>
      </c>
    </row>
    <row r="1002" spans="1:5" x14ac:dyDescent="0.3">
      <c r="A1002" s="20" t="s">
        <v>1891</v>
      </c>
      <c r="B1002" s="19">
        <v>639</v>
      </c>
      <c r="C1002">
        <v>100</v>
      </c>
      <c r="D1002">
        <v>35</v>
      </c>
      <c r="E1002" s="19">
        <v>504</v>
      </c>
    </row>
    <row r="1003" spans="1:5" x14ac:dyDescent="0.3">
      <c r="A1003" s="20" t="s">
        <v>1892</v>
      </c>
      <c r="B1003" s="19">
        <v>434</v>
      </c>
      <c r="C1003">
        <v>112</v>
      </c>
      <c r="D1003">
        <v>38</v>
      </c>
      <c r="E1003" s="19">
        <v>284</v>
      </c>
    </row>
    <row r="1004" spans="1:5" x14ac:dyDescent="0.3">
      <c r="A1004" s="20" t="s">
        <v>1893</v>
      </c>
      <c r="B1004" s="19">
        <v>550</v>
      </c>
      <c r="C1004">
        <v>69</v>
      </c>
      <c r="D1004">
        <v>41</v>
      </c>
      <c r="E1004" s="19">
        <v>440</v>
      </c>
    </row>
    <row r="1005" spans="1:5" x14ac:dyDescent="0.3">
      <c r="A1005" s="20" t="s">
        <v>1117</v>
      </c>
      <c r="B1005" s="19">
        <v>265</v>
      </c>
      <c r="C1005">
        <v>47</v>
      </c>
      <c r="D1005">
        <v>74</v>
      </c>
      <c r="E1005" s="19">
        <v>144</v>
      </c>
    </row>
    <row r="1006" spans="1:5" x14ac:dyDescent="0.3">
      <c r="A1006" s="20" t="s">
        <v>1127</v>
      </c>
      <c r="B1006" s="19">
        <v>18344</v>
      </c>
      <c r="C1006">
        <v>10487</v>
      </c>
      <c r="D1006">
        <v>1813</v>
      </c>
      <c r="E1006" s="19">
        <v>6044</v>
      </c>
    </row>
    <row r="1007" spans="1:5" x14ac:dyDescent="0.3">
      <c r="A1007" s="20" t="s">
        <v>2050</v>
      </c>
      <c r="B1007" s="19">
        <v>2288</v>
      </c>
      <c r="C1007">
        <v>1091</v>
      </c>
      <c r="D1007">
        <v>111</v>
      </c>
      <c r="E1007" s="19">
        <v>1086</v>
      </c>
    </row>
    <row r="1008" spans="1:5" x14ac:dyDescent="0.3">
      <c r="A1008" s="20" t="s">
        <v>1894</v>
      </c>
      <c r="B1008" s="19">
        <v>886</v>
      </c>
      <c r="C1008">
        <v>359</v>
      </c>
      <c r="D1008">
        <v>26</v>
      </c>
      <c r="E1008" s="19">
        <v>501</v>
      </c>
    </row>
    <row r="1009" spans="1:5" x14ac:dyDescent="0.3">
      <c r="A1009" s="20" t="s">
        <v>1895</v>
      </c>
      <c r="B1009" s="19">
        <v>2988</v>
      </c>
      <c r="C1009">
        <v>1510</v>
      </c>
      <c r="D1009">
        <v>148</v>
      </c>
      <c r="E1009" s="19">
        <v>1330</v>
      </c>
    </row>
    <row r="1010" spans="1:5" x14ac:dyDescent="0.3">
      <c r="A1010" s="20" t="s">
        <v>1896</v>
      </c>
      <c r="B1010" s="19">
        <v>3253</v>
      </c>
      <c r="C1010">
        <v>1380</v>
      </c>
      <c r="D1010">
        <v>457</v>
      </c>
      <c r="E1010" s="19">
        <v>1416</v>
      </c>
    </row>
    <row r="1011" spans="1:5" x14ac:dyDescent="0.3">
      <c r="A1011" s="20" t="s">
        <v>2051</v>
      </c>
      <c r="B1011" s="19">
        <v>1632</v>
      </c>
      <c r="C1011">
        <v>765</v>
      </c>
      <c r="D1011">
        <v>132</v>
      </c>
      <c r="E1011" s="19">
        <v>735</v>
      </c>
    </row>
    <row r="1012" spans="1:5" x14ac:dyDescent="0.3">
      <c r="A1012" s="20" t="s">
        <v>2052</v>
      </c>
      <c r="B1012" s="19">
        <v>1447</v>
      </c>
      <c r="C1012">
        <v>676</v>
      </c>
      <c r="D1012">
        <v>48</v>
      </c>
      <c r="E1012" s="19">
        <v>723</v>
      </c>
    </row>
    <row r="1013" spans="1:5" x14ac:dyDescent="0.3">
      <c r="A1013" s="20" t="s">
        <v>1897</v>
      </c>
      <c r="B1013" s="19">
        <v>2667</v>
      </c>
      <c r="C1013">
        <v>1106</v>
      </c>
      <c r="D1013">
        <v>149</v>
      </c>
      <c r="E1013" s="19">
        <v>1412</v>
      </c>
    </row>
    <row r="1014" spans="1:5" x14ac:dyDescent="0.3">
      <c r="A1014" s="20" t="s">
        <v>2053</v>
      </c>
      <c r="B1014" s="19">
        <v>2505</v>
      </c>
      <c r="C1014">
        <v>1222</v>
      </c>
      <c r="D1014">
        <v>86</v>
      </c>
      <c r="E1014" s="19">
        <v>1197</v>
      </c>
    </row>
    <row r="1015" spans="1:5" x14ac:dyDescent="0.3">
      <c r="A1015" s="20" t="s">
        <v>1301</v>
      </c>
      <c r="B1015" s="19">
        <v>5128</v>
      </c>
      <c r="C1015">
        <v>2326</v>
      </c>
      <c r="D1015">
        <v>623</v>
      </c>
      <c r="E1015" s="19">
        <v>2179</v>
      </c>
    </row>
    <row r="1016" spans="1:5" x14ac:dyDescent="0.3">
      <c r="A1016" s="20" t="s">
        <v>1408</v>
      </c>
      <c r="B1016" s="19">
        <v>3642</v>
      </c>
      <c r="C1016">
        <v>1781</v>
      </c>
      <c r="D1016">
        <v>400</v>
      </c>
      <c r="E1016" s="19">
        <v>1461</v>
      </c>
    </row>
    <row r="1017" spans="1:5" x14ac:dyDescent="0.3">
      <c r="A1017" s="20" t="s">
        <v>1898</v>
      </c>
      <c r="B1017" s="19">
        <v>2216</v>
      </c>
      <c r="C1017">
        <v>461</v>
      </c>
      <c r="D1017">
        <v>152</v>
      </c>
      <c r="E1017" s="19">
        <v>1603</v>
      </c>
    </row>
    <row r="1018" spans="1:5" x14ac:dyDescent="0.3">
      <c r="A1018" s="20" t="s">
        <v>1899</v>
      </c>
      <c r="B1018" s="19">
        <v>2078</v>
      </c>
      <c r="C1018">
        <v>432</v>
      </c>
      <c r="D1018">
        <v>213</v>
      </c>
      <c r="E1018" s="19">
        <v>1433</v>
      </c>
    </row>
    <row r="1019" spans="1:5" x14ac:dyDescent="0.3">
      <c r="A1019" s="20" t="s">
        <v>1177</v>
      </c>
      <c r="B1019" s="19">
        <v>3220</v>
      </c>
      <c r="C1019">
        <v>593</v>
      </c>
      <c r="D1019">
        <v>556</v>
      </c>
      <c r="E1019" s="19">
        <v>2071</v>
      </c>
    </row>
    <row r="1020" spans="1:5" x14ac:dyDescent="0.3">
      <c r="A1020" s="20" t="s">
        <v>2054</v>
      </c>
      <c r="B1020" s="19">
        <v>812</v>
      </c>
      <c r="C1020">
        <v>256</v>
      </c>
      <c r="D1020">
        <v>158</v>
      </c>
      <c r="E1020" s="19">
        <v>398</v>
      </c>
    </row>
    <row r="1021" spans="1:5" x14ac:dyDescent="0.3">
      <c r="A1021" s="20" t="s">
        <v>1473</v>
      </c>
      <c r="B1021" s="19">
        <v>272185</v>
      </c>
      <c r="C1021">
        <v>140856</v>
      </c>
      <c r="D1021">
        <v>24176</v>
      </c>
      <c r="E1021" s="19">
        <v>107153</v>
      </c>
    </row>
    <row r="1022" spans="1:5" x14ac:dyDescent="0.3">
      <c r="A1022" s="20" t="s">
        <v>1900</v>
      </c>
      <c r="B1022" s="19">
        <v>6386</v>
      </c>
      <c r="C1022">
        <v>3236</v>
      </c>
      <c r="D1022">
        <v>265</v>
      </c>
      <c r="E1022" s="19">
        <v>2885</v>
      </c>
    </row>
    <row r="1023" spans="1:5" x14ac:dyDescent="0.3">
      <c r="A1023" s="20" t="s">
        <v>1359</v>
      </c>
      <c r="B1023" s="19">
        <v>8407</v>
      </c>
      <c r="C1023">
        <v>4126</v>
      </c>
      <c r="D1023">
        <v>480</v>
      </c>
      <c r="E1023" s="19">
        <v>3801</v>
      </c>
    </row>
    <row r="1024" spans="1:5" x14ac:dyDescent="0.3">
      <c r="A1024" s="20" t="s">
        <v>1901</v>
      </c>
      <c r="B1024" s="19">
        <v>8330</v>
      </c>
      <c r="C1024">
        <v>3976</v>
      </c>
      <c r="D1024">
        <v>539</v>
      </c>
      <c r="E1024" s="19">
        <v>3815</v>
      </c>
    </row>
    <row r="1025" spans="1:5" x14ac:dyDescent="0.3">
      <c r="A1025" s="20" t="s">
        <v>1902</v>
      </c>
      <c r="B1025" s="19">
        <v>9824</v>
      </c>
      <c r="C1025">
        <v>4653</v>
      </c>
      <c r="D1025">
        <v>482</v>
      </c>
      <c r="E1025" s="19">
        <v>4689</v>
      </c>
    </row>
    <row r="1026" spans="1:5" x14ac:dyDescent="0.3">
      <c r="A1026" s="20" t="s">
        <v>1903</v>
      </c>
      <c r="B1026" s="19">
        <v>7165</v>
      </c>
      <c r="C1026">
        <v>3694</v>
      </c>
      <c r="D1026">
        <v>413</v>
      </c>
      <c r="E1026" s="19">
        <v>3058</v>
      </c>
    </row>
    <row r="1027" spans="1:5" x14ac:dyDescent="0.3">
      <c r="A1027" s="20" t="s">
        <v>1904</v>
      </c>
      <c r="B1027" s="19">
        <v>4333</v>
      </c>
      <c r="C1027">
        <v>2170</v>
      </c>
      <c r="D1027">
        <v>325</v>
      </c>
      <c r="E1027" s="19">
        <v>1838</v>
      </c>
    </row>
    <row r="1028" spans="1:5" x14ac:dyDescent="0.3">
      <c r="A1028" s="20" t="s">
        <v>1905</v>
      </c>
      <c r="B1028" s="19">
        <v>5134</v>
      </c>
      <c r="C1028">
        <v>2469</v>
      </c>
      <c r="D1028">
        <v>218</v>
      </c>
      <c r="E1028" s="19">
        <v>2447</v>
      </c>
    </row>
    <row r="1029" spans="1:5" x14ac:dyDescent="0.3">
      <c r="A1029" s="20" t="s">
        <v>1293</v>
      </c>
      <c r="B1029" s="19">
        <v>25886</v>
      </c>
      <c r="C1029">
        <v>11779</v>
      </c>
      <c r="D1029">
        <v>2743</v>
      </c>
      <c r="E1029" s="19">
        <v>11364</v>
      </c>
    </row>
    <row r="1030" spans="1:5" x14ac:dyDescent="0.3">
      <c r="A1030" s="20" t="s">
        <v>1906</v>
      </c>
      <c r="B1030" s="19">
        <v>5006</v>
      </c>
      <c r="C1030">
        <v>2405</v>
      </c>
      <c r="D1030">
        <v>272</v>
      </c>
      <c r="E1030" s="19">
        <v>2329</v>
      </c>
    </row>
    <row r="1031" spans="1:5" x14ac:dyDescent="0.3">
      <c r="A1031" s="20" t="s">
        <v>1907</v>
      </c>
      <c r="B1031" s="19">
        <v>3150</v>
      </c>
      <c r="C1031">
        <v>1562</v>
      </c>
      <c r="D1031">
        <v>183</v>
      </c>
      <c r="E1031" s="19">
        <v>1405</v>
      </c>
    </row>
    <row r="1032" spans="1:5" x14ac:dyDescent="0.3">
      <c r="A1032" s="20" t="s">
        <v>1908</v>
      </c>
      <c r="B1032" s="19">
        <v>1643</v>
      </c>
      <c r="C1032">
        <v>721</v>
      </c>
      <c r="D1032">
        <v>181</v>
      </c>
      <c r="E1032" s="19">
        <v>741</v>
      </c>
    </row>
    <row r="1033" spans="1:5" x14ac:dyDescent="0.3">
      <c r="A1033" s="20" t="s">
        <v>1220</v>
      </c>
      <c r="B1033" s="19">
        <v>51806</v>
      </c>
      <c r="C1033">
        <v>24048</v>
      </c>
      <c r="D1033">
        <v>5630</v>
      </c>
      <c r="E1033" s="19">
        <v>22128</v>
      </c>
    </row>
    <row r="1034" spans="1:5" x14ac:dyDescent="0.3">
      <c r="A1034" s="20" t="s">
        <v>1050</v>
      </c>
      <c r="B1034" s="19">
        <v>2839</v>
      </c>
      <c r="C1034">
        <v>1209</v>
      </c>
      <c r="D1034">
        <v>301</v>
      </c>
      <c r="E1034" s="19">
        <v>1329</v>
      </c>
    </row>
    <row r="1035" spans="1:5" x14ac:dyDescent="0.3">
      <c r="A1035" s="20" t="s">
        <v>1342</v>
      </c>
      <c r="B1035" s="19">
        <v>27601</v>
      </c>
      <c r="C1035">
        <v>11602</v>
      </c>
      <c r="D1035">
        <v>2115</v>
      </c>
      <c r="E1035" s="19">
        <v>13884</v>
      </c>
    </row>
    <row r="1036" spans="1:5" x14ac:dyDescent="0.3">
      <c r="A1036" s="20" t="s">
        <v>1097</v>
      </c>
      <c r="B1036" s="19">
        <v>14397</v>
      </c>
      <c r="C1036">
        <v>6870</v>
      </c>
      <c r="D1036">
        <v>1225</v>
      </c>
      <c r="E1036" s="19">
        <v>6302</v>
      </c>
    </row>
    <row r="1037" spans="1:5" x14ac:dyDescent="0.3">
      <c r="A1037" s="20" t="s">
        <v>1428</v>
      </c>
      <c r="B1037" s="19">
        <v>25992</v>
      </c>
      <c r="C1037">
        <v>11424</v>
      </c>
      <c r="D1037">
        <v>2650</v>
      </c>
      <c r="E1037" s="19">
        <v>11918</v>
      </c>
    </row>
    <row r="1038" spans="1:5" x14ac:dyDescent="0.3">
      <c r="A1038" s="20" t="s">
        <v>1042</v>
      </c>
      <c r="B1038" s="19">
        <v>3070</v>
      </c>
      <c r="C1038">
        <v>1290</v>
      </c>
      <c r="D1038">
        <v>160</v>
      </c>
      <c r="E1038" s="19">
        <v>1620</v>
      </c>
    </row>
    <row r="1039" spans="1:5" x14ac:dyDescent="0.3">
      <c r="A1039" s="20" t="s">
        <v>1150</v>
      </c>
      <c r="B1039" s="19">
        <v>5743</v>
      </c>
      <c r="C1039">
        <v>2374</v>
      </c>
      <c r="D1039">
        <v>738</v>
      </c>
      <c r="E1039" s="19">
        <v>2631</v>
      </c>
    </row>
    <row r="1040" spans="1:5" x14ac:dyDescent="0.3">
      <c r="A1040" s="20" t="s">
        <v>1147</v>
      </c>
      <c r="B1040" s="19">
        <v>80065</v>
      </c>
      <c r="C1040">
        <v>35801</v>
      </c>
      <c r="D1040">
        <v>9596</v>
      </c>
      <c r="E1040" s="19">
        <v>34668</v>
      </c>
    </row>
    <row r="1041" spans="1:5" x14ac:dyDescent="0.3">
      <c r="A1041" s="20" t="s">
        <v>1129</v>
      </c>
      <c r="B1041" s="19">
        <v>26168</v>
      </c>
      <c r="C1041">
        <v>11274</v>
      </c>
      <c r="D1041">
        <v>3163</v>
      </c>
      <c r="E1041" s="19">
        <v>11731</v>
      </c>
    </row>
    <row r="1042" spans="1:5" x14ac:dyDescent="0.3">
      <c r="A1042" s="20" t="s">
        <v>1043</v>
      </c>
      <c r="B1042" s="19">
        <v>10041</v>
      </c>
      <c r="C1042">
        <v>3765</v>
      </c>
      <c r="D1042">
        <v>1488</v>
      </c>
      <c r="E1042" s="19">
        <v>4788</v>
      </c>
    </row>
    <row r="1043" spans="1:5" x14ac:dyDescent="0.3">
      <c r="A1043" s="20" t="s">
        <v>1101</v>
      </c>
      <c r="B1043" s="19">
        <v>25640</v>
      </c>
      <c r="C1043">
        <v>11462</v>
      </c>
      <c r="D1043">
        <v>2651</v>
      </c>
      <c r="E1043" s="19">
        <v>11527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F5C8-8C0B-48AC-A8F2-EC7804C5BE33}">
  <dimension ref="A1:I2085"/>
  <sheetViews>
    <sheetView workbookViewId="0">
      <selection activeCell="F1" sqref="F1:I1"/>
    </sheetView>
  </sheetViews>
  <sheetFormatPr baseColWidth="10" defaultRowHeight="14.4" x14ac:dyDescent="0.3"/>
  <sheetData>
    <row r="1" spans="1:9" ht="82.8" x14ac:dyDescent="0.3">
      <c r="A1" s="1" t="s">
        <v>0</v>
      </c>
      <c r="B1" s="16" t="s">
        <v>7</v>
      </c>
      <c r="C1" s="16" t="s">
        <v>8</v>
      </c>
      <c r="D1" s="16" t="s">
        <v>9</v>
      </c>
      <c r="E1" s="16" t="s">
        <v>2057</v>
      </c>
      <c r="F1" s="16" t="s">
        <v>2058</v>
      </c>
      <c r="G1" s="17" t="s">
        <v>2059</v>
      </c>
      <c r="H1" s="17" t="s">
        <v>2060</v>
      </c>
      <c r="I1" s="16" t="s">
        <v>2061</v>
      </c>
    </row>
    <row r="2" spans="1:9" x14ac:dyDescent="0.3">
      <c r="A2" t="s">
        <v>1492</v>
      </c>
      <c r="B2" s="18" t="s">
        <v>13</v>
      </c>
      <c r="C2" s="18" t="s">
        <v>89</v>
      </c>
      <c r="D2" s="18" t="s">
        <v>89</v>
      </c>
      <c r="E2" s="18" t="s">
        <v>2062</v>
      </c>
      <c r="F2" s="18">
        <v>7731</v>
      </c>
      <c r="G2" s="18">
        <v>5928</v>
      </c>
      <c r="H2" s="18">
        <v>339</v>
      </c>
      <c r="I2" s="18">
        <v>1464</v>
      </c>
    </row>
    <row r="3" spans="1:9" x14ac:dyDescent="0.3">
      <c r="A3" t="s">
        <v>1069</v>
      </c>
      <c r="B3" s="18" t="s">
        <v>13</v>
      </c>
      <c r="C3" s="18" t="s">
        <v>78</v>
      </c>
      <c r="D3" s="18" t="s">
        <v>78</v>
      </c>
      <c r="E3" s="18" t="s">
        <v>2062</v>
      </c>
      <c r="F3" s="18">
        <v>2253</v>
      </c>
      <c r="G3" s="18">
        <v>1574</v>
      </c>
      <c r="H3" s="18">
        <v>81</v>
      </c>
      <c r="I3" s="18">
        <v>598</v>
      </c>
    </row>
    <row r="4" spans="1:9" x14ac:dyDescent="0.3">
      <c r="A4" t="s">
        <v>1019</v>
      </c>
      <c r="B4" s="18" t="s">
        <v>13</v>
      </c>
      <c r="C4" s="18" t="s">
        <v>78</v>
      </c>
      <c r="D4" s="18" t="s">
        <v>80</v>
      </c>
      <c r="E4" s="18" t="s">
        <v>2062</v>
      </c>
      <c r="F4" s="18">
        <v>570</v>
      </c>
      <c r="G4" s="18">
        <v>434</v>
      </c>
      <c r="H4" s="18">
        <v>16</v>
      </c>
      <c r="I4" s="18">
        <v>120</v>
      </c>
    </row>
    <row r="5" spans="1:9" x14ac:dyDescent="0.3">
      <c r="A5" t="s">
        <v>1490</v>
      </c>
      <c r="B5" s="18" t="s">
        <v>13</v>
      </c>
      <c r="C5" s="18" t="s">
        <v>78</v>
      </c>
      <c r="D5" s="18" t="s">
        <v>81</v>
      </c>
      <c r="E5" s="18" t="s">
        <v>2062</v>
      </c>
      <c r="F5" s="18">
        <v>371</v>
      </c>
      <c r="G5" s="18">
        <v>280</v>
      </c>
      <c r="H5" s="18">
        <v>11</v>
      </c>
      <c r="I5" s="18">
        <v>80</v>
      </c>
    </row>
    <row r="6" spans="1:9" x14ac:dyDescent="0.3">
      <c r="A6" t="s">
        <v>1917</v>
      </c>
      <c r="B6" s="18" t="s">
        <v>13</v>
      </c>
      <c r="C6" s="18" t="s">
        <v>78</v>
      </c>
      <c r="D6" s="18" t="s">
        <v>79</v>
      </c>
      <c r="E6" s="18" t="s">
        <v>2062</v>
      </c>
      <c r="F6" s="18">
        <v>351</v>
      </c>
      <c r="G6" s="18">
        <v>217</v>
      </c>
      <c r="H6" s="18">
        <v>40</v>
      </c>
      <c r="I6" s="18">
        <v>94</v>
      </c>
    </row>
    <row r="7" spans="1:9" x14ac:dyDescent="0.3">
      <c r="A7" t="s">
        <v>1918</v>
      </c>
      <c r="B7" s="18" t="s">
        <v>13</v>
      </c>
      <c r="C7" s="18" t="s">
        <v>78</v>
      </c>
      <c r="D7" s="18" t="s">
        <v>82</v>
      </c>
      <c r="E7" s="18" t="s">
        <v>2062</v>
      </c>
      <c r="F7" s="18">
        <v>304</v>
      </c>
      <c r="G7" s="18">
        <v>201</v>
      </c>
      <c r="H7" s="18">
        <v>12</v>
      </c>
      <c r="I7" s="18">
        <v>91</v>
      </c>
    </row>
    <row r="8" spans="1:9" x14ac:dyDescent="0.3">
      <c r="A8" t="s">
        <v>1387</v>
      </c>
      <c r="B8" s="18" t="s">
        <v>13</v>
      </c>
      <c r="C8" s="18" t="s">
        <v>14</v>
      </c>
      <c r="D8" s="18" t="s">
        <v>15</v>
      </c>
      <c r="E8" s="18" t="s">
        <v>2062</v>
      </c>
      <c r="F8" s="18">
        <v>7147</v>
      </c>
      <c r="G8" s="18">
        <v>4972</v>
      </c>
      <c r="H8" s="18">
        <v>387</v>
      </c>
      <c r="I8" s="18">
        <v>1788</v>
      </c>
    </row>
    <row r="9" spans="1:9" x14ac:dyDescent="0.3">
      <c r="A9" t="s">
        <v>1909</v>
      </c>
      <c r="B9" s="18" t="s">
        <v>13</v>
      </c>
      <c r="C9" s="18" t="s">
        <v>14</v>
      </c>
      <c r="D9" s="18" t="s">
        <v>17</v>
      </c>
      <c r="E9" s="18" t="s">
        <v>2062</v>
      </c>
      <c r="F9" s="18">
        <v>544</v>
      </c>
      <c r="G9" s="18">
        <v>254</v>
      </c>
      <c r="H9" s="18">
        <v>47</v>
      </c>
      <c r="I9" s="18">
        <v>243</v>
      </c>
    </row>
    <row r="10" spans="1:9" x14ac:dyDescent="0.3">
      <c r="A10" t="s">
        <v>1157</v>
      </c>
      <c r="B10" s="18" t="s">
        <v>13</v>
      </c>
      <c r="C10" s="18" t="s">
        <v>14</v>
      </c>
      <c r="D10" s="18" t="s">
        <v>18</v>
      </c>
      <c r="E10" s="18" t="s">
        <v>2062</v>
      </c>
      <c r="F10" s="18">
        <v>1052</v>
      </c>
      <c r="G10" s="18">
        <v>625</v>
      </c>
      <c r="H10" s="18">
        <v>59</v>
      </c>
      <c r="I10" s="18">
        <v>368</v>
      </c>
    </row>
    <row r="11" spans="1:9" x14ac:dyDescent="0.3">
      <c r="A11" t="s">
        <v>1015</v>
      </c>
      <c r="B11" s="18" t="s">
        <v>13</v>
      </c>
      <c r="C11" s="18" t="s">
        <v>14</v>
      </c>
      <c r="D11" s="18" t="s">
        <v>19</v>
      </c>
      <c r="E11" s="18" t="s">
        <v>2062</v>
      </c>
      <c r="F11" s="18">
        <v>1990</v>
      </c>
      <c r="G11" s="18">
        <v>1333</v>
      </c>
      <c r="H11" s="18">
        <v>90</v>
      </c>
      <c r="I11" s="18">
        <v>567</v>
      </c>
    </row>
    <row r="12" spans="1:9" x14ac:dyDescent="0.3">
      <c r="A12" t="s">
        <v>1334</v>
      </c>
      <c r="B12" s="18" t="s">
        <v>13</v>
      </c>
      <c r="C12" s="18" t="s">
        <v>14</v>
      </c>
      <c r="D12" s="18" t="s">
        <v>14</v>
      </c>
      <c r="E12" s="18" t="s">
        <v>2062</v>
      </c>
      <c r="F12" s="18">
        <v>132639</v>
      </c>
      <c r="G12" s="18">
        <v>90621</v>
      </c>
      <c r="H12" s="18">
        <v>5701</v>
      </c>
      <c r="I12" s="18">
        <v>36317</v>
      </c>
    </row>
    <row r="13" spans="1:9" x14ac:dyDescent="0.3">
      <c r="A13" t="s">
        <v>1476</v>
      </c>
      <c r="B13" s="18" t="s">
        <v>13</v>
      </c>
      <c r="C13" s="18" t="s">
        <v>14</v>
      </c>
      <c r="D13" s="18" t="s">
        <v>16</v>
      </c>
      <c r="E13" s="18" t="s">
        <v>2062</v>
      </c>
      <c r="F13" s="18">
        <v>2043</v>
      </c>
      <c r="G13" s="18">
        <v>1269</v>
      </c>
      <c r="H13" s="18">
        <v>97</v>
      </c>
      <c r="I13" s="18">
        <v>677</v>
      </c>
    </row>
    <row r="14" spans="1:9" x14ac:dyDescent="0.3">
      <c r="A14" t="s">
        <v>1055</v>
      </c>
      <c r="B14" s="18" t="s">
        <v>13</v>
      </c>
      <c r="C14" s="18" t="s">
        <v>14</v>
      </c>
      <c r="D14" s="18" t="s">
        <v>20</v>
      </c>
      <c r="E14" s="18" t="s">
        <v>2062</v>
      </c>
      <c r="F14" s="18">
        <v>2513</v>
      </c>
      <c r="G14" s="18">
        <v>1728</v>
      </c>
      <c r="H14" s="18">
        <v>104</v>
      </c>
      <c r="I14" s="18">
        <v>681</v>
      </c>
    </row>
    <row r="15" spans="1:9" x14ac:dyDescent="0.3">
      <c r="A15" t="s">
        <v>1343</v>
      </c>
      <c r="B15" s="18" t="s">
        <v>13</v>
      </c>
      <c r="C15" s="18" t="s">
        <v>14</v>
      </c>
      <c r="D15" s="18" t="s">
        <v>21</v>
      </c>
      <c r="E15" s="18" t="s">
        <v>2062</v>
      </c>
      <c r="F15" s="18">
        <v>2174</v>
      </c>
      <c r="G15" s="18">
        <v>1343</v>
      </c>
      <c r="H15" s="18">
        <v>144</v>
      </c>
      <c r="I15" s="18">
        <v>687</v>
      </c>
    </row>
    <row r="16" spans="1:9" x14ac:dyDescent="0.3">
      <c r="A16" t="s">
        <v>1303</v>
      </c>
      <c r="B16" s="18" t="s">
        <v>13</v>
      </c>
      <c r="C16" s="18" t="s">
        <v>14</v>
      </c>
      <c r="D16" s="18" t="s">
        <v>22</v>
      </c>
      <c r="E16" s="18" t="s">
        <v>2062</v>
      </c>
      <c r="F16" s="18">
        <v>2423</v>
      </c>
      <c r="G16" s="18">
        <v>1694</v>
      </c>
      <c r="H16" s="18">
        <v>82</v>
      </c>
      <c r="I16" s="18">
        <v>647</v>
      </c>
    </row>
    <row r="17" spans="1:9" x14ac:dyDescent="0.3">
      <c r="A17" t="s">
        <v>1135</v>
      </c>
      <c r="B17" s="18" t="s">
        <v>13</v>
      </c>
      <c r="C17" s="18" t="s">
        <v>14</v>
      </c>
      <c r="D17" s="18" t="s">
        <v>23</v>
      </c>
      <c r="E17" s="18" t="s">
        <v>2062</v>
      </c>
      <c r="F17" s="18">
        <v>823</v>
      </c>
      <c r="G17" s="18">
        <v>466</v>
      </c>
      <c r="H17" s="18">
        <v>52</v>
      </c>
      <c r="I17" s="18">
        <v>305</v>
      </c>
    </row>
    <row r="18" spans="1:9" x14ac:dyDescent="0.3">
      <c r="A18" t="s">
        <v>1344</v>
      </c>
      <c r="B18" s="18" t="s">
        <v>13</v>
      </c>
      <c r="C18" s="18" t="s">
        <v>14</v>
      </c>
      <c r="D18" s="18" t="s">
        <v>24</v>
      </c>
      <c r="E18" s="18" t="s">
        <v>2062</v>
      </c>
      <c r="F18" s="18">
        <v>2886</v>
      </c>
      <c r="G18" s="18">
        <v>1946</v>
      </c>
      <c r="H18" s="18">
        <v>111</v>
      </c>
      <c r="I18" s="18">
        <v>829</v>
      </c>
    </row>
    <row r="19" spans="1:9" x14ac:dyDescent="0.3">
      <c r="A19" t="s">
        <v>1477</v>
      </c>
      <c r="B19" s="18" t="s">
        <v>13</v>
      </c>
      <c r="C19" s="18" t="s">
        <v>14</v>
      </c>
      <c r="D19" s="18" t="s">
        <v>25</v>
      </c>
      <c r="E19" s="18" t="s">
        <v>2062</v>
      </c>
      <c r="F19" s="18">
        <v>2172</v>
      </c>
      <c r="G19" s="18">
        <v>1192</v>
      </c>
      <c r="H19" s="18">
        <v>79</v>
      </c>
      <c r="I19" s="18">
        <v>901</v>
      </c>
    </row>
    <row r="20" spans="1:9" x14ac:dyDescent="0.3">
      <c r="A20" t="s">
        <v>1085</v>
      </c>
      <c r="B20" s="18" t="s">
        <v>13</v>
      </c>
      <c r="C20" s="18" t="s">
        <v>14</v>
      </c>
      <c r="D20" s="18" t="s">
        <v>26</v>
      </c>
      <c r="E20" s="18" t="s">
        <v>2062</v>
      </c>
      <c r="F20" s="18">
        <v>9357</v>
      </c>
      <c r="G20" s="18">
        <v>6419</v>
      </c>
      <c r="H20" s="18">
        <v>469</v>
      </c>
      <c r="I20" s="18">
        <v>2469</v>
      </c>
    </row>
    <row r="21" spans="1:9" x14ac:dyDescent="0.3">
      <c r="A21" t="s">
        <v>1374</v>
      </c>
      <c r="B21" s="18" t="s">
        <v>13</v>
      </c>
      <c r="C21" s="18" t="s">
        <v>14</v>
      </c>
      <c r="D21" s="18" t="s">
        <v>27</v>
      </c>
      <c r="E21" s="18" t="s">
        <v>2062</v>
      </c>
      <c r="F21" s="18">
        <v>3664</v>
      </c>
      <c r="G21" s="18">
        <v>2715</v>
      </c>
      <c r="H21" s="18">
        <v>101</v>
      </c>
      <c r="I21" s="18">
        <v>848</v>
      </c>
    </row>
    <row r="22" spans="1:9" x14ac:dyDescent="0.3">
      <c r="A22" t="s">
        <v>1079</v>
      </c>
      <c r="B22" s="18" t="s">
        <v>13</v>
      </c>
      <c r="C22" s="18" t="s">
        <v>14</v>
      </c>
      <c r="D22" s="18" t="s">
        <v>28</v>
      </c>
      <c r="E22" s="18" t="s">
        <v>2062</v>
      </c>
      <c r="F22" s="18">
        <v>2318</v>
      </c>
      <c r="G22" s="18">
        <v>1564</v>
      </c>
      <c r="H22" s="18">
        <v>88</v>
      </c>
      <c r="I22" s="18">
        <v>666</v>
      </c>
    </row>
    <row r="23" spans="1:9" x14ac:dyDescent="0.3">
      <c r="A23" t="s">
        <v>1393</v>
      </c>
      <c r="B23" s="18" t="s">
        <v>13</v>
      </c>
      <c r="C23" s="18" t="s">
        <v>14</v>
      </c>
      <c r="D23" s="18" t="s">
        <v>29</v>
      </c>
      <c r="E23" s="18" t="s">
        <v>2062</v>
      </c>
      <c r="F23" s="18">
        <v>3372</v>
      </c>
      <c r="G23" s="18">
        <v>2321</v>
      </c>
      <c r="H23" s="18">
        <v>212</v>
      </c>
      <c r="I23" s="18">
        <v>839</v>
      </c>
    </row>
    <row r="24" spans="1:9" x14ac:dyDescent="0.3">
      <c r="A24" t="s">
        <v>1215</v>
      </c>
      <c r="B24" s="18" t="s">
        <v>13</v>
      </c>
      <c r="C24" s="18" t="s">
        <v>14</v>
      </c>
      <c r="D24" s="18" t="s">
        <v>30</v>
      </c>
      <c r="E24" s="18" t="s">
        <v>2062</v>
      </c>
      <c r="F24" s="18">
        <v>1655</v>
      </c>
      <c r="G24" s="18">
        <v>1061</v>
      </c>
      <c r="H24" s="18">
        <v>95</v>
      </c>
      <c r="I24" s="18">
        <v>499</v>
      </c>
    </row>
    <row r="25" spans="1:9" x14ac:dyDescent="0.3">
      <c r="A25" t="s">
        <v>1162</v>
      </c>
      <c r="B25" s="18" t="s">
        <v>13</v>
      </c>
      <c r="C25" s="18" t="s">
        <v>14</v>
      </c>
      <c r="D25" s="18" t="s">
        <v>31</v>
      </c>
      <c r="E25" s="18" t="s">
        <v>2062</v>
      </c>
      <c r="F25" s="18">
        <v>8856</v>
      </c>
      <c r="G25" s="18">
        <v>6244</v>
      </c>
      <c r="H25" s="18">
        <v>431</v>
      </c>
      <c r="I25" s="18">
        <v>2181</v>
      </c>
    </row>
    <row r="26" spans="1:9" x14ac:dyDescent="0.3">
      <c r="A26" t="s">
        <v>1478</v>
      </c>
      <c r="B26" s="18" t="s">
        <v>13</v>
      </c>
      <c r="C26" s="18" t="s">
        <v>14</v>
      </c>
      <c r="D26" s="18" t="s">
        <v>32</v>
      </c>
      <c r="E26" s="18" t="s">
        <v>2062</v>
      </c>
      <c r="F26" s="18">
        <v>4627</v>
      </c>
      <c r="G26" s="18">
        <v>3149</v>
      </c>
      <c r="H26" s="18">
        <v>156</v>
      </c>
      <c r="I26" s="18">
        <v>1322</v>
      </c>
    </row>
    <row r="27" spans="1:9" x14ac:dyDescent="0.3">
      <c r="A27" t="s">
        <v>1269</v>
      </c>
      <c r="B27" s="18" t="s">
        <v>13</v>
      </c>
      <c r="C27" s="18" t="s">
        <v>14</v>
      </c>
      <c r="D27" s="18" t="s">
        <v>33</v>
      </c>
      <c r="E27" s="18" t="s">
        <v>2062</v>
      </c>
      <c r="F27" s="18">
        <v>5314</v>
      </c>
      <c r="G27" s="18">
        <v>3501</v>
      </c>
      <c r="H27" s="18">
        <v>545</v>
      </c>
      <c r="I27" s="18">
        <v>1268</v>
      </c>
    </row>
    <row r="28" spans="1:9" x14ac:dyDescent="0.3">
      <c r="A28" t="s">
        <v>1200</v>
      </c>
      <c r="B28" s="18" t="s">
        <v>13</v>
      </c>
      <c r="C28" s="18" t="s">
        <v>14</v>
      </c>
      <c r="D28" s="18" t="s">
        <v>34</v>
      </c>
      <c r="E28" s="18" t="s">
        <v>2062</v>
      </c>
      <c r="F28" s="18">
        <v>11941</v>
      </c>
      <c r="G28" s="18">
        <v>8345</v>
      </c>
      <c r="H28" s="18">
        <v>467</v>
      </c>
      <c r="I28" s="18">
        <v>3129</v>
      </c>
    </row>
    <row r="29" spans="1:9" x14ac:dyDescent="0.3">
      <c r="A29" t="s">
        <v>1479</v>
      </c>
      <c r="B29" s="18" t="s">
        <v>13</v>
      </c>
      <c r="C29" s="18" t="s">
        <v>14</v>
      </c>
      <c r="D29" s="18" t="s">
        <v>35</v>
      </c>
      <c r="E29" s="18" t="s">
        <v>2062</v>
      </c>
      <c r="F29" s="18">
        <v>2113</v>
      </c>
      <c r="G29" s="18">
        <v>1403</v>
      </c>
      <c r="H29" s="18">
        <v>98</v>
      </c>
      <c r="I29" s="18">
        <v>612</v>
      </c>
    </row>
    <row r="30" spans="1:9" x14ac:dyDescent="0.3">
      <c r="A30" t="s">
        <v>1919</v>
      </c>
      <c r="B30" s="18" t="s">
        <v>13</v>
      </c>
      <c r="C30" s="18" t="s">
        <v>83</v>
      </c>
      <c r="D30" s="18" t="s">
        <v>83</v>
      </c>
      <c r="E30" s="18" t="s">
        <v>2062</v>
      </c>
      <c r="F30" s="18">
        <v>385</v>
      </c>
      <c r="G30" s="18">
        <v>216</v>
      </c>
      <c r="H30" s="18">
        <v>22</v>
      </c>
      <c r="I30" s="18">
        <v>147</v>
      </c>
    </row>
    <row r="31" spans="1:9" x14ac:dyDescent="0.3">
      <c r="A31" t="s">
        <v>1920</v>
      </c>
      <c r="B31" s="18" t="s">
        <v>13</v>
      </c>
      <c r="C31" s="18" t="s">
        <v>83</v>
      </c>
      <c r="D31" s="18" t="s">
        <v>84</v>
      </c>
      <c r="E31" s="18" t="s">
        <v>2062</v>
      </c>
      <c r="F31" s="18">
        <v>618</v>
      </c>
      <c r="G31" s="18">
        <v>314</v>
      </c>
      <c r="H31" s="18">
        <v>57</v>
      </c>
      <c r="I31" s="18">
        <v>247</v>
      </c>
    </row>
    <row r="32" spans="1:9" x14ac:dyDescent="0.3">
      <c r="A32" t="s">
        <v>1403</v>
      </c>
      <c r="B32" s="18" t="s">
        <v>13</v>
      </c>
      <c r="C32" s="18" t="s">
        <v>36</v>
      </c>
      <c r="D32" s="18" t="s">
        <v>36</v>
      </c>
      <c r="E32" s="18" t="s">
        <v>2062</v>
      </c>
      <c r="F32" s="18">
        <v>2748</v>
      </c>
      <c r="G32" s="18">
        <v>1641</v>
      </c>
      <c r="H32" s="18">
        <v>156</v>
      </c>
      <c r="I32" s="18">
        <v>951</v>
      </c>
    </row>
    <row r="33" spans="1:9" x14ac:dyDescent="0.3">
      <c r="A33" t="s">
        <v>1133</v>
      </c>
      <c r="B33" s="18" t="s">
        <v>13</v>
      </c>
      <c r="C33" s="18" t="s">
        <v>36</v>
      </c>
      <c r="D33" s="18" t="s">
        <v>37</v>
      </c>
      <c r="E33" s="18" t="s">
        <v>2062</v>
      </c>
      <c r="F33" s="18">
        <v>938</v>
      </c>
      <c r="G33" s="18">
        <v>575</v>
      </c>
      <c r="H33" s="18">
        <v>55</v>
      </c>
      <c r="I33" s="18">
        <v>308</v>
      </c>
    </row>
    <row r="34" spans="1:9" x14ac:dyDescent="0.3">
      <c r="A34" t="s">
        <v>1480</v>
      </c>
      <c r="B34" s="18" t="s">
        <v>13</v>
      </c>
      <c r="C34" s="18" t="s">
        <v>36</v>
      </c>
      <c r="D34" s="18" t="s">
        <v>38</v>
      </c>
      <c r="E34" s="18" t="s">
        <v>2062</v>
      </c>
      <c r="F34" s="18">
        <v>301</v>
      </c>
      <c r="G34" s="18">
        <v>209</v>
      </c>
      <c r="H34" s="18">
        <v>17</v>
      </c>
      <c r="I34" s="18">
        <v>75</v>
      </c>
    </row>
    <row r="35" spans="1:9" x14ac:dyDescent="0.3">
      <c r="A35" t="s">
        <v>1197</v>
      </c>
      <c r="B35" s="18" t="s">
        <v>13</v>
      </c>
      <c r="C35" s="18" t="s">
        <v>88</v>
      </c>
      <c r="D35" s="18" t="s">
        <v>88</v>
      </c>
      <c r="E35" s="18" t="s">
        <v>2062</v>
      </c>
      <c r="F35" s="18">
        <v>1262</v>
      </c>
      <c r="G35" s="18">
        <v>844</v>
      </c>
      <c r="H35" s="18">
        <v>71</v>
      </c>
      <c r="I35" s="18">
        <v>347</v>
      </c>
    </row>
    <row r="36" spans="1:9" x14ac:dyDescent="0.3">
      <c r="A36" t="s">
        <v>1910</v>
      </c>
      <c r="B36" s="18" t="s">
        <v>13</v>
      </c>
      <c r="C36" s="18" t="s">
        <v>39</v>
      </c>
      <c r="D36" s="18" t="s">
        <v>40</v>
      </c>
      <c r="E36" s="18" t="s">
        <v>2062</v>
      </c>
      <c r="F36" s="18">
        <v>491</v>
      </c>
      <c r="G36" s="18">
        <v>330</v>
      </c>
      <c r="H36" s="18">
        <v>37</v>
      </c>
      <c r="I36" s="18">
        <v>124</v>
      </c>
    </row>
    <row r="37" spans="1:9" x14ac:dyDescent="0.3">
      <c r="A37" t="s">
        <v>1307</v>
      </c>
      <c r="B37" s="18" t="s">
        <v>13</v>
      </c>
      <c r="C37" s="18" t="s">
        <v>39</v>
      </c>
      <c r="D37" s="18" t="s">
        <v>39</v>
      </c>
      <c r="E37" s="18" t="s">
        <v>2062</v>
      </c>
      <c r="F37" s="18">
        <v>7085</v>
      </c>
      <c r="G37" s="18">
        <v>4839</v>
      </c>
      <c r="H37" s="18">
        <v>360</v>
      </c>
      <c r="I37" s="18">
        <v>1886</v>
      </c>
    </row>
    <row r="38" spans="1:9" x14ac:dyDescent="0.3">
      <c r="A38" t="s">
        <v>1481</v>
      </c>
      <c r="B38" s="18" t="s">
        <v>13</v>
      </c>
      <c r="C38" s="18" t="s">
        <v>39</v>
      </c>
      <c r="D38" s="18" t="s">
        <v>41</v>
      </c>
      <c r="E38" s="18" t="s">
        <v>2062</v>
      </c>
      <c r="F38" s="18">
        <v>1399</v>
      </c>
      <c r="G38" s="18">
        <v>923</v>
      </c>
      <c r="H38" s="18">
        <v>60</v>
      </c>
      <c r="I38" s="18">
        <v>416</v>
      </c>
    </row>
    <row r="39" spans="1:9" x14ac:dyDescent="0.3">
      <c r="A39" t="s">
        <v>1204</v>
      </c>
      <c r="B39" s="18" t="s">
        <v>13</v>
      </c>
      <c r="C39" s="18" t="s">
        <v>39</v>
      </c>
      <c r="D39" s="18" t="s">
        <v>46</v>
      </c>
      <c r="E39" s="18" t="s">
        <v>2062</v>
      </c>
      <c r="F39" s="18">
        <v>855</v>
      </c>
      <c r="G39" s="18">
        <v>561</v>
      </c>
      <c r="H39" s="18">
        <v>48</v>
      </c>
      <c r="I39" s="18">
        <v>246</v>
      </c>
    </row>
    <row r="40" spans="1:9" x14ac:dyDescent="0.3">
      <c r="A40" t="s">
        <v>1911</v>
      </c>
      <c r="B40" s="18" t="s">
        <v>13</v>
      </c>
      <c r="C40" s="18" t="s">
        <v>39</v>
      </c>
      <c r="D40" s="18" t="s">
        <v>42</v>
      </c>
      <c r="E40" s="18" t="s">
        <v>2062</v>
      </c>
      <c r="F40" s="18">
        <v>775</v>
      </c>
      <c r="G40" s="18">
        <v>477</v>
      </c>
      <c r="H40" s="18">
        <v>48</v>
      </c>
      <c r="I40" s="18">
        <v>250</v>
      </c>
    </row>
    <row r="41" spans="1:9" x14ac:dyDescent="0.3">
      <c r="A41" t="s">
        <v>1123</v>
      </c>
      <c r="B41" s="18" t="s">
        <v>13</v>
      </c>
      <c r="C41" s="18" t="s">
        <v>39</v>
      </c>
      <c r="D41" s="18" t="s">
        <v>43</v>
      </c>
      <c r="E41" s="18" t="s">
        <v>2062</v>
      </c>
      <c r="F41" s="18">
        <v>462</v>
      </c>
      <c r="G41" s="18">
        <v>288</v>
      </c>
      <c r="H41" s="18">
        <v>47</v>
      </c>
      <c r="I41" s="18">
        <v>127</v>
      </c>
    </row>
    <row r="42" spans="1:9" x14ac:dyDescent="0.3">
      <c r="A42" t="s">
        <v>1095</v>
      </c>
      <c r="B42" s="18" t="s">
        <v>13</v>
      </c>
      <c r="C42" s="18" t="s">
        <v>39</v>
      </c>
      <c r="D42" s="18" t="s">
        <v>44</v>
      </c>
      <c r="E42" s="18" t="s">
        <v>2062</v>
      </c>
      <c r="F42" s="18">
        <v>1281</v>
      </c>
      <c r="G42" s="18">
        <v>707</v>
      </c>
      <c r="H42" s="18">
        <v>100</v>
      </c>
      <c r="I42" s="18">
        <v>474</v>
      </c>
    </row>
    <row r="43" spans="1:9" x14ac:dyDescent="0.3">
      <c r="A43" t="s">
        <v>1016</v>
      </c>
      <c r="B43" s="18" t="s">
        <v>13</v>
      </c>
      <c r="C43" s="18" t="s">
        <v>39</v>
      </c>
      <c r="D43" s="18" t="s">
        <v>47</v>
      </c>
      <c r="E43" s="18" t="s">
        <v>2062</v>
      </c>
      <c r="F43" s="18">
        <v>228</v>
      </c>
      <c r="G43" s="18">
        <v>139</v>
      </c>
      <c r="H43" s="18">
        <v>12</v>
      </c>
      <c r="I43" s="18">
        <v>77</v>
      </c>
    </row>
    <row r="44" spans="1:9" x14ac:dyDescent="0.3">
      <c r="A44" t="s">
        <v>1219</v>
      </c>
      <c r="B44" s="18" t="s">
        <v>13</v>
      </c>
      <c r="C44" s="18" t="s">
        <v>39</v>
      </c>
      <c r="D44" s="18" t="s">
        <v>45</v>
      </c>
      <c r="E44" s="18" t="s">
        <v>2062</v>
      </c>
      <c r="F44" s="18">
        <v>924</v>
      </c>
      <c r="G44" s="18">
        <v>578</v>
      </c>
      <c r="H44" s="18">
        <v>43</v>
      </c>
      <c r="I44" s="18">
        <v>303</v>
      </c>
    </row>
    <row r="45" spans="1:9" x14ac:dyDescent="0.3">
      <c r="A45" t="s">
        <v>1017</v>
      </c>
      <c r="B45" s="18" t="s">
        <v>13</v>
      </c>
      <c r="C45" s="18" t="s">
        <v>48</v>
      </c>
      <c r="D45" s="18" t="s">
        <v>49</v>
      </c>
      <c r="E45" s="18" t="s">
        <v>2062</v>
      </c>
      <c r="F45" s="18">
        <v>995</v>
      </c>
      <c r="G45" s="18">
        <v>565</v>
      </c>
      <c r="H45" s="18">
        <v>49</v>
      </c>
      <c r="I45" s="18">
        <v>381</v>
      </c>
    </row>
    <row r="46" spans="1:9" x14ac:dyDescent="0.3">
      <c r="A46" t="s">
        <v>1366</v>
      </c>
      <c r="B46" s="18" t="s">
        <v>13</v>
      </c>
      <c r="C46" s="18" t="s">
        <v>48</v>
      </c>
      <c r="D46" s="18" t="s">
        <v>50</v>
      </c>
      <c r="E46" s="18" t="s">
        <v>2062</v>
      </c>
      <c r="F46" s="18">
        <v>533</v>
      </c>
      <c r="G46" s="18">
        <v>211</v>
      </c>
      <c r="H46" s="18">
        <v>24</v>
      </c>
      <c r="I46" s="18">
        <v>298</v>
      </c>
    </row>
    <row r="47" spans="1:9" x14ac:dyDescent="0.3">
      <c r="A47" t="s">
        <v>1482</v>
      </c>
      <c r="B47" s="18" t="s">
        <v>13</v>
      </c>
      <c r="C47" s="18" t="s">
        <v>48</v>
      </c>
      <c r="D47" s="18" t="s">
        <v>51</v>
      </c>
      <c r="E47" s="18" t="s">
        <v>2062</v>
      </c>
      <c r="F47" s="18">
        <v>461</v>
      </c>
      <c r="G47" s="18">
        <v>267</v>
      </c>
      <c r="H47" s="18">
        <v>15</v>
      </c>
      <c r="I47" s="18">
        <v>179</v>
      </c>
    </row>
    <row r="48" spans="1:9" x14ac:dyDescent="0.3">
      <c r="A48" t="s">
        <v>1297</v>
      </c>
      <c r="B48" s="18" t="s">
        <v>13</v>
      </c>
      <c r="C48" s="18" t="s">
        <v>48</v>
      </c>
      <c r="D48" s="18" t="s">
        <v>48</v>
      </c>
      <c r="E48" s="18" t="s">
        <v>2062</v>
      </c>
      <c r="F48" s="18">
        <v>2955</v>
      </c>
      <c r="G48" s="18">
        <v>1649</v>
      </c>
      <c r="H48" s="18">
        <v>256</v>
      </c>
      <c r="I48" s="18">
        <v>1050</v>
      </c>
    </row>
    <row r="49" spans="1:9" x14ac:dyDescent="0.3">
      <c r="A49" t="s">
        <v>1325</v>
      </c>
      <c r="B49" s="18" t="s">
        <v>13</v>
      </c>
      <c r="C49" s="18" t="s">
        <v>75</v>
      </c>
      <c r="D49" s="18" t="s">
        <v>76</v>
      </c>
      <c r="E49" s="18" t="s">
        <v>2062</v>
      </c>
      <c r="F49" s="18">
        <v>838</v>
      </c>
      <c r="G49" s="18">
        <v>504</v>
      </c>
      <c r="H49" s="18">
        <v>75</v>
      </c>
      <c r="I49" s="18">
        <v>259</v>
      </c>
    </row>
    <row r="50" spans="1:9" x14ac:dyDescent="0.3">
      <c r="A50" t="s">
        <v>1381</v>
      </c>
      <c r="B50" s="18" t="s">
        <v>13</v>
      </c>
      <c r="C50" s="18" t="s">
        <v>75</v>
      </c>
      <c r="D50" s="18" t="s">
        <v>77</v>
      </c>
      <c r="E50" s="18" t="s">
        <v>2062</v>
      </c>
      <c r="F50" s="18">
        <v>320</v>
      </c>
      <c r="G50" s="18">
        <v>225</v>
      </c>
      <c r="H50" s="18">
        <v>6</v>
      </c>
      <c r="I50" s="18">
        <v>89</v>
      </c>
    </row>
    <row r="51" spans="1:9" x14ac:dyDescent="0.3">
      <c r="A51" t="s">
        <v>1483</v>
      </c>
      <c r="B51" s="18" t="s">
        <v>13</v>
      </c>
      <c r="C51" s="18" t="s">
        <v>52</v>
      </c>
      <c r="D51" s="18" t="s">
        <v>53</v>
      </c>
      <c r="E51" s="18" t="s">
        <v>2062</v>
      </c>
      <c r="F51" s="18">
        <v>662</v>
      </c>
      <c r="G51" s="18">
        <v>464</v>
      </c>
      <c r="H51" s="18">
        <v>21</v>
      </c>
      <c r="I51" s="18">
        <v>177</v>
      </c>
    </row>
    <row r="52" spans="1:9" x14ac:dyDescent="0.3">
      <c r="A52" t="s">
        <v>1100</v>
      </c>
      <c r="B52" s="18" t="s">
        <v>13</v>
      </c>
      <c r="C52" s="18" t="s">
        <v>52</v>
      </c>
      <c r="D52" s="18" t="s">
        <v>54</v>
      </c>
      <c r="E52" s="18" t="s">
        <v>2062</v>
      </c>
      <c r="F52" s="18">
        <v>1129</v>
      </c>
      <c r="G52" s="18">
        <v>695</v>
      </c>
      <c r="H52" s="18">
        <v>41</v>
      </c>
      <c r="I52" s="18">
        <v>393</v>
      </c>
    </row>
    <row r="53" spans="1:9" x14ac:dyDescent="0.3">
      <c r="A53" t="s">
        <v>1081</v>
      </c>
      <c r="B53" s="18" t="s">
        <v>13</v>
      </c>
      <c r="C53" s="18" t="s">
        <v>52</v>
      </c>
      <c r="D53" s="18" t="s">
        <v>59</v>
      </c>
      <c r="E53" s="18" t="s">
        <v>2062</v>
      </c>
      <c r="F53" s="18">
        <v>561</v>
      </c>
      <c r="G53" s="18">
        <v>294</v>
      </c>
      <c r="H53" s="18">
        <v>27</v>
      </c>
      <c r="I53" s="18">
        <v>240</v>
      </c>
    </row>
    <row r="54" spans="1:9" x14ac:dyDescent="0.3">
      <c r="A54" t="s">
        <v>1053</v>
      </c>
      <c r="B54" s="18" t="s">
        <v>13</v>
      </c>
      <c r="C54" s="18" t="s">
        <v>52</v>
      </c>
      <c r="D54" s="18" t="s">
        <v>55</v>
      </c>
      <c r="E54" s="18" t="s">
        <v>2062</v>
      </c>
      <c r="F54" s="18">
        <v>1080</v>
      </c>
      <c r="G54" s="18">
        <v>682</v>
      </c>
      <c r="H54" s="18">
        <v>68</v>
      </c>
      <c r="I54" s="18">
        <v>330</v>
      </c>
    </row>
    <row r="55" spans="1:9" x14ac:dyDescent="0.3">
      <c r="A55" t="s">
        <v>1018</v>
      </c>
      <c r="B55" s="18" t="s">
        <v>13</v>
      </c>
      <c r="C55" s="18" t="s">
        <v>52</v>
      </c>
      <c r="D55" s="18" t="s">
        <v>56</v>
      </c>
      <c r="E55" s="18" t="s">
        <v>2062</v>
      </c>
      <c r="F55" s="18">
        <v>266</v>
      </c>
      <c r="G55" s="18">
        <v>94</v>
      </c>
      <c r="H55" s="18">
        <v>32</v>
      </c>
      <c r="I55" s="18">
        <v>140</v>
      </c>
    </row>
    <row r="56" spans="1:9" x14ac:dyDescent="0.3">
      <c r="A56" t="s">
        <v>1077</v>
      </c>
      <c r="B56" s="18" t="s">
        <v>13</v>
      </c>
      <c r="C56" s="18" t="s">
        <v>52</v>
      </c>
      <c r="D56" s="18" t="s">
        <v>52</v>
      </c>
      <c r="E56" s="18" t="s">
        <v>2062</v>
      </c>
      <c r="F56" s="18">
        <v>3759</v>
      </c>
      <c r="G56" s="18">
        <v>2553</v>
      </c>
      <c r="H56" s="18">
        <v>190</v>
      </c>
      <c r="I56" s="18">
        <v>1016</v>
      </c>
    </row>
    <row r="57" spans="1:9" x14ac:dyDescent="0.3">
      <c r="A57" t="s">
        <v>1075</v>
      </c>
      <c r="B57" s="18" t="s">
        <v>13</v>
      </c>
      <c r="C57" s="18" t="s">
        <v>52</v>
      </c>
      <c r="D57" s="18" t="s">
        <v>57</v>
      </c>
      <c r="E57" s="18" t="s">
        <v>2062</v>
      </c>
      <c r="F57" s="18">
        <v>924</v>
      </c>
      <c r="G57" s="18">
        <v>643</v>
      </c>
      <c r="H57" s="18">
        <v>31</v>
      </c>
      <c r="I57" s="18">
        <v>250</v>
      </c>
    </row>
    <row r="58" spans="1:9" x14ac:dyDescent="0.3">
      <c r="A58" t="s">
        <v>1912</v>
      </c>
      <c r="B58" s="18" t="s">
        <v>13</v>
      </c>
      <c r="C58" s="18" t="s">
        <v>52</v>
      </c>
      <c r="D58" s="18" t="s">
        <v>58</v>
      </c>
      <c r="E58" s="18" t="s">
        <v>2062</v>
      </c>
      <c r="F58" s="18">
        <v>433</v>
      </c>
      <c r="G58" s="18">
        <v>112</v>
      </c>
      <c r="H58" s="18">
        <v>63</v>
      </c>
      <c r="I58" s="18">
        <v>258</v>
      </c>
    </row>
    <row r="59" spans="1:9" x14ac:dyDescent="0.3">
      <c r="A59" t="s">
        <v>1484</v>
      </c>
      <c r="B59" s="18" t="s">
        <v>13</v>
      </c>
      <c r="C59" s="18" t="s">
        <v>60</v>
      </c>
      <c r="D59" s="18" t="s">
        <v>60</v>
      </c>
      <c r="E59" s="18" t="s">
        <v>2062</v>
      </c>
      <c r="F59" s="18">
        <v>2715</v>
      </c>
      <c r="G59" s="18">
        <v>1416</v>
      </c>
      <c r="H59" s="18">
        <v>328</v>
      </c>
      <c r="I59" s="18">
        <v>971</v>
      </c>
    </row>
    <row r="60" spans="1:9" x14ac:dyDescent="0.3">
      <c r="A60" t="s">
        <v>1485</v>
      </c>
      <c r="B60" s="18" t="s">
        <v>13</v>
      </c>
      <c r="C60" s="18" t="s">
        <v>60</v>
      </c>
      <c r="D60" s="18" t="s">
        <v>61</v>
      </c>
      <c r="E60" s="18" t="s">
        <v>2062</v>
      </c>
      <c r="F60" s="18">
        <v>530</v>
      </c>
      <c r="G60" s="18">
        <v>199</v>
      </c>
      <c r="H60" s="18">
        <v>71</v>
      </c>
      <c r="I60" s="18">
        <v>260</v>
      </c>
    </row>
    <row r="61" spans="1:9" x14ac:dyDescent="0.3">
      <c r="A61" t="s">
        <v>1063</v>
      </c>
      <c r="B61" s="18" t="s">
        <v>13</v>
      </c>
      <c r="C61" s="18" t="s">
        <v>62</v>
      </c>
      <c r="D61" s="18" t="s">
        <v>63</v>
      </c>
      <c r="E61" s="18" t="s">
        <v>2062</v>
      </c>
      <c r="F61" s="18">
        <v>238</v>
      </c>
      <c r="G61" s="18">
        <v>167</v>
      </c>
      <c r="H61" s="18">
        <v>12</v>
      </c>
      <c r="I61" s="18">
        <v>59</v>
      </c>
    </row>
    <row r="62" spans="1:9" x14ac:dyDescent="0.3">
      <c r="A62" t="s">
        <v>1120</v>
      </c>
      <c r="B62" s="18" t="s">
        <v>13</v>
      </c>
      <c r="C62" s="18" t="s">
        <v>62</v>
      </c>
      <c r="D62" s="18" t="s">
        <v>62</v>
      </c>
      <c r="E62" s="18" t="s">
        <v>2062</v>
      </c>
      <c r="F62" s="18">
        <v>966</v>
      </c>
      <c r="G62" s="18">
        <v>625</v>
      </c>
      <c r="H62" s="18">
        <v>35</v>
      </c>
      <c r="I62" s="18">
        <v>306</v>
      </c>
    </row>
    <row r="63" spans="1:9" x14ac:dyDescent="0.3">
      <c r="A63" t="s">
        <v>1389</v>
      </c>
      <c r="B63" s="18" t="s">
        <v>13</v>
      </c>
      <c r="C63" s="18" t="s">
        <v>64</v>
      </c>
      <c r="D63" s="18" t="s">
        <v>65</v>
      </c>
      <c r="E63" s="18" t="s">
        <v>2062</v>
      </c>
      <c r="F63" s="18">
        <v>1538</v>
      </c>
      <c r="G63" s="18">
        <v>1004</v>
      </c>
      <c r="H63" s="18">
        <v>94</v>
      </c>
      <c r="I63" s="18">
        <v>440</v>
      </c>
    </row>
    <row r="64" spans="1:9" x14ac:dyDescent="0.3">
      <c r="A64" t="s">
        <v>1913</v>
      </c>
      <c r="B64" s="18" t="s">
        <v>13</v>
      </c>
      <c r="C64" s="18" t="s">
        <v>64</v>
      </c>
      <c r="D64" s="18" t="s">
        <v>66</v>
      </c>
      <c r="E64" s="18" t="s">
        <v>2062</v>
      </c>
      <c r="F64" s="18">
        <v>892</v>
      </c>
      <c r="G64" s="18">
        <v>635</v>
      </c>
      <c r="H64" s="18">
        <v>18</v>
      </c>
      <c r="I64" s="18">
        <v>239</v>
      </c>
    </row>
    <row r="65" spans="1:9" x14ac:dyDescent="0.3">
      <c r="A65" t="s">
        <v>1487</v>
      </c>
      <c r="B65" s="18" t="s">
        <v>13</v>
      </c>
      <c r="C65" s="18" t="s">
        <v>64</v>
      </c>
      <c r="D65" s="18" t="s">
        <v>68</v>
      </c>
      <c r="E65" s="18" t="s">
        <v>2062</v>
      </c>
      <c r="F65" s="18">
        <v>527</v>
      </c>
      <c r="G65" s="18">
        <v>324</v>
      </c>
      <c r="H65" s="18">
        <v>24</v>
      </c>
      <c r="I65" s="18">
        <v>179</v>
      </c>
    </row>
    <row r="66" spans="1:9" x14ac:dyDescent="0.3">
      <c r="A66" t="s">
        <v>1090</v>
      </c>
      <c r="B66" s="18" t="s">
        <v>13</v>
      </c>
      <c r="C66" s="18" t="s">
        <v>64</v>
      </c>
      <c r="D66" s="18" t="s">
        <v>64</v>
      </c>
      <c r="E66" s="18" t="s">
        <v>2062</v>
      </c>
      <c r="F66" s="18">
        <v>3541</v>
      </c>
      <c r="G66" s="18">
        <v>2470</v>
      </c>
      <c r="H66" s="18">
        <v>129</v>
      </c>
      <c r="I66" s="18">
        <v>942</v>
      </c>
    </row>
    <row r="67" spans="1:9" x14ac:dyDescent="0.3">
      <c r="A67" t="s">
        <v>1486</v>
      </c>
      <c r="B67" s="18" t="s">
        <v>13</v>
      </c>
      <c r="C67" s="18" t="s">
        <v>64</v>
      </c>
      <c r="D67" s="18" t="s">
        <v>67</v>
      </c>
      <c r="E67" s="18" t="s">
        <v>2062</v>
      </c>
      <c r="F67" s="18">
        <v>597</v>
      </c>
      <c r="G67" s="18">
        <v>346</v>
      </c>
      <c r="H67" s="18">
        <v>31</v>
      </c>
      <c r="I67" s="18">
        <v>220</v>
      </c>
    </row>
    <row r="68" spans="1:9" x14ac:dyDescent="0.3">
      <c r="A68" t="s">
        <v>1491</v>
      </c>
      <c r="B68" s="18" t="s">
        <v>13</v>
      </c>
      <c r="C68" s="18" t="s">
        <v>85</v>
      </c>
      <c r="D68" s="18" t="s">
        <v>86</v>
      </c>
      <c r="E68" s="18" t="s">
        <v>2062</v>
      </c>
      <c r="F68" s="18">
        <v>293</v>
      </c>
      <c r="G68" s="18">
        <v>126</v>
      </c>
      <c r="H68" s="18">
        <v>41</v>
      </c>
      <c r="I68" s="18">
        <v>126</v>
      </c>
    </row>
    <row r="69" spans="1:9" x14ac:dyDescent="0.3">
      <c r="A69" t="s">
        <v>1922</v>
      </c>
      <c r="B69" s="18" t="s">
        <v>13</v>
      </c>
      <c r="C69" s="18" t="s">
        <v>85</v>
      </c>
      <c r="D69" s="18" t="s">
        <v>87</v>
      </c>
      <c r="E69" s="18" t="s">
        <v>2062</v>
      </c>
      <c r="F69" s="18">
        <v>613</v>
      </c>
      <c r="G69" s="18">
        <v>429</v>
      </c>
      <c r="H69" s="18">
        <v>22</v>
      </c>
      <c r="I69" s="18">
        <v>162</v>
      </c>
    </row>
    <row r="70" spans="1:9" x14ac:dyDescent="0.3">
      <c r="A70" t="s">
        <v>1921</v>
      </c>
      <c r="B70" s="18" t="s">
        <v>13</v>
      </c>
      <c r="C70" s="18" t="s">
        <v>85</v>
      </c>
      <c r="D70" s="18" t="s">
        <v>85</v>
      </c>
      <c r="E70" s="18" t="s">
        <v>2062</v>
      </c>
      <c r="F70" s="18">
        <v>711</v>
      </c>
      <c r="G70" s="18">
        <v>431</v>
      </c>
      <c r="H70" s="18">
        <v>45</v>
      </c>
      <c r="I70" s="18">
        <v>235</v>
      </c>
    </row>
    <row r="71" spans="1:9" x14ac:dyDescent="0.3">
      <c r="A71" t="s">
        <v>2055</v>
      </c>
      <c r="B71" s="18" t="s">
        <v>13</v>
      </c>
      <c r="C71" s="18" t="s">
        <v>69</v>
      </c>
      <c r="D71" s="18" t="s">
        <v>1003</v>
      </c>
      <c r="E71" s="18" t="s">
        <v>2062</v>
      </c>
      <c r="F71" s="18">
        <v>491</v>
      </c>
      <c r="G71" s="18">
        <v>289</v>
      </c>
      <c r="H71" s="18">
        <v>33</v>
      </c>
      <c r="I71" s="18">
        <v>169</v>
      </c>
    </row>
    <row r="72" spans="1:9" x14ac:dyDescent="0.3">
      <c r="A72" t="s">
        <v>1914</v>
      </c>
      <c r="B72" s="18" t="s">
        <v>13</v>
      </c>
      <c r="C72" s="18" t="s">
        <v>69</v>
      </c>
      <c r="D72" s="18" t="s">
        <v>71</v>
      </c>
      <c r="E72" s="18" t="s">
        <v>2062</v>
      </c>
      <c r="F72" s="18">
        <v>315</v>
      </c>
      <c r="G72" s="18">
        <v>187</v>
      </c>
      <c r="H72" s="18">
        <v>18</v>
      </c>
      <c r="I72" s="18">
        <v>110</v>
      </c>
    </row>
    <row r="73" spans="1:9" x14ac:dyDescent="0.3">
      <c r="A73" t="s">
        <v>1488</v>
      </c>
      <c r="B73" s="18" t="s">
        <v>13</v>
      </c>
      <c r="C73" s="18" t="s">
        <v>69</v>
      </c>
      <c r="D73" s="18" t="s">
        <v>70</v>
      </c>
      <c r="E73" s="18" t="s">
        <v>2062</v>
      </c>
      <c r="F73" s="18">
        <v>856</v>
      </c>
      <c r="G73" s="18">
        <v>448</v>
      </c>
      <c r="H73" s="18">
        <v>93</v>
      </c>
      <c r="I73" s="18">
        <v>315</v>
      </c>
    </row>
    <row r="74" spans="1:9" x14ac:dyDescent="0.3">
      <c r="A74" t="s">
        <v>1915</v>
      </c>
      <c r="B74" s="18" t="s">
        <v>13</v>
      </c>
      <c r="C74" s="18" t="s">
        <v>69</v>
      </c>
      <c r="D74" s="18" t="s">
        <v>72</v>
      </c>
      <c r="E74" s="18" t="s">
        <v>2062</v>
      </c>
      <c r="F74" s="18">
        <v>947</v>
      </c>
      <c r="G74" s="18">
        <v>621</v>
      </c>
      <c r="H74" s="18">
        <v>34</v>
      </c>
      <c r="I74" s="18">
        <v>292</v>
      </c>
    </row>
    <row r="75" spans="1:9" x14ac:dyDescent="0.3">
      <c r="A75" t="s">
        <v>1489</v>
      </c>
      <c r="B75" s="18" t="s">
        <v>13</v>
      </c>
      <c r="C75" s="18" t="s">
        <v>69</v>
      </c>
      <c r="D75" s="18" t="s">
        <v>73</v>
      </c>
      <c r="E75" s="18" t="s">
        <v>2062</v>
      </c>
      <c r="F75" s="18">
        <v>1041</v>
      </c>
      <c r="G75" s="18">
        <v>592</v>
      </c>
      <c r="H75" s="18">
        <v>116</v>
      </c>
      <c r="I75" s="18">
        <v>333</v>
      </c>
    </row>
    <row r="76" spans="1:9" x14ac:dyDescent="0.3">
      <c r="A76" t="s">
        <v>1916</v>
      </c>
      <c r="B76" s="18" t="s">
        <v>13</v>
      </c>
      <c r="C76" s="18" t="s">
        <v>69</v>
      </c>
      <c r="D76" s="18" t="s">
        <v>74</v>
      </c>
      <c r="E76" s="18" t="s">
        <v>2062</v>
      </c>
      <c r="F76" s="18">
        <v>564</v>
      </c>
      <c r="G76" s="18">
        <v>380</v>
      </c>
      <c r="H76" s="18">
        <v>33</v>
      </c>
      <c r="I76" s="18">
        <v>151</v>
      </c>
    </row>
    <row r="77" spans="1:9" x14ac:dyDescent="0.3">
      <c r="A77" t="s">
        <v>1193</v>
      </c>
      <c r="B77" s="18" t="s">
        <v>13</v>
      </c>
      <c r="C77" s="18" t="s">
        <v>69</v>
      </c>
      <c r="D77" s="18" t="s">
        <v>69</v>
      </c>
      <c r="E77" s="18" t="s">
        <v>2062</v>
      </c>
      <c r="F77" s="18">
        <v>3219</v>
      </c>
      <c r="G77" s="18">
        <v>2156</v>
      </c>
      <c r="H77" s="18">
        <v>132</v>
      </c>
      <c r="I77" s="18">
        <v>931</v>
      </c>
    </row>
    <row r="78" spans="1:9" x14ac:dyDescent="0.3">
      <c r="A78" t="s">
        <v>1508</v>
      </c>
      <c r="B78" s="18" t="s">
        <v>90</v>
      </c>
      <c r="C78" s="18" t="s">
        <v>115</v>
      </c>
      <c r="D78" s="18" t="s">
        <v>115</v>
      </c>
      <c r="E78" s="18" t="s">
        <v>2062</v>
      </c>
      <c r="F78" s="18">
        <v>5552</v>
      </c>
      <c r="G78" s="18">
        <v>3382</v>
      </c>
      <c r="H78" s="18">
        <v>511</v>
      </c>
      <c r="I78" s="18">
        <v>1659</v>
      </c>
    </row>
    <row r="79" spans="1:9" x14ac:dyDescent="0.3">
      <c r="A79" t="s">
        <v>1497</v>
      </c>
      <c r="B79" s="18" t="s">
        <v>90</v>
      </c>
      <c r="C79" s="18" t="s">
        <v>100</v>
      </c>
      <c r="D79" s="18" t="s">
        <v>100</v>
      </c>
      <c r="E79" s="18" t="s">
        <v>2062</v>
      </c>
      <c r="F79" s="18">
        <v>5070</v>
      </c>
      <c r="G79" s="18">
        <v>3125</v>
      </c>
      <c r="H79" s="18">
        <v>366</v>
      </c>
      <c r="I79" s="18">
        <v>1579</v>
      </c>
    </row>
    <row r="80" spans="1:9" x14ac:dyDescent="0.3">
      <c r="A80" t="s">
        <v>1498</v>
      </c>
      <c r="B80" s="18" t="s">
        <v>90</v>
      </c>
      <c r="C80" s="18" t="s">
        <v>100</v>
      </c>
      <c r="D80" s="18" t="s">
        <v>101</v>
      </c>
      <c r="E80" s="18" t="s">
        <v>2062</v>
      </c>
      <c r="F80" s="18">
        <v>2205</v>
      </c>
      <c r="G80" s="18">
        <v>1454</v>
      </c>
      <c r="H80" s="18">
        <v>188</v>
      </c>
      <c r="I80" s="18">
        <v>563</v>
      </c>
    </row>
    <row r="81" spans="1:9" x14ac:dyDescent="0.3">
      <c r="A81" t="s">
        <v>1221</v>
      </c>
      <c r="B81" s="18" t="s">
        <v>90</v>
      </c>
      <c r="C81" s="18" t="s">
        <v>102</v>
      </c>
      <c r="D81" s="18" t="s">
        <v>104</v>
      </c>
      <c r="E81" s="18" t="s">
        <v>2062</v>
      </c>
      <c r="F81" s="18">
        <v>957</v>
      </c>
      <c r="G81" s="18">
        <v>393</v>
      </c>
      <c r="H81" s="18">
        <v>198</v>
      </c>
      <c r="I81" s="18">
        <v>366</v>
      </c>
    </row>
    <row r="82" spans="1:9" x14ac:dyDescent="0.3">
      <c r="A82" t="s">
        <v>1499</v>
      </c>
      <c r="B82" s="18" t="s">
        <v>90</v>
      </c>
      <c r="C82" s="18" t="s">
        <v>102</v>
      </c>
      <c r="D82" s="18" t="s">
        <v>105</v>
      </c>
      <c r="E82" s="18" t="s">
        <v>2062</v>
      </c>
      <c r="F82" s="18">
        <v>944</v>
      </c>
      <c r="G82" s="18">
        <v>604</v>
      </c>
      <c r="H82" s="18">
        <v>55</v>
      </c>
      <c r="I82" s="18">
        <v>285</v>
      </c>
    </row>
    <row r="83" spans="1:9" x14ac:dyDescent="0.3">
      <c r="A83" t="s">
        <v>1119</v>
      </c>
      <c r="B83" s="18" t="s">
        <v>90</v>
      </c>
      <c r="C83" s="18" t="s">
        <v>102</v>
      </c>
      <c r="D83" s="18" t="s">
        <v>103</v>
      </c>
      <c r="E83" s="18" t="s">
        <v>2062</v>
      </c>
      <c r="F83" s="18">
        <v>2190</v>
      </c>
      <c r="G83" s="18">
        <v>1228</v>
      </c>
      <c r="H83" s="18">
        <v>214</v>
      </c>
      <c r="I83" s="18">
        <v>748</v>
      </c>
    </row>
    <row r="84" spans="1:9" x14ac:dyDescent="0.3">
      <c r="A84" t="s">
        <v>1160</v>
      </c>
      <c r="B84" s="18" t="s">
        <v>90</v>
      </c>
      <c r="C84" s="18" t="s">
        <v>102</v>
      </c>
      <c r="D84" s="18" t="s">
        <v>106</v>
      </c>
      <c r="E84" s="18" t="s">
        <v>2062</v>
      </c>
      <c r="F84" s="18">
        <v>438</v>
      </c>
      <c r="G84" s="18">
        <v>220</v>
      </c>
      <c r="H84" s="18">
        <v>70</v>
      </c>
      <c r="I84" s="18">
        <v>148</v>
      </c>
    </row>
    <row r="85" spans="1:9" x14ac:dyDescent="0.3">
      <c r="A85" t="s">
        <v>1500</v>
      </c>
      <c r="B85" s="18" t="s">
        <v>90</v>
      </c>
      <c r="C85" s="18" t="s">
        <v>102</v>
      </c>
      <c r="D85" s="18" t="s">
        <v>107</v>
      </c>
      <c r="E85" s="18" t="s">
        <v>2062</v>
      </c>
      <c r="F85" s="18">
        <v>1159</v>
      </c>
      <c r="G85" s="18">
        <v>616</v>
      </c>
      <c r="H85" s="18">
        <v>114</v>
      </c>
      <c r="I85" s="18">
        <v>429</v>
      </c>
    </row>
    <row r="86" spans="1:9" x14ac:dyDescent="0.3">
      <c r="A86" t="s">
        <v>1501</v>
      </c>
      <c r="B86" s="18" t="s">
        <v>90</v>
      </c>
      <c r="C86" s="18" t="s">
        <v>108</v>
      </c>
      <c r="D86" s="18" t="s">
        <v>108</v>
      </c>
      <c r="E86" s="18" t="s">
        <v>2062</v>
      </c>
      <c r="F86" s="18">
        <v>5316</v>
      </c>
      <c r="G86" s="18">
        <v>3205</v>
      </c>
      <c r="H86" s="18">
        <v>591</v>
      </c>
      <c r="I86" s="18">
        <v>1520</v>
      </c>
    </row>
    <row r="87" spans="1:9" x14ac:dyDescent="0.3">
      <c r="A87" t="s">
        <v>1923</v>
      </c>
      <c r="B87" s="18" t="s">
        <v>90</v>
      </c>
      <c r="C87" s="18" t="s">
        <v>91</v>
      </c>
      <c r="D87" s="18" t="s">
        <v>92</v>
      </c>
      <c r="E87" s="18" t="s">
        <v>2062</v>
      </c>
      <c r="F87" s="18">
        <v>662</v>
      </c>
      <c r="G87" s="18">
        <v>351</v>
      </c>
      <c r="H87" s="18">
        <v>104</v>
      </c>
      <c r="I87" s="18">
        <v>207</v>
      </c>
    </row>
    <row r="88" spans="1:9" x14ac:dyDescent="0.3">
      <c r="A88" t="s">
        <v>1355</v>
      </c>
      <c r="B88" s="18" t="s">
        <v>90</v>
      </c>
      <c r="C88" s="18" t="s">
        <v>91</v>
      </c>
      <c r="D88" s="18" t="s">
        <v>91</v>
      </c>
      <c r="E88" s="18" t="s">
        <v>2062</v>
      </c>
      <c r="F88" s="18">
        <v>21244</v>
      </c>
      <c r="G88" s="18">
        <v>10656</v>
      </c>
      <c r="H88" s="18">
        <v>2248</v>
      </c>
      <c r="I88" s="18">
        <v>8340</v>
      </c>
    </row>
    <row r="89" spans="1:9" x14ac:dyDescent="0.3">
      <c r="A89" t="s">
        <v>1137</v>
      </c>
      <c r="B89" s="18" t="s">
        <v>90</v>
      </c>
      <c r="C89" s="18" t="s">
        <v>91</v>
      </c>
      <c r="D89" s="18" t="s">
        <v>93</v>
      </c>
      <c r="E89" s="18" t="s">
        <v>2062</v>
      </c>
      <c r="F89" s="18">
        <v>834</v>
      </c>
      <c r="G89" s="18">
        <v>427</v>
      </c>
      <c r="H89" s="18">
        <v>67</v>
      </c>
      <c r="I89" s="18">
        <v>340</v>
      </c>
    </row>
    <row r="90" spans="1:9" x14ac:dyDescent="0.3">
      <c r="A90" t="s">
        <v>1493</v>
      </c>
      <c r="B90" s="18" t="s">
        <v>90</v>
      </c>
      <c r="C90" s="18" t="s">
        <v>91</v>
      </c>
      <c r="D90" s="18" t="s">
        <v>94</v>
      </c>
      <c r="E90" s="18" t="s">
        <v>2062</v>
      </c>
      <c r="F90" s="18">
        <v>1911</v>
      </c>
      <c r="G90" s="18">
        <v>1153</v>
      </c>
      <c r="H90" s="18">
        <v>154</v>
      </c>
      <c r="I90" s="18">
        <v>604</v>
      </c>
    </row>
    <row r="91" spans="1:9" x14ac:dyDescent="0.3">
      <c r="A91" t="s">
        <v>1494</v>
      </c>
      <c r="B91" s="18" t="s">
        <v>90</v>
      </c>
      <c r="C91" s="18" t="s">
        <v>91</v>
      </c>
      <c r="D91" s="18" t="s">
        <v>95</v>
      </c>
      <c r="E91" s="18" t="s">
        <v>2062</v>
      </c>
      <c r="F91" s="18">
        <v>668</v>
      </c>
      <c r="G91" s="18">
        <v>274</v>
      </c>
      <c r="H91" s="18">
        <v>60</v>
      </c>
      <c r="I91" s="18">
        <v>334</v>
      </c>
    </row>
    <row r="92" spans="1:9" x14ac:dyDescent="0.3">
      <c r="A92" t="s">
        <v>1496</v>
      </c>
      <c r="B92" s="18" t="s">
        <v>90</v>
      </c>
      <c r="C92" s="18" t="s">
        <v>91</v>
      </c>
      <c r="D92" s="18" t="s">
        <v>99</v>
      </c>
      <c r="E92" s="18" t="s">
        <v>2062</v>
      </c>
      <c r="F92" s="18">
        <v>2890</v>
      </c>
      <c r="G92" s="18">
        <v>2095</v>
      </c>
      <c r="H92" s="18">
        <v>211</v>
      </c>
      <c r="I92" s="18">
        <v>584</v>
      </c>
    </row>
    <row r="93" spans="1:9" x14ac:dyDescent="0.3">
      <c r="A93" t="s">
        <v>1495</v>
      </c>
      <c r="B93" s="18" t="s">
        <v>90</v>
      </c>
      <c r="C93" s="18" t="s">
        <v>91</v>
      </c>
      <c r="D93" s="18" t="s">
        <v>96</v>
      </c>
      <c r="E93" s="18" t="s">
        <v>2062</v>
      </c>
      <c r="F93" s="18">
        <v>1544</v>
      </c>
      <c r="G93" s="18">
        <v>729</v>
      </c>
      <c r="H93" s="18">
        <v>184</v>
      </c>
      <c r="I93" s="18">
        <v>631</v>
      </c>
    </row>
    <row r="94" spans="1:9" x14ac:dyDescent="0.3">
      <c r="A94" t="s">
        <v>1236</v>
      </c>
      <c r="B94" s="18" t="s">
        <v>90</v>
      </c>
      <c r="C94" s="18" t="s">
        <v>91</v>
      </c>
      <c r="D94" s="18" t="s">
        <v>97</v>
      </c>
      <c r="E94" s="18" t="s">
        <v>2062</v>
      </c>
      <c r="F94" s="18">
        <v>653</v>
      </c>
      <c r="G94" s="18">
        <v>280</v>
      </c>
      <c r="H94" s="18">
        <v>72</v>
      </c>
      <c r="I94" s="18">
        <v>301</v>
      </c>
    </row>
    <row r="95" spans="1:9" x14ac:dyDescent="0.3">
      <c r="A95" t="s">
        <v>1295</v>
      </c>
      <c r="B95" s="18" t="s">
        <v>90</v>
      </c>
      <c r="C95" s="18" t="s">
        <v>91</v>
      </c>
      <c r="D95" s="18" t="s">
        <v>98</v>
      </c>
      <c r="E95" s="18" t="s">
        <v>2062</v>
      </c>
      <c r="F95" s="18">
        <v>2899</v>
      </c>
      <c r="G95" s="18">
        <v>670</v>
      </c>
      <c r="H95" s="18">
        <v>363</v>
      </c>
      <c r="I95" s="18">
        <v>1866</v>
      </c>
    </row>
    <row r="96" spans="1:9" x14ac:dyDescent="0.3">
      <c r="A96" t="s">
        <v>1509</v>
      </c>
      <c r="B96" s="18" t="s">
        <v>90</v>
      </c>
      <c r="C96" s="18" t="s">
        <v>116</v>
      </c>
      <c r="D96" s="18" t="s">
        <v>116</v>
      </c>
      <c r="E96" s="18" t="s">
        <v>2062</v>
      </c>
      <c r="F96" s="18">
        <v>2581</v>
      </c>
      <c r="G96" s="18">
        <v>1776</v>
      </c>
      <c r="H96" s="18">
        <v>228</v>
      </c>
      <c r="I96" s="18">
        <v>577</v>
      </c>
    </row>
    <row r="97" spans="1:9" x14ac:dyDescent="0.3">
      <c r="A97" t="s">
        <v>1502</v>
      </c>
      <c r="B97" s="18" t="s">
        <v>90</v>
      </c>
      <c r="C97" s="18" t="s">
        <v>109</v>
      </c>
      <c r="D97" s="18" t="s">
        <v>110</v>
      </c>
      <c r="E97" s="18" t="s">
        <v>2062</v>
      </c>
      <c r="F97" s="18">
        <v>948</v>
      </c>
      <c r="G97" s="18">
        <v>522</v>
      </c>
      <c r="H97" s="18">
        <v>112</v>
      </c>
      <c r="I97" s="18">
        <v>314</v>
      </c>
    </row>
    <row r="98" spans="1:9" x14ac:dyDescent="0.3">
      <c r="A98" t="s">
        <v>1503</v>
      </c>
      <c r="B98" s="18" t="s">
        <v>90</v>
      </c>
      <c r="C98" s="18" t="s">
        <v>109</v>
      </c>
      <c r="D98" s="18" t="s">
        <v>111</v>
      </c>
      <c r="E98" s="18" t="s">
        <v>2062</v>
      </c>
      <c r="F98" s="18">
        <v>1090</v>
      </c>
      <c r="G98" s="18">
        <v>608</v>
      </c>
      <c r="H98" s="18">
        <v>48</v>
      </c>
      <c r="I98" s="18">
        <v>434</v>
      </c>
    </row>
    <row r="99" spans="1:9" x14ac:dyDescent="0.3">
      <c r="A99" t="s">
        <v>1504</v>
      </c>
      <c r="B99" s="18" t="s">
        <v>90</v>
      </c>
      <c r="C99" s="18" t="s">
        <v>109</v>
      </c>
      <c r="D99" s="18" t="s">
        <v>112</v>
      </c>
      <c r="E99" s="18" t="s">
        <v>2062</v>
      </c>
      <c r="F99" s="18">
        <v>378</v>
      </c>
      <c r="G99" s="18">
        <v>211</v>
      </c>
      <c r="H99" s="18">
        <v>50</v>
      </c>
      <c r="I99" s="18">
        <v>117</v>
      </c>
    </row>
    <row r="100" spans="1:9" x14ac:dyDescent="0.3">
      <c r="A100" t="s">
        <v>1262</v>
      </c>
      <c r="B100" s="18" t="s">
        <v>90</v>
      </c>
      <c r="C100" s="18" t="s">
        <v>109</v>
      </c>
      <c r="D100" s="18" t="s">
        <v>109</v>
      </c>
      <c r="E100" s="18" t="s">
        <v>2062</v>
      </c>
      <c r="F100" s="18">
        <v>5087</v>
      </c>
      <c r="G100" s="18">
        <v>2909</v>
      </c>
      <c r="H100" s="18">
        <v>358</v>
      </c>
      <c r="I100" s="18">
        <v>1820</v>
      </c>
    </row>
    <row r="101" spans="1:9" x14ac:dyDescent="0.3">
      <c r="A101" t="s">
        <v>1505</v>
      </c>
      <c r="B101" s="18" t="s">
        <v>90</v>
      </c>
      <c r="C101" s="18" t="s">
        <v>109</v>
      </c>
      <c r="D101" s="18" t="s">
        <v>113</v>
      </c>
      <c r="E101" s="18" t="s">
        <v>2062</v>
      </c>
      <c r="F101" s="18">
        <v>1924</v>
      </c>
      <c r="G101" s="18">
        <v>875</v>
      </c>
      <c r="H101" s="18">
        <v>386</v>
      </c>
      <c r="I101" s="18">
        <v>663</v>
      </c>
    </row>
    <row r="102" spans="1:9" x14ac:dyDescent="0.3">
      <c r="A102" t="s">
        <v>1507</v>
      </c>
      <c r="B102" s="18" t="s">
        <v>90</v>
      </c>
      <c r="C102" s="18" t="s">
        <v>109</v>
      </c>
      <c r="D102" s="18" t="s">
        <v>84</v>
      </c>
      <c r="E102" s="18" t="s">
        <v>2062</v>
      </c>
      <c r="F102" s="18">
        <v>410</v>
      </c>
      <c r="G102" s="18">
        <v>236</v>
      </c>
      <c r="H102" s="18">
        <v>3</v>
      </c>
      <c r="I102" s="18">
        <v>171</v>
      </c>
    </row>
    <row r="103" spans="1:9" x14ac:dyDescent="0.3">
      <c r="A103" t="s">
        <v>1506</v>
      </c>
      <c r="B103" s="18" t="s">
        <v>90</v>
      </c>
      <c r="C103" s="18" t="s">
        <v>109</v>
      </c>
      <c r="D103" s="18" t="s">
        <v>114</v>
      </c>
      <c r="E103" s="18" t="s">
        <v>2062</v>
      </c>
      <c r="F103" s="18">
        <v>598</v>
      </c>
      <c r="G103" s="18">
        <v>287</v>
      </c>
      <c r="H103" s="18">
        <v>81</v>
      </c>
      <c r="I103" s="18">
        <v>230</v>
      </c>
    </row>
    <row r="104" spans="1:9" x14ac:dyDescent="0.3">
      <c r="A104" t="s">
        <v>1167</v>
      </c>
      <c r="B104" s="18" t="s">
        <v>117</v>
      </c>
      <c r="C104" s="18" t="s">
        <v>118</v>
      </c>
      <c r="D104" s="18" t="s">
        <v>118</v>
      </c>
      <c r="E104" s="18" t="s">
        <v>2062</v>
      </c>
      <c r="F104" s="18">
        <v>14119</v>
      </c>
      <c r="G104" s="18">
        <v>8844</v>
      </c>
      <c r="H104" s="18">
        <v>824</v>
      </c>
      <c r="I104" s="18">
        <v>4451</v>
      </c>
    </row>
    <row r="105" spans="1:9" x14ac:dyDescent="0.3">
      <c r="A105" t="s">
        <v>1057</v>
      </c>
      <c r="B105" s="18" t="s">
        <v>117</v>
      </c>
      <c r="C105" s="18" t="s">
        <v>118</v>
      </c>
      <c r="D105" s="18" t="s">
        <v>119</v>
      </c>
      <c r="E105" s="18" t="s">
        <v>2062</v>
      </c>
      <c r="F105" s="18">
        <v>1148</v>
      </c>
      <c r="G105" s="18">
        <v>691</v>
      </c>
      <c r="H105" s="18">
        <v>67</v>
      </c>
      <c r="I105" s="18">
        <v>390</v>
      </c>
    </row>
    <row r="106" spans="1:9" x14ac:dyDescent="0.3">
      <c r="A106" t="s">
        <v>1089</v>
      </c>
      <c r="B106" s="18" t="s">
        <v>117</v>
      </c>
      <c r="C106" s="18" t="s">
        <v>118</v>
      </c>
      <c r="D106" s="18" t="s">
        <v>120</v>
      </c>
      <c r="E106" s="18" t="s">
        <v>2062</v>
      </c>
      <c r="F106" s="18">
        <v>2899</v>
      </c>
      <c r="G106" s="18">
        <v>1604</v>
      </c>
      <c r="H106" s="18">
        <v>203</v>
      </c>
      <c r="I106" s="18">
        <v>1092</v>
      </c>
    </row>
    <row r="107" spans="1:9" x14ac:dyDescent="0.3">
      <c r="A107" t="s">
        <v>1087</v>
      </c>
      <c r="B107" s="18" t="s">
        <v>117</v>
      </c>
      <c r="C107" s="18" t="s">
        <v>118</v>
      </c>
      <c r="D107" s="18" t="s">
        <v>121</v>
      </c>
      <c r="E107" s="18" t="s">
        <v>2062</v>
      </c>
      <c r="F107" s="18">
        <v>2913</v>
      </c>
      <c r="G107" s="18">
        <v>1852</v>
      </c>
      <c r="H107" s="18">
        <v>176</v>
      </c>
      <c r="I107" s="18">
        <v>885</v>
      </c>
    </row>
    <row r="108" spans="1:9" x14ac:dyDescent="0.3">
      <c r="A108" t="s">
        <v>1062</v>
      </c>
      <c r="B108" s="18" t="s">
        <v>117</v>
      </c>
      <c r="C108" s="18" t="s">
        <v>118</v>
      </c>
      <c r="D108" s="18" t="s">
        <v>122</v>
      </c>
      <c r="E108" s="18" t="s">
        <v>2062</v>
      </c>
      <c r="F108" s="18">
        <v>1258</v>
      </c>
      <c r="G108" s="18">
        <v>746</v>
      </c>
      <c r="H108" s="18">
        <v>112</v>
      </c>
      <c r="I108" s="18">
        <v>400</v>
      </c>
    </row>
    <row r="109" spans="1:9" x14ac:dyDescent="0.3">
      <c r="A109" t="s">
        <v>1510</v>
      </c>
      <c r="B109" s="18" t="s">
        <v>117</v>
      </c>
      <c r="C109" s="18" t="s">
        <v>118</v>
      </c>
      <c r="D109" s="18" t="s">
        <v>123</v>
      </c>
      <c r="E109" s="18" t="s">
        <v>2062</v>
      </c>
      <c r="F109" s="18">
        <v>533</v>
      </c>
      <c r="G109" s="18">
        <v>210</v>
      </c>
      <c r="H109" s="18">
        <v>115</v>
      </c>
      <c r="I109" s="18">
        <v>208</v>
      </c>
    </row>
    <row r="110" spans="1:9" x14ac:dyDescent="0.3">
      <c r="A110" t="s">
        <v>1511</v>
      </c>
      <c r="B110" s="18" t="s">
        <v>117</v>
      </c>
      <c r="C110" s="18" t="s">
        <v>118</v>
      </c>
      <c r="D110" s="18" t="s">
        <v>124</v>
      </c>
      <c r="E110" s="18" t="s">
        <v>2062</v>
      </c>
      <c r="F110" s="18">
        <v>476</v>
      </c>
      <c r="G110" s="18">
        <v>119</v>
      </c>
      <c r="H110" s="18">
        <v>109</v>
      </c>
      <c r="I110" s="18">
        <v>248</v>
      </c>
    </row>
    <row r="111" spans="1:9" x14ac:dyDescent="0.3">
      <c r="A111" t="s">
        <v>1088</v>
      </c>
      <c r="B111" s="18" t="s">
        <v>117</v>
      </c>
      <c r="C111" s="18" t="s">
        <v>118</v>
      </c>
      <c r="D111" s="18" t="s">
        <v>109</v>
      </c>
      <c r="E111" s="18" t="s">
        <v>2062</v>
      </c>
      <c r="F111" s="18">
        <v>1179</v>
      </c>
      <c r="G111" s="18">
        <v>727</v>
      </c>
      <c r="H111" s="18">
        <v>106</v>
      </c>
      <c r="I111" s="18">
        <v>346</v>
      </c>
    </row>
    <row r="112" spans="1:9" x14ac:dyDescent="0.3">
      <c r="A112" t="s">
        <v>1512</v>
      </c>
      <c r="B112" s="18" t="s">
        <v>117</v>
      </c>
      <c r="C112" s="18" t="s">
        <v>118</v>
      </c>
      <c r="D112" s="18" t="s">
        <v>125</v>
      </c>
      <c r="E112" s="18" t="s">
        <v>2062</v>
      </c>
      <c r="F112" s="18">
        <v>381</v>
      </c>
      <c r="G112" s="18">
        <v>243</v>
      </c>
      <c r="H112" s="18">
        <v>28</v>
      </c>
      <c r="I112" s="18">
        <v>110</v>
      </c>
    </row>
    <row r="113" spans="1:9" x14ac:dyDescent="0.3">
      <c r="A113" t="s">
        <v>1122</v>
      </c>
      <c r="B113" s="18" t="s">
        <v>117</v>
      </c>
      <c r="C113" s="18" t="s">
        <v>126</v>
      </c>
      <c r="D113" s="18" t="s">
        <v>126</v>
      </c>
      <c r="E113" s="18" t="s">
        <v>2062</v>
      </c>
      <c r="F113" s="18">
        <v>3926</v>
      </c>
      <c r="G113" s="18">
        <v>2227</v>
      </c>
      <c r="H113" s="18">
        <v>240</v>
      </c>
      <c r="I113" s="18">
        <v>1459</v>
      </c>
    </row>
    <row r="114" spans="1:9" x14ac:dyDescent="0.3">
      <c r="A114" t="s">
        <v>1513</v>
      </c>
      <c r="B114" s="18" t="s">
        <v>117</v>
      </c>
      <c r="C114" s="18" t="s">
        <v>126</v>
      </c>
      <c r="D114" s="18" t="s">
        <v>130</v>
      </c>
      <c r="E114" s="18" t="s">
        <v>2062</v>
      </c>
      <c r="F114" s="18">
        <v>508</v>
      </c>
      <c r="G114" s="18">
        <v>248</v>
      </c>
      <c r="H114" s="18">
        <v>39</v>
      </c>
      <c r="I114" s="18">
        <v>221</v>
      </c>
    </row>
    <row r="115" spans="1:9" x14ac:dyDescent="0.3">
      <c r="A115" t="s">
        <v>1256</v>
      </c>
      <c r="B115" s="18" t="s">
        <v>117</v>
      </c>
      <c r="C115" s="18" t="s">
        <v>126</v>
      </c>
      <c r="D115" s="18" t="s">
        <v>127</v>
      </c>
      <c r="E115" s="18" t="s">
        <v>2062</v>
      </c>
      <c r="F115" s="18">
        <v>670</v>
      </c>
      <c r="G115" s="18">
        <v>319</v>
      </c>
      <c r="H115" s="18">
        <v>81</v>
      </c>
      <c r="I115" s="18">
        <v>270</v>
      </c>
    </row>
    <row r="116" spans="1:9" x14ac:dyDescent="0.3">
      <c r="A116" t="s">
        <v>1048</v>
      </c>
      <c r="B116" s="18" t="s">
        <v>117</v>
      </c>
      <c r="C116" s="18" t="s">
        <v>126</v>
      </c>
      <c r="D116" s="18" t="s">
        <v>128</v>
      </c>
      <c r="E116" s="18" t="s">
        <v>2062</v>
      </c>
      <c r="F116" s="18">
        <v>436</v>
      </c>
      <c r="G116" s="18">
        <v>246</v>
      </c>
      <c r="H116" s="18">
        <v>17</v>
      </c>
      <c r="I116" s="18">
        <v>173</v>
      </c>
    </row>
    <row r="117" spans="1:9" x14ac:dyDescent="0.3">
      <c r="A117" t="s">
        <v>1106</v>
      </c>
      <c r="B117" s="18" t="s">
        <v>117</v>
      </c>
      <c r="C117" s="18" t="s">
        <v>126</v>
      </c>
      <c r="D117" s="18" t="s">
        <v>129</v>
      </c>
      <c r="E117" s="18" t="s">
        <v>2062</v>
      </c>
      <c r="F117" s="18">
        <v>357</v>
      </c>
      <c r="G117" s="18">
        <v>192</v>
      </c>
      <c r="H117" s="18">
        <v>23</v>
      </c>
      <c r="I117" s="18">
        <v>142</v>
      </c>
    </row>
    <row r="118" spans="1:9" x14ac:dyDescent="0.3">
      <c r="A118" t="s">
        <v>1115</v>
      </c>
      <c r="B118" s="18" t="s">
        <v>117</v>
      </c>
      <c r="C118" s="18" t="s">
        <v>117</v>
      </c>
      <c r="D118" s="18" t="s">
        <v>117</v>
      </c>
      <c r="E118" s="18" t="s">
        <v>2062</v>
      </c>
      <c r="F118" s="18">
        <v>5894</v>
      </c>
      <c r="G118" s="18">
        <v>3565</v>
      </c>
      <c r="H118" s="18">
        <v>422</v>
      </c>
      <c r="I118" s="18">
        <v>1907</v>
      </c>
    </row>
    <row r="119" spans="1:9" x14ac:dyDescent="0.3">
      <c r="A119" t="s">
        <v>1924</v>
      </c>
      <c r="B119" s="18" t="s">
        <v>117</v>
      </c>
      <c r="C119" s="18" t="s">
        <v>117</v>
      </c>
      <c r="D119" s="18" t="s">
        <v>131</v>
      </c>
      <c r="E119" s="18" t="s">
        <v>2062</v>
      </c>
      <c r="F119" s="18">
        <v>981</v>
      </c>
      <c r="G119" s="18">
        <v>421</v>
      </c>
      <c r="H119" s="18">
        <v>109</v>
      </c>
      <c r="I119" s="18">
        <v>451</v>
      </c>
    </row>
    <row r="120" spans="1:9" x14ac:dyDescent="0.3">
      <c r="A120" t="s">
        <v>1020</v>
      </c>
      <c r="B120" s="18" t="s">
        <v>117</v>
      </c>
      <c r="C120" s="18" t="s">
        <v>117</v>
      </c>
      <c r="D120" s="18" t="s">
        <v>132</v>
      </c>
      <c r="E120" s="18" t="s">
        <v>2062</v>
      </c>
      <c r="F120" s="18">
        <v>906</v>
      </c>
      <c r="G120" s="18">
        <v>570</v>
      </c>
      <c r="H120" s="18">
        <v>49</v>
      </c>
      <c r="I120" s="18">
        <v>287</v>
      </c>
    </row>
    <row r="121" spans="1:9" x14ac:dyDescent="0.3">
      <c r="A121" t="s">
        <v>1519</v>
      </c>
      <c r="B121" s="18" t="s">
        <v>117</v>
      </c>
      <c r="C121" s="18" t="s">
        <v>117</v>
      </c>
      <c r="D121" s="18" t="s">
        <v>141</v>
      </c>
      <c r="E121" s="18" t="s">
        <v>2062</v>
      </c>
      <c r="F121" s="18">
        <v>1133</v>
      </c>
      <c r="G121" s="18">
        <v>719</v>
      </c>
      <c r="H121" s="18">
        <v>74</v>
      </c>
      <c r="I121" s="18">
        <v>340</v>
      </c>
    </row>
    <row r="122" spans="1:9" x14ac:dyDescent="0.3">
      <c r="A122" t="s">
        <v>1514</v>
      </c>
      <c r="B122" s="18" t="s">
        <v>117</v>
      </c>
      <c r="C122" s="18" t="s">
        <v>117</v>
      </c>
      <c r="D122" s="18" t="s">
        <v>133</v>
      </c>
      <c r="E122" s="18" t="s">
        <v>2062</v>
      </c>
      <c r="F122" s="18">
        <v>705</v>
      </c>
      <c r="G122" s="18">
        <v>266</v>
      </c>
      <c r="H122" s="18">
        <v>102</v>
      </c>
      <c r="I122" s="18">
        <v>337</v>
      </c>
    </row>
    <row r="123" spans="1:9" x14ac:dyDescent="0.3">
      <c r="A123" t="s">
        <v>1206</v>
      </c>
      <c r="B123" s="18" t="s">
        <v>117</v>
      </c>
      <c r="C123" s="18" t="s">
        <v>117</v>
      </c>
      <c r="D123" s="18" t="s">
        <v>134</v>
      </c>
      <c r="E123" s="18" t="s">
        <v>2062</v>
      </c>
      <c r="F123" s="18">
        <v>964</v>
      </c>
      <c r="G123" s="18">
        <v>416</v>
      </c>
      <c r="H123" s="18">
        <v>100</v>
      </c>
      <c r="I123" s="18">
        <v>448</v>
      </c>
    </row>
    <row r="124" spans="1:9" x14ac:dyDescent="0.3">
      <c r="A124" t="s">
        <v>1021</v>
      </c>
      <c r="B124" s="18" t="s">
        <v>117</v>
      </c>
      <c r="C124" s="18" t="s">
        <v>117</v>
      </c>
      <c r="D124" s="18" t="s">
        <v>135</v>
      </c>
      <c r="E124" s="18" t="s">
        <v>2062</v>
      </c>
      <c r="F124" s="18">
        <v>1792</v>
      </c>
      <c r="G124" s="18">
        <v>967</v>
      </c>
      <c r="H124" s="18">
        <v>190</v>
      </c>
      <c r="I124" s="18">
        <v>635</v>
      </c>
    </row>
    <row r="125" spans="1:9" x14ac:dyDescent="0.3">
      <c r="A125" t="s">
        <v>1515</v>
      </c>
      <c r="B125" s="18" t="s">
        <v>117</v>
      </c>
      <c r="C125" s="18" t="s">
        <v>117</v>
      </c>
      <c r="D125" s="18" t="s">
        <v>136</v>
      </c>
      <c r="E125" s="18" t="s">
        <v>2062</v>
      </c>
      <c r="F125" s="18">
        <v>2070</v>
      </c>
      <c r="G125" s="18">
        <v>992</v>
      </c>
      <c r="H125" s="18">
        <v>283</v>
      </c>
      <c r="I125" s="18">
        <v>795</v>
      </c>
    </row>
    <row r="126" spans="1:9" x14ac:dyDescent="0.3">
      <c r="A126" t="s">
        <v>1516</v>
      </c>
      <c r="B126" s="18" t="s">
        <v>117</v>
      </c>
      <c r="C126" s="18" t="s">
        <v>117</v>
      </c>
      <c r="D126" s="18" t="s">
        <v>137</v>
      </c>
      <c r="E126" s="18" t="s">
        <v>2062</v>
      </c>
      <c r="F126" s="18">
        <v>547</v>
      </c>
      <c r="G126" s="18">
        <v>263</v>
      </c>
      <c r="H126" s="18">
        <v>83</v>
      </c>
      <c r="I126" s="18">
        <v>201</v>
      </c>
    </row>
    <row r="127" spans="1:9" x14ac:dyDescent="0.3">
      <c r="A127" t="s">
        <v>1517</v>
      </c>
      <c r="B127" s="18" t="s">
        <v>117</v>
      </c>
      <c r="C127" s="18" t="s">
        <v>117</v>
      </c>
      <c r="D127" s="18" t="s">
        <v>138</v>
      </c>
      <c r="E127" s="18" t="s">
        <v>2062</v>
      </c>
      <c r="F127" s="18">
        <v>749</v>
      </c>
      <c r="G127" s="18">
        <v>554</v>
      </c>
      <c r="H127" s="18">
        <v>24</v>
      </c>
      <c r="I127" s="18">
        <v>171</v>
      </c>
    </row>
    <row r="128" spans="1:9" x14ac:dyDescent="0.3">
      <c r="A128" t="s">
        <v>1925</v>
      </c>
      <c r="B128" s="18" t="s">
        <v>117</v>
      </c>
      <c r="C128" s="18" t="s">
        <v>117</v>
      </c>
      <c r="D128" s="18" t="s">
        <v>140</v>
      </c>
      <c r="E128" s="18" t="s">
        <v>2062</v>
      </c>
      <c r="F128" s="18">
        <v>470</v>
      </c>
      <c r="G128" s="18">
        <v>285</v>
      </c>
      <c r="H128" s="18">
        <v>40</v>
      </c>
      <c r="I128" s="18">
        <v>145</v>
      </c>
    </row>
    <row r="129" spans="1:9" x14ac:dyDescent="0.3">
      <c r="A129" t="s">
        <v>1518</v>
      </c>
      <c r="B129" s="18" t="s">
        <v>117</v>
      </c>
      <c r="C129" s="18" t="s">
        <v>117</v>
      </c>
      <c r="D129" s="18" t="s">
        <v>139</v>
      </c>
      <c r="E129" s="18" t="s">
        <v>2062</v>
      </c>
      <c r="F129" s="18">
        <v>532</v>
      </c>
      <c r="G129" s="18">
        <v>242</v>
      </c>
      <c r="H129" s="18">
        <v>54</v>
      </c>
      <c r="I129" s="18">
        <v>236</v>
      </c>
    </row>
    <row r="130" spans="1:9" x14ac:dyDescent="0.3">
      <c r="A130" t="s">
        <v>1319</v>
      </c>
      <c r="B130" s="18" t="s">
        <v>117</v>
      </c>
      <c r="C130" s="18" t="s">
        <v>146</v>
      </c>
      <c r="D130" s="18" t="s">
        <v>146</v>
      </c>
      <c r="E130" s="18" t="s">
        <v>2062</v>
      </c>
      <c r="F130" s="18">
        <v>1281</v>
      </c>
      <c r="G130" s="18">
        <v>708</v>
      </c>
      <c r="H130" s="18">
        <v>96</v>
      </c>
      <c r="I130" s="18">
        <v>477</v>
      </c>
    </row>
    <row r="131" spans="1:9" x14ac:dyDescent="0.3">
      <c r="A131" t="s">
        <v>1059</v>
      </c>
      <c r="B131" s="18" t="s">
        <v>117</v>
      </c>
      <c r="C131" s="18" t="s">
        <v>146</v>
      </c>
      <c r="D131" s="18" t="s">
        <v>147</v>
      </c>
      <c r="E131" s="18" t="s">
        <v>2062</v>
      </c>
      <c r="F131" s="18">
        <v>660</v>
      </c>
      <c r="G131" s="18">
        <v>383</v>
      </c>
      <c r="H131" s="18">
        <v>61</v>
      </c>
      <c r="I131" s="18">
        <v>216</v>
      </c>
    </row>
    <row r="132" spans="1:9" x14ac:dyDescent="0.3">
      <c r="A132" t="s">
        <v>1188</v>
      </c>
      <c r="B132" s="18" t="s">
        <v>117</v>
      </c>
      <c r="C132" s="18" t="s">
        <v>145</v>
      </c>
      <c r="D132" s="18" t="s">
        <v>145</v>
      </c>
      <c r="E132" s="18" t="s">
        <v>2062</v>
      </c>
      <c r="F132" s="18">
        <v>2933</v>
      </c>
      <c r="G132" s="18">
        <v>1641</v>
      </c>
      <c r="H132" s="18">
        <v>252</v>
      </c>
      <c r="I132" s="18">
        <v>1040</v>
      </c>
    </row>
    <row r="133" spans="1:9" x14ac:dyDescent="0.3">
      <c r="A133" t="s">
        <v>1240</v>
      </c>
      <c r="B133" s="18" t="s">
        <v>117</v>
      </c>
      <c r="C133" s="18" t="s">
        <v>142</v>
      </c>
      <c r="D133" s="18" t="s">
        <v>142</v>
      </c>
      <c r="E133" s="18" t="s">
        <v>2062</v>
      </c>
      <c r="F133" s="18">
        <v>15088</v>
      </c>
      <c r="G133" s="18">
        <v>10210</v>
      </c>
      <c r="H133" s="18">
        <v>889</v>
      </c>
      <c r="I133" s="18">
        <v>3989</v>
      </c>
    </row>
    <row r="134" spans="1:9" x14ac:dyDescent="0.3">
      <c r="A134" t="s">
        <v>1070</v>
      </c>
      <c r="B134" s="18" t="s">
        <v>117</v>
      </c>
      <c r="C134" s="18" t="s">
        <v>142</v>
      </c>
      <c r="D134" s="18" t="s">
        <v>143</v>
      </c>
      <c r="E134" s="18" t="s">
        <v>2062</v>
      </c>
      <c r="F134" s="18">
        <v>1606</v>
      </c>
      <c r="G134" s="18">
        <v>1161</v>
      </c>
      <c r="H134" s="18">
        <v>66</v>
      </c>
      <c r="I134" s="18">
        <v>379</v>
      </c>
    </row>
    <row r="135" spans="1:9" x14ac:dyDescent="0.3">
      <c r="A135" t="s">
        <v>1926</v>
      </c>
      <c r="B135" s="18" t="s">
        <v>117</v>
      </c>
      <c r="C135" s="18" t="s">
        <v>142</v>
      </c>
      <c r="D135" s="18" t="s">
        <v>144</v>
      </c>
      <c r="E135" s="18" t="s">
        <v>2062</v>
      </c>
      <c r="F135" s="18">
        <v>3613</v>
      </c>
      <c r="G135" s="18">
        <v>2625</v>
      </c>
      <c r="H135" s="18">
        <v>177</v>
      </c>
      <c r="I135" s="18">
        <v>811</v>
      </c>
    </row>
    <row r="136" spans="1:9" x14ac:dyDescent="0.3">
      <c r="A136" t="s">
        <v>1022</v>
      </c>
      <c r="B136" s="18" t="s">
        <v>117</v>
      </c>
      <c r="C136" s="18" t="s">
        <v>148</v>
      </c>
      <c r="D136" s="18" t="s">
        <v>148</v>
      </c>
      <c r="E136" s="18" t="s">
        <v>2062</v>
      </c>
      <c r="F136" s="18">
        <v>1419</v>
      </c>
      <c r="G136" s="18">
        <v>657</v>
      </c>
      <c r="H136" s="18">
        <v>162</v>
      </c>
      <c r="I136" s="18">
        <v>600</v>
      </c>
    </row>
    <row r="137" spans="1:9" x14ac:dyDescent="0.3">
      <c r="A137" t="s">
        <v>1174</v>
      </c>
      <c r="B137" s="18" t="s">
        <v>149</v>
      </c>
      <c r="C137" s="18" t="s">
        <v>90</v>
      </c>
      <c r="D137" s="18" t="s">
        <v>90</v>
      </c>
      <c r="E137" s="18" t="s">
        <v>2062</v>
      </c>
      <c r="F137" s="18">
        <v>2266</v>
      </c>
      <c r="G137" s="18">
        <v>1638</v>
      </c>
      <c r="H137" s="18">
        <v>94</v>
      </c>
      <c r="I137" s="18">
        <v>534</v>
      </c>
    </row>
    <row r="138" spans="1:9" x14ac:dyDescent="0.3">
      <c r="A138" t="s">
        <v>1526</v>
      </c>
      <c r="B138" s="18" t="s">
        <v>149</v>
      </c>
      <c r="C138" s="18" t="s">
        <v>90</v>
      </c>
      <c r="D138" s="18" t="s">
        <v>160</v>
      </c>
      <c r="E138" s="18" t="s">
        <v>2062</v>
      </c>
      <c r="F138" s="18">
        <v>552</v>
      </c>
      <c r="G138" s="18">
        <v>421</v>
      </c>
      <c r="H138" s="18">
        <v>14</v>
      </c>
      <c r="I138" s="18">
        <v>117</v>
      </c>
    </row>
    <row r="139" spans="1:9" x14ac:dyDescent="0.3">
      <c r="A139" t="s">
        <v>1210</v>
      </c>
      <c r="B139" s="18" t="s">
        <v>149</v>
      </c>
      <c r="C139" s="18" t="s">
        <v>90</v>
      </c>
      <c r="D139" s="18" t="s">
        <v>161</v>
      </c>
      <c r="E139" s="18" t="s">
        <v>2062</v>
      </c>
      <c r="F139" s="18">
        <v>957</v>
      </c>
      <c r="G139" s="18">
        <v>670</v>
      </c>
      <c r="H139" s="18">
        <v>73</v>
      </c>
      <c r="I139" s="18">
        <v>214</v>
      </c>
    </row>
    <row r="140" spans="1:9" x14ac:dyDescent="0.3">
      <c r="A140" t="s">
        <v>1527</v>
      </c>
      <c r="B140" s="18" t="s">
        <v>149</v>
      </c>
      <c r="C140" s="18" t="s">
        <v>90</v>
      </c>
      <c r="D140" s="18" t="s">
        <v>162</v>
      </c>
      <c r="E140" s="18" t="s">
        <v>2062</v>
      </c>
      <c r="F140" s="18">
        <v>660</v>
      </c>
      <c r="G140" s="18">
        <v>445</v>
      </c>
      <c r="H140" s="18">
        <v>19</v>
      </c>
      <c r="I140" s="18">
        <v>196</v>
      </c>
    </row>
    <row r="141" spans="1:9" x14ac:dyDescent="0.3">
      <c r="A141" t="s">
        <v>1528</v>
      </c>
      <c r="B141" s="18" t="s">
        <v>149</v>
      </c>
      <c r="C141" s="18" t="s">
        <v>90</v>
      </c>
      <c r="D141" s="18" t="s">
        <v>164</v>
      </c>
      <c r="E141" s="18" t="s">
        <v>2062</v>
      </c>
      <c r="F141" s="18">
        <v>719</v>
      </c>
      <c r="G141" s="18">
        <v>510</v>
      </c>
      <c r="H141" s="18">
        <v>55</v>
      </c>
      <c r="I141" s="18">
        <v>154</v>
      </c>
    </row>
    <row r="142" spans="1:9" x14ac:dyDescent="0.3">
      <c r="A142" t="s">
        <v>1091</v>
      </c>
      <c r="B142" s="18" t="s">
        <v>149</v>
      </c>
      <c r="C142" s="18" t="s">
        <v>90</v>
      </c>
      <c r="D142" s="18" t="s">
        <v>163</v>
      </c>
      <c r="E142" s="18" t="s">
        <v>2062</v>
      </c>
      <c r="F142" s="18">
        <v>817</v>
      </c>
      <c r="G142" s="18">
        <v>630</v>
      </c>
      <c r="H142" s="18">
        <v>10</v>
      </c>
      <c r="I142" s="18">
        <v>177</v>
      </c>
    </row>
    <row r="143" spans="1:9" x14ac:dyDescent="0.3">
      <c r="A143" t="s">
        <v>1134</v>
      </c>
      <c r="B143" s="18" t="s">
        <v>149</v>
      </c>
      <c r="C143" s="18" t="s">
        <v>165</v>
      </c>
      <c r="D143" s="18" t="s">
        <v>166</v>
      </c>
      <c r="E143" s="18" t="s">
        <v>2062</v>
      </c>
      <c r="F143" s="18">
        <v>2582</v>
      </c>
      <c r="G143" s="18">
        <v>1829</v>
      </c>
      <c r="H143" s="18">
        <v>125</v>
      </c>
      <c r="I143" s="18">
        <v>628</v>
      </c>
    </row>
    <row r="144" spans="1:9" x14ac:dyDescent="0.3">
      <c r="A144" t="s">
        <v>1529</v>
      </c>
      <c r="B144" s="18" t="s">
        <v>149</v>
      </c>
      <c r="C144" s="18" t="s">
        <v>165</v>
      </c>
      <c r="D144" s="18" t="s">
        <v>167</v>
      </c>
      <c r="E144" s="18" t="s">
        <v>2062</v>
      </c>
      <c r="F144" s="18">
        <v>295</v>
      </c>
      <c r="G144" s="18">
        <v>179</v>
      </c>
      <c r="H144" s="18">
        <v>40</v>
      </c>
      <c r="I144" s="18">
        <v>76</v>
      </c>
    </row>
    <row r="145" spans="1:9" x14ac:dyDescent="0.3">
      <c r="A145" t="s">
        <v>1530</v>
      </c>
      <c r="B145" s="18" t="s">
        <v>149</v>
      </c>
      <c r="C145" s="18" t="s">
        <v>165</v>
      </c>
      <c r="D145" s="18" t="s">
        <v>168</v>
      </c>
      <c r="E145" s="18" t="s">
        <v>2062</v>
      </c>
      <c r="F145" s="18">
        <v>1427</v>
      </c>
      <c r="G145" s="18">
        <v>1025</v>
      </c>
      <c r="H145" s="18">
        <v>40</v>
      </c>
      <c r="I145" s="18">
        <v>362</v>
      </c>
    </row>
    <row r="146" spans="1:9" x14ac:dyDescent="0.3">
      <c r="A146" t="s">
        <v>1153</v>
      </c>
      <c r="B146" s="18" t="s">
        <v>149</v>
      </c>
      <c r="C146" s="18" t="s">
        <v>165</v>
      </c>
      <c r="D146" s="18" t="s">
        <v>169</v>
      </c>
      <c r="E146" s="18" t="s">
        <v>2062</v>
      </c>
      <c r="F146" s="18">
        <v>1123</v>
      </c>
      <c r="G146" s="18">
        <v>783</v>
      </c>
      <c r="H146" s="18">
        <v>26</v>
      </c>
      <c r="I146" s="18">
        <v>314</v>
      </c>
    </row>
    <row r="147" spans="1:9" x14ac:dyDescent="0.3">
      <c r="A147" t="s">
        <v>1216</v>
      </c>
      <c r="B147" s="18" t="s">
        <v>149</v>
      </c>
      <c r="C147" s="18" t="s">
        <v>170</v>
      </c>
      <c r="D147" s="18" t="s">
        <v>171</v>
      </c>
      <c r="E147" s="18" t="s">
        <v>2062</v>
      </c>
      <c r="F147" s="18">
        <v>1061</v>
      </c>
      <c r="G147" s="18">
        <v>697</v>
      </c>
      <c r="H147" s="18">
        <v>73</v>
      </c>
      <c r="I147" s="18">
        <v>291</v>
      </c>
    </row>
    <row r="148" spans="1:9" x14ac:dyDescent="0.3">
      <c r="A148" t="s">
        <v>1531</v>
      </c>
      <c r="B148" s="18" t="s">
        <v>149</v>
      </c>
      <c r="C148" s="18" t="s">
        <v>170</v>
      </c>
      <c r="D148" s="18" t="s">
        <v>172</v>
      </c>
      <c r="E148" s="18" t="s">
        <v>2062</v>
      </c>
      <c r="F148" s="18">
        <v>761</v>
      </c>
      <c r="G148" s="18">
        <v>521</v>
      </c>
      <c r="H148" s="18">
        <v>42</v>
      </c>
      <c r="I148" s="18">
        <v>198</v>
      </c>
    </row>
    <row r="149" spans="1:9" x14ac:dyDescent="0.3">
      <c r="A149" t="s">
        <v>1290</v>
      </c>
      <c r="B149" s="18" t="s">
        <v>149</v>
      </c>
      <c r="C149" s="18" t="s">
        <v>170</v>
      </c>
      <c r="D149" s="18" t="s">
        <v>173</v>
      </c>
      <c r="E149" s="18" t="s">
        <v>2062</v>
      </c>
      <c r="F149" s="18">
        <v>564</v>
      </c>
      <c r="G149" s="18">
        <v>400</v>
      </c>
      <c r="H149" s="18">
        <v>29</v>
      </c>
      <c r="I149" s="18">
        <v>135</v>
      </c>
    </row>
    <row r="150" spans="1:9" x14ac:dyDescent="0.3">
      <c r="A150" t="s">
        <v>1180</v>
      </c>
      <c r="B150" s="18" t="s">
        <v>149</v>
      </c>
      <c r="C150" s="18" t="s">
        <v>170</v>
      </c>
      <c r="D150" s="18" t="s">
        <v>170</v>
      </c>
      <c r="E150" s="18" t="s">
        <v>2062</v>
      </c>
      <c r="F150" s="18">
        <v>2611</v>
      </c>
      <c r="G150" s="18">
        <v>1788</v>
      </c>
      <c r="H150" s="18">
        <v>105</v>
      </c>
      <c r="I150" s="18">
        <v>718</v>
      </c>
    </row>
    <row r="151" spans="1:9" x14ac:dyDescent="0.3">
      <c r="A151" t="s">
        <v>1927</v>
      </c>
      <c r="B151" s="18" t="s">
        <v>149</v>
      </c>
      <c r="C151" s="18" t="s">
        <v>174</v>
      </c>
      <c r="D151" s="18" t="s">
        <v>177</v>
      </c>
      <c r="E151" s="18" t="s">
        <v>2062</v>
      </c>
      <c r="F151" s="18">
        <v>246</v>
      </c>
      <c r="G151" s="18">
        <v>179</v>
      </c>
      <c r="H151" s="18">
        <v>4</v>
      </c>
      <c r="I151" s="18">
        <v>63</v>
      </c>
    </row>
    <row r="152" spans="1:9" x14ac:dyDescent="0.3">
      <c r="A152" t="s">
        <v>1532</v>
      </c>
      <c r="B152" s="18" t="s">
        <v>149</v>
      </c>
      <c r="C152" s="18" t="s">
        <v>174</v>
      </c>
      <c r="D152" s="18" t="s">
        <v>176</v>
      </c>
      <c r="E152" s="18" t="s">
        <v>2062</v>
      </c>
      <c r="F152" s="18">
        <v>1071</v>
      </c>
      <c r="G152" s="18">
        <v>758</v>
      </c>
      <c r="H152" s="18">
        <v>42</v>
      </c>
      <c r="I152" s="18">
        <v>271</v>
      </c>
    </row>
    <row r="153" spans="1:9" x14ac:dyDescent="0.3">
      <c r="A153" t="s">
        <v>1533</v>
      </c>
      <c r="B153" s="18" t="s">
        <v>149</v>
      </c>
      <c r="C153" s="18" t="s">
        <v>174</v>
      </c>
      <c r="D153" s="18" t="s">
        <v>178</v>
      </c>
      <c r="E153" s="18" t="s">
        <v>2062</v>
      </c>
      <c r="F153" s="18">
        <v>430</v>
      </c>
      <c r="G153" s="18">
        <v>318</v>
      </c>
      <c r="H153" s="18">
        <v>15</v>
      </c>
      <c r="I153" s="18">
        <v>97</v>
      </c>
    </row>
    <row r="154" spans="1:9" x14ac:dyDescent="0.3">
      <c r="A154" t="s">
        <v>1928</v>
      </c>
      <c r="B154" s="18" t="s">
        <v>149</v>
      </c>
      <c r="C154" s="18" t="s">
        <v>174</v>
      </c>
      <c r="D154" s="18" t="s">
        <v>179</v>
      </c>
      <c r="E154" s="18" t="s">
        <v>2062</v>
      </c>
      <c r="F154" s="18">
        <v>1282</v>
      </c>
      <c r="G154" s="18">
        <v>793</v>
      </c>
      <c r="H154" s="18">
        <v>167</v>
      </c>
      <c r="I154" s="18">
        <v>322</v>
      </c>
    </row>
    <row r="155" spans="1:9" x14ac:dyDescent="0.3">
      <c r="A155" t="s">
        <v>1929</v>
      </c>
      <c r="B155" s="18" t="s">
        <v>149</v>
      </c>
      <c r="C155" s="18" t="s">
        <v>174</v>
      </c>
      <c r="D155" s="18" t="s">
        <v>180</v>
      </c>
      <c r="E155" s="18" t="s">
        <v>2062</v>
      </c>
      <c r="F155" s="18">
        <v>369</v>
      </c>
      <c r="G155" s="18">
        <v>270</v>
      </c>
      <c r="H155" s="18">
        <v>2</v>
      </c>
      <c r="I155" s="18">
        <v>97</v>
      </c>
    </row>
    <row r="156" spans="1:9" x14ac:dyDescent="0.3">
      <c r="A156" t="s">
        <v>1179</v>
      </c>
      <c r="B156" s="18" t="s">
        <v>149</v>
      </c>
      <c r="C156" s="18" t="s">
        <v>174</v>
      </c>
      <c r="D156" s="18" t="s">
        <v>175</v>
      </c>
      <c r="E156" s="18" t="s">
        <v>2062</v>
      </c>
      <c r="F156" s="18">
        <v>7503</v>
      </c>
      <c r="G156" s="18">
        <v>5183</v>
      </c>
      <c r="H156" s="18">
        <v>491</v>
      </c>
      <c r="I156" s="18">
        <v>1829</v>
      </c>
    </row>
    <row r="157" spans="1:9" x14ac:dyDescent="0.3">
      <c r="A157" t="s">
        <v>1145</v>
      </c>
      <c r="B157" s="18" t="s">
        <v>149</v>
      </c>
      <c r="C157" s="18" t="s">
        <v>181</v>
      </c>
      <c r="D157" s="18" t="s">
        <v>182</v>
      </c>
      <c r="E157" s="18" t="s">
        <v>2062</v>
      </c>
      <c r="F157" s="18">
        <v>2456</v>
      </c>
      <c r="G157" s="18">
        <v>1779</v>
      </c>
      <c r="H157" s="18">
        <v>100</v>
      </c>
      <c r="I157" s="18">
        <v>577</v>
      </c>
    </row>
    <row r="158" spans="1:9" x14ac:dyDescent="0.3">
      <c r="A158" t="s">
        <v>1930</v>
      </c>
      <c r="B158" s="18" t="s">
        <v>149</v>
      </c>
      <c r="C158" s="18" t="s">
        <v>181</v>
      </c>
      <c r="D158" s="18" t="s">
        <v>183</v>
      </c>
      <c r="E158" s="18" t="s">
        <v>2062</v>
      </c>
      <c r="F158" s="18">
        <v>526</v>
      </c>
      <c r="G158" s="18">
        <v>389</v>
      </c>
      <c r="H158" s="18">
        <v>22</v>
      </c>
      <c r="I158" s="18">
        <v>115</v>
      </c>
    </row>
    <row r="159" spans="1:9" x14ac:dyDescent="0.3">
      <c r="A159" t="s">
        <v>1056</v>
      </c>
      <c r="B159" s="18" t="s">
        <v>149</v>
      </c>
      <c r="C159" s="18" t="s">
        <v>150</v>
      </c>
      <c r="D159" s="18" t="s">
        <v>151</v>
      </c>
      <c r="E159" s="18" t="s">
        <v>2062</v>
      </c>
      <c r="F159" s="18">
        <v>800</v>
      </c>
      <c r="G159" s="18">
        <v>539</v>
      </c>
      <c r="H159" s="18">
        <v>53</v>
      </c>
      <c r="I159" s="18">
        <v>208</v>
      </c>
    </row>
    <row r="160" spans="1:9" x14ac:dyDescent="0.3">
      <c r="A160" t="s">
        <v>1524</v>
      </c>
      <c r="B160" s="18" t="s">
        <v>149</v>
      </c>
      <c r="C160" s="18" t="s">
        <v>150</v>
      </c>
      <c r="D160" s="18" t="s">
        <v>158</v>
      </c>
      <c r="E160" s="18" t="s">
        <v>2062</v>
      </c>
      <c r="F160" s="18">
        <v>1392</v>
      </c>
      <c r="G160" s="18">
        <v>754</v>
      </c>
      <c r="H160" s="18">
        <v>120</v>
      </c>
      <c r="I160" s="18">
        <v>518</v>
      </c>
    </row>
    <row r="161" spans="1:9" x14ac:dyDescent="0.3">
      <c r="A161" t="s">
        <v>1116</v>
      </c>
      <c r="B161" s="18" t="s">
        <v>149</v>
      </c>
      <c r="C161" s="18" t="s">
        <v>150</v>
      </c>
      <c r="D161" s="18" t="s">
        <v>152</v>
      </c>
      <c r="E161" s="18" t="s">
        <v>2062</v>
      </c>
      <c r="F161" s="18">
        <v>3836</v>
      </c>
      <c r="G161" s="18">
        <v>2829</v>
      </c>
      <c r="H161" s="18">
        <v>134</v>
      </c>
      <c r="I161" s="18">
        <v>873</v>
      </c>
    </row>
    <row r="162" spans="1:9" x14ac:dyDescent="0.3">
      <c r="A162" t="s">
        <v>1520</v>
      </c>
      <c r="B162" s="18" t="s">
        <v>149</v>
      </c>
      <c r="C162" s="18" t="s">
        <v>150</v>
      </c>
      <c r="D162" s="18" t="s">
        <v>153</v>
      </c>
      <c r="E162" s="18" t="s">
        <v>2062</v>
      </c>
      <c r="F162" s="18">
        <v>778</v>
      </c>
      <c r="G162" s="18">
        <v>606</v>
      </c>
      <c r="H162" s="18">
        <v>23</v>
      </c>
      <c r="I162" s="18">
        <v>149</v>
      </c>
    </row>
    <row r="163" spans="1:9" x14ac:dyDescent="0.3">
      <c r="A163" t="s">
        <v>1521</v>
      </c>
      <c r="B163" s="18" t="s">
        <v>149</v>
      </c>
      <c r="C163" s="18" t="s">
        <v>150</v>
      </c>
      <c r="D163" s="18" t="s">
        <v>154</v>
      </c>
      <c r="E163" s="18" t="s">
        <v>2062</v>
      </c>
      <c r="F163" s="18">
        <v>256</v>
      </c>
      <c r="G163" s="18">
        <v>185</v>
      </c>
      <c r="H163" s="18">
        <v>17</v>
      </c>
      <c r="I163" s="18">
        <v>54</v>
      </c>
    </row>
    <row r="164" spans="1:9" x14ac:dyDescent="0.3">
      <c r="A164" t="s">
        <v>1525</v>
      </c>
      <c r="B164" s="18" t="s">
        <v>149</v>
      </c>
      <c r="C164" s="18" t="s">
        <v>150</v>
      </c>
      <c r="D164" s="18" t="s">
        <v>159</v>
      </c>
      <c r="E164" s="18" t="s">
        <v>2062</v>
      </c>
      <c r="F164" s="18">
        <v>896</v>
      </c>
      <c r="G164" s="18">
        <v>660</v>
      </c>
      <c r="H164" s="18">
        <v>30</v>
      </c>
      <c r="I164" s="18">
        <v>206</v>
      </c>
    </row>
    <row r="165" spans="1:9" x14ac:dyDescent="0.3">
      <c r="A165" t="s">
        <v>1522</v>
      </c>
      <c r="B165" s="18" t="s">
        <v>149</v>
      </c>
      <c r="C165" s="18" t="s">
        <v>150</v>
      </c>
      <c r="D165" s="18" t="s">
        <v>155</v>
      </c>
      <c r="E165" s="18" t="s">
        <v>2062</v>
      </c>
      <c r="F165" s="18">
        <v>411</v>
      </c>
      <c r="G165" s="18">
        <v>127</v>
      </c>
      <c r="H165" s="18">
        <v>155</v>
      </c>
      <c r="I165" s="18">
        <v>129</v>
      </c>
    </row>
    <row r="166" spans="1:9" x14ac:dyDescent="0.3">
      <c r="A166" t="s">
        <v>1523</v>
      </c>
      <c r="B166" s="18" t="s">
        <v>149</v>
      </c>
      <c r="C166" s="18" t="s">
        <v>150</v>
      </c>
      <c r="D166" s="18" t="s">
        <v>156</v>
      </c>
      <c r="E166" s="18" t="s">
        <v>2062</v>
      </c>
      <c r="F166" s="18">
        <v>960</v>
      </c>
      <c r="G166" s="18">
        <v>649</v>
      </c>
      <c r="H166" s="18">
        <v>90</v>
      </c>
      <c r="I166" s="18">
        <v>221</v>
      </c>
    </row>
    <row r="167" spans="1:9" x14ac:dyDescent="0.3">
      <c r="A167" t="s">
        <v>1429</v>
      </c>
      <c r="B167" s="18" t="s">
        <v>149</v>
      </c>
      <c r="C167" s="18" t="s">
        <v>150</v>
      </c>
      <c r="D167" s="18" t="s">
        <v>150</v>
      </c>
      <c r="E167" s="18" t="s">
        <v>2062</v>
      </c>
      <c r="F167" s="18">
        <v>23644</v>
      </c>
      <c r="G167" s="18">
        <v>15338</v>
      </c>
      <c r="H167" s="18">
        <v>1910</v>
      </c>
      <c r="I167" s="18">
        <v>6396</v>
      </c>
    </row>
    <row r="168" spans="1:9" x14ac:dyDescent="0.3">
      <c r="A168" t="s">
        <v>1138</v>
      </c>
      <c r="B168" s="18" t="s">
        <v>149</v>
      </c>
      <c r="C168" s="18" t="s">
        <v>150</v>
      </c>
      <c r="D168" s="18" t="s">
        <v>157</v>
      </c>
      <c r="E168" s="18" t="s">
        <v>2062</v>
      </c>
      <c r="F168" s="18">
        <v>707</v>
      </c>
      <c r="G168" s="18">
        <v>485</v>
      </c>
      <c r="H168" s="18">
        <v>58</v>
      </c>
      <c r="I168" s="18">
        <v>164</v>
      </c>
    </row>
    <row r="169" spans="1:9" x14ac:dyDescent="0.3">
      <c r="A169" t="s">
        <v>1431</v>
      </c>
      <c r="B169" s="18" t="s">
        <v>225</v>
      </c>
      <c r="C169" s="18" t="s">
        <v>237</v>
      </c>
      <c r="D169" s="18" t="s">
        <v>238</v>
      </c>
      <c r="E169" s="18" t="s">
        <v>2062</v>
      </c>
      <c r="F169" s="18">
        <v>2583</v>
      </c>
      <c r="G169" s="18">
        <v>963</v>
      </c>
      <c r="H169" s="18">
        <v>434</v>
      </c>
      <c r="I169" s="18">
        <v>1186</v>
      </c>
    </row>
    <row r="170" spans="1:9" x14ac:dyDescent="0.3">
      <c r="A170" t="s">
        <v>1121</v>
      </c>
      <c r="B170" s="18" t="s">
        <v>225</v>
      </c>
      <c r="C170" s="18" t="s">
        <v>237</v>
      </c>
      <c r="D170" s="18" t="s">
        <v>237</v>
      </c>
      <c r="E170" s="18" t="s">
        <v>2062</v>
      </c>
      <c r="F170" s="18">
        <v>3341</v>
      </c>
      <c r="G170" s="18">
        <v>1754</v>
      </c>
      <c r="H170" s="18">
        <v>473</v>
      </c>
      <c r="I170" s="18">
        <v>1114</v>
      </c>
    </row>
    <row r="171" spans="1:9" x14ac:dyDescent="0.3">
      <c r="A171" t="s">
        <v>1058</v>
      </c>
      <c r="B171" s="18" t="s">
        <v>225</v>
      </c>
      <c r="C171" s="18" t="s">
        <v>237</v>
      </c>
      <c r="D171" s="18" t="s">
        <v>239</v>
      </c>
      <c r="E171" s="18" t="s">
        <v>2062</v>
      </c>
      <c r="F171" s="18">
        <v>533</v>
      </c>
      <c r="G171" s="18">
        <v>167</v>
      </c>
      <c r="H171" s="18">
        <v>111</v>
      </c>
      <c r="I171" s="18">
        <v>255</v>
      </c>
    </row>
    <row r="172" spans="1:9" x14ac:dyDescent="0.3">
      <c r="A172" t="s">
        <v>1545</v>
      </c>
      <c r="B172" s="18" t="s">
        <v>225</v>
      </c>
      <c r="C172" s="18" t="s">
        <v>237</v>
      </c>
      <c r="D172" s="18" t="s">
        <v>240</v>
      </c>
      <c r="E172" s="18" t="s">
        <v>2062</v>
      </c>
      <c r="F172" s="18">
        <v>628</v>
      </c>
      <c r="G172" s="18">
        <v>315</v>
      </c>
      <c r="H172" s="18">
        <v>79</v>
      </c>
      <c r="I172" s="18">
        <v>234</v>
      </c>
    </row>
    <row r="173" spans="1:9" x14ac:dyDescent="0.3">
      <c r="A173" t="s">
        <v>1546</v>
      </c>
      <c r="B173" s="18" t="s">
        <v>225</v>
      </c>
      <c r="C173" s="18" t="s">
        <v>237</v>
      </c>
      <c r="D173" s="18" t="s">
        <v>241</v>
      </c>
      <c r="E173" s="18" t="s">
        <v>2062</v>
      </c>
      <c r="F173" s="18">
        <v>694</v>
      </c>
      <c r="G173" s="18">
        <v>431</v>
      </c>
      <c r="H173" s="18">
        <v>43</v>
      </c>
      <c r="I173" s="18">
        <v>220</v>
      </c>
    </row>
    <row r="174" spans="1:9" x14ac:dyDescent="0.3">
      <c r="A174" t="s">
        <v>1547</v>
      </c>
      <c r="B174" s="18" t="s">
        <v>225</v>
      </c>
      <c r="C174" s="18" t="s">
        <v>237</v>
      </c>
      <c r="D174" s="18" t="s">
        <v>242</v>
      </c>
      <c r="E174" s="18" t="s">
        <v>2062</v>
      </c>
      <c r="F174" s="18">
        <v>87</v>
      </c>
      <c r="G174" s="18">
        <v>39</v>
      </c>
      <c r="H174" s="18">
        <v>16</v>
      </c>
      <c r="I174" s="18">
        <v>32</v>
      </c>
    </row>
    <row r="175" spans="1:9" x14ac:dyDescent="0.3">
      <c r="A175" t="s">
        <v>1932</v>
      </c>
      <c r="B175" s="18" t="s">
        <v>225</v>
      </c>
      <c r="C175" s="18" t="s">
        <v>237</v>
      </c>
      <c r="D175" s="18" t="s">
        <v>243</v>
      </c>
      <c r="E175" s="18" t="s">
        <v>2062</v>
      </c>
      <c r="F175" s="18">
        <v>209</v>
      </c>
      <c r="G175" s="18">
        <v>61</v>
      </c>
      <c r="H175" s="18">
        <v>44</v>
      </c>
      <c r="I175" s="18">
        <v>104</v>
      </c>
    </row>
    <row r="176" spans="1:9" x14ac:dyDescent="0.3">
      <c r="A176" t="s">
        <v>1933</v>
      </c>
      <c r="B176" s="18" t="s">
        <v>225</v>
      </c>
      <c r="C176" s="18" t="s">
        <v>237</v>
      </c>
      <c r="D176" s="18" t="s">
        <v>244</v>
      </c>
      <c r="E176" s="18" t="s">
        <v>2062</v>
      </c>
      <c r="F176" s="18">
        <v>213</v>
      </c>
      <c r="G176" s="18">
        <v>56</v>
      </c>
      <c r="H176" s="18">
        <v>68</v>
      </c>
      <c r="I176" s="18">
        <v>89</v>
      </c>
    </row>
    <row r="177" spans="1:9" x14ac:dyDescent="0.3">
      <c r="A177" t="s">
        <v>1934</v>
      </c>
      <c r="B177" s="18" t="s">
        <v>225</v>
      </c>
      <c r="C177" s="18" t="s">
        <v>237</v>
      </c>
      <c r="D177" s="18" t="s">
        <v>245</v>
      </c>
      <c r="E177" s="18" t="s">
        <v>2062</v>
      </c>
      <c r="F177" s="18">
        <v>1248</v>
      </c>
      <c r="G177" s="18">
        <v>473</v>
      </c>
      <c r="H177" s="18">
        <v>155</v>
      </c>
      <c r="I177" s="18">
        <v>620</v>
      </c>
    </row>
    <row r="178" spans="1:9" x14ac:dyDescent="0.3">
      <c r="A178" t="s">
        <v>1455</v>
      </c>
      <c r="B178" s="18" t="s">
        <v>225</v>
      </c>
      <c r="C178" s="18" t="s">
        <v>237</v>
      </c>
      <c r="D178" s="18" t="s">
        <v>246</v>
      </c>
      <c r="E178" s="18" t="s">
        <v>2062</v>
      </c>
      <c r="F178" s="18">
        <v>2698</v>
      </c>
      <c r="G178" s="18">
        <v>1127</v>
      </c>
      <c r="H178" s="18">
        <v>521</v>
      </c>
      <c r="I178" s="18">
        <v>1050</v>
      </c>
    </row>
    <row r="179" spans="1:9" x14ac:dyDescent="0.3">
      <c r="A179" t="s">
        <v>1231</v>
      </c>
      <c r="B179" s="18" t="s">
        <v>225</v>
      </c>
      <c r="C179" s="18" t="s">
        <v>253</v>
      </c>
      <c r="D179" s="18" t="s">
        <v>253</v>
      </c>
      <c r="E179" s="18" t="s">
        <v>2062</v>
      </c>
      <c r="F179" s="18">
        <v>4649</v>
      </c>
      <c r="G179" s="18">
        <v>3269</v>
      </c>
      <c r="H179" s="18">
        <v>204</v>
      </c>
      <c r="I179" s="18">
        <v>1176</v>
      </c>
    </row>
    <row r="180" spans="1:9" x14ac:dyDescent="0.3">
      <c r="A180" t="s">
        <v>1935</v>
      </c>
      <c r="B180" s="18" t="s">
        <v>225</v>
      </c>
      <c r="C180" s="18" t="s">
        <v>254</v>
      </c>
      <c r="D180" s="18" t="s">
        <v>255</v>
      </c>
      <c r="E180" s="18" t="s">
        <v>2062</v>
      </c>
      <c r="F180" s="18">
        <v>230</v>
      </c>
      <c r="G180" s="18">
        <v>147</v>
      </c>
      <c r="H180" s="18">
        <v>1</v>
      </c>
      <c r="I180" s="18">
        <v>82</v>
      </c>
    </row>
    <row r="181" spans="1:9" x14ac:dyDescent="0.3">
      <c r="A181" t="s">
        <v>1178</v>
      </c>
      <c r="B181" s="18" t="s">
        <v>225</v>
      </c>
      <c r="C181" s="18" t="s">
        <v>254</v>
      </c>
      <c r="D181" s="18" t="s">
        <v>254</v>
      </c>
      <c r="E181" s="18" t="s">
        <v>2062</v>
      </c>
      <c r="F181" s="18">
        <v>2218</v>
      </c>
      <c r="G181" s="18">
        <v>1362</v>
      </c>
      <c r="H181" s="18">
        <v>135</v>
      </c>
      <c r="I181" s="18">
        <v>721</v>
      </c>
    </row>
    <row r="182" spans="1:9" x14ac:dyDescent="0.3">
      <c r="A182" t="s">
        <v>1936</v>
      </c>
      <c r="B182" s="18" t="s">
        <v>225</v>
      </c>
      <c r="C182" s="18" t="s">
        <v>254</v>
      </c>
      <c r="D182" s="18" t="s">
        <v>256</v>
      </c>
      <c r="E182" s="18" t="s">
        <v>2062</v>
      </c>
      <c r="F182" s="18">
        <v>233</v>
      </c>
      <c r="G182" s="18">
        <v>147</v>
      </c>
      <c r="H182" s="18">
        <v>2</v>
      </c>
      <c r="I182" s="18">
        <v>84</v>
      </c>
    </row>
    <row r="183" spans="1:9" x14ac:dyDescent="0.3">
      <c r="A183" t="s">
        <v>1550</v>
      </c>
      <c r="B183" s="18" t="s">
        <v>225</v>
      </c>
      <c r="C183" s="18" t="s">
        <v>254</v>
      </c>
      <c r="D183" s="18" t="s">
        <v>257</v>
      </c>
      <c r="E183" s="18" t="s">
        <v>2062</v>
      </c>
      <c r="F183" s="18">
        <v>350</v>
      </c>
      <c r="G183" s="18">
        <v>155</v>
      </c>
      <c r="H183" s="18">
        <v>41</v>
      </c>
      <c r="I183" s="18">
        <v>154</v>
      </c>
    </row>
    <row r="184" spans="1:9" x14ac:dyDescent="0.3">
      <c r="A184" t="s">
        <v>1937</v>
      </c>
      <c r="B184" s="18" t="s">
        <v>225</v>
      </c>
      <c r="C184" s="18" t="s">
        <v>254</v>
      </c>
      <c r="D184" s="18" t="s">
        <v>258</v>
      </c>
      <c r="E184" s="18" t="s">
        <v>2062</v>
      </c>
      <c r="F184" s="18">
        <v>409</v>
      </c>
      <c r="G184" s="18">
        <v>155</v>
      </c>
      <c r="H184" s="18">
        <v>78</v>
      </c>
      <c r="I184" s="18">
        <v>176</v>
      </c>
    </row>
    <row r="185" spans="1:9" x14ac:dyDescent="0.3">
      <c r="A185" t="s">
        <v>1548</v>
      </c>
      <c r="B185" s="18" t="s">
        <v>225</v>
      </c>
      <c r="C185" s="18" t="s">
        <v>247</v>
      </c>
      <c r="D185" s="18" t="s">
        <v>249</v>
      </c>
      <c r="E185" s="18" t="s">
        <v>2062</v>
      </c>
      <c r="F185" s="18">
        <v>286</v>
      </c>
      <c r="G185" s="18">
        <v>132</v>
      </c>
      <c r="H185" s="18">
        <v>15</v>
      </c>
      <c r="I185" s="18">
        <v>139</v>
      </c>
    </row>
    <row r="186" spans="1:9" x14ac:dyDescent="0.3">
      <c r="A186" t="s">
        <v>1306</v>
      </c>
      <c r="B186" s="18" t="s">
        <v>225</v>
      </c>
      <c r="C186" s="18" t="s">
        <v>247</v>
      </c>
      <c r="D186" s="18" t="s">
        <v>250</v>
      </c>
      <c r="E186" s="18" t="s">
        <v>2062</v>
      </c>
      <c r="F186" s="18">
        <v>3343</v>
      </c>
      <c r="G186" s="18">
        <v>1049</v>
      </c>
      <c r="H186" s="18">
        <v>533</v>
      </c>
      <c r="I186" s="18">
        <v>1761</v>
      </c>
    </row>
    <row r="187" spans="1:9" x14ac:dyDescent="0.3">
      <c r="A187" t="s">
        <v>1549</v>
      </c>
      <c r="B187" s="18" t="s">
        <v>225</v>
      </c>
      <c r="C187" s="18" t="s">
        <v>247</v>
      </c>
      <c r="D187" s="18" t="s">
        <v>251</v>
      </c>
      <c r="E187" s="18" t="s">
        <v>2062</v>
      </c>
      <c r="F187" s="18">
        <v>1081</v>
      </c>
      <c r="G187" s="18">
        <v>556</v>
      </c>
      <c r="H187" s="18">
        <v>58</v>
      </c>
      <c r="I187" s="18">
        <v>467</v>
      </c>
    </row>
    <row r="188" spans="1:9" x14ac:dyDescent="0.3">
      <c r="A188" t="s">
        <v>1208</v>
      </c>
      <c r="B188" s="18" t="s">
        <v>225</v>
      </c>
      <c r="C188" s="18" t="s">
        <v>247</v>
      </c>
      <c r="D188" s="18" t="s">
        <v>252</v>
      </c>
      <c r="E188" s="18" t="s">
        <v>2062</v>
      </c>
      <c r="F188" s="18">
        <v>1209</v>
      </c>
      <c r="G188" s="18">
        <v>459</v>
      </c>
      <c r="H188" s="18">
        <v>234</v>
      </c>
      <c r="I188" s="18">
        <v>516</v>
      </c>
    </row>
    <row r="189" spans="1:9" x14ac:dyDescent="0.3">
      <c r="A189" t="s">
        <v>1140</v>
      </c>
      <c r="B189" s="18" t="s">
        <v>225</v>
      </c>
      <c r="C189" s="18" t="s">
        <v>247</v>
      </c>
      <c r="D189" s="18" t="s">
        <v>248</v>
      </c>
      <c r="E189" s="18" t="s">
        <v>2062</v>
      </c>
      <c r="F189" s="18">
        <v>5207</v>
      </c>
      <c r="G189" s="18">
        <v>2625</v>
      </c>
      <c r="H189" s="18">
        <v>659</v>
      </c>
      <c r="I189" s="18">
        <v>1923</v>
      </c>
    </row>
    <row r="190" spans="1:9" x14ac:dyDescent="0.3">
      <c r="A190" t="s">
        <v>1560</v>
      </c>
      <c r="B190" s="18" t="s">
        <v>225</v>
      </c>
      <c r="C190" s="18" t="s">
        <v>279</v>
      </c>
      <c r="D190" s="18" t="s">
        <v>279</v>
      </c>
      <c r="E190" s="18" t="s">
        <v>2062</v>
      </c>
      <c r="F190" s="18">
        <v>5541</v>
      </c>
      <c r="G190" s="18">
        <v>3701</v>
      </c>
      <c r="H190" s="18">
        <v>504</v>
      </c>
      <c r="I190" s="18">
        <v>1336</v>
      </c>
    </row>
    <row r="191" spans="1:9" x14ac:dyDescent="0.3">
      <c r="A191" t="s">
        <v>1551</v>
      </c>
      <c r="B191" s="18" t="s">
        <v>225</v>
      </c>
      <c r="C191" s="18" t="s">
        <v>259</v>
      </c>
      <c r="D191" s="18" t="s">
        <v>260</v>
      </c>
      <c r="E191" s="18" t="s">
        <v>2062</v>
      </c>
      <c r="F191" s="18">
        <v>2105</v>
      </c>
      <c r="G191" s="18">
        <v>1276</v>
      </c>
      <c r="H191" s="18">
        <v>81</v>
      </c>
      <c r="I191" s="18">
        <v>748</v>
      </c>
    </row>
    <row r="192" spans="1:9" x14ac:dyDescent="0.3">
      <c r="A192" t="s">
        <v>1255</v>
      </c>
      <c r="B192" s="18" t="s">
        <v>225</v>
      </c>
      <c r="C192" s="18" t="s">
        <v>259</v>
      </c>
      <c r="D192" s="18" t="s">
        <v>259</v>
      </c>
      <c r="E192" s="18" t="s">
        <v>2062</v>
      </c>
      <c r="F192" s="18">
        <v>6497</v>
      </c>
      <c r="G192" s="18">
        <v>3954</v>
      </c>
      <c r="H192" s="18">
        <v>679</v>
      </c>
      <c r="I192" s="18">
        <v>1864</v>
      </c>
    </row>
    <row r="193" spans="1:9" x14ac:dyDescent="0.3">
      <c r="A193" t="s">
        <v>1198</v>
      </c>
      <c r="B193" s="18" t="s">
        <v>225</v>
      </c>
      <c r="C193" s="18" t="s">
        <v>259</v>
      </c>
      <c r="D193" s="18" t="s">
        <v>261</v>
      </c>
      <c r="E193" s="18" t="s">
        <v>2062</v>
      </c>
      <c r="F193" s="18">
        <v>3176</v>
      </c>
      <c r="G193" s="18">
        <v>1917</v>
      </c>
      <c r="H193" s="18">
        <v>209</v>
      </c>
      <c r="I193" s="18">
        <v>1050</v>
      </c>
    </row>
    <row r="194" spans="1:9" x14ac:dyDescent="0.3">
      <c r="A194" t="s">
        <v>1552</v>
      </c>
      <c r="B194" s="18" t="s">
        <v>225</v>
      </c>
      <c r="C194" s="18" t="s">
        <v>262</v>
      </c>
      <c r="D194" s="18" t="s">
        <v>263</v>
      </c>
      <c r="E194" s="18" t="s">
        <v>2062</v>
      </c>
      <c r="F194" s="18">
        <v>99</v>
      </c>
      <c r="G194" s="18">
        <v>48</v>
      </c>
      <c r="H194" s="18">
        <v>7</v>
      </c>
      <c r="I194" s="18">
        <v>44</v>
      </c>
    </row>
    <row r="195" spans="1:9" x14ac:dyDescent="0.3">
      <c r="A195" t="s">
        <v>1315</v>
      </c>
      <c r="B195" s="18" t="s">
        <v>225</v>
      </c>
      <c r="C195" s="18" t="s">
        <v>262</v>
      </c>
      <c r="D195" s="18" t="s">
        <v>262</v>
      </c>
      <c r="E195" s="18" t="s">
        <v>2062</v>
      </c>
      <c r="F195" s="18">
        <v>7991</v>
      </c>
      <c r="G195" s="18">
        <v>5018</v>
      </c>
      <c r="H195" s="18">
        <v>421</v>
      </c>
      <c r="I195" s="18">
        <v>2552</v>
      </c>
    </row>
    <row r="196" spans="1:9" x14ac:dyDescent="0.3">
      <c r="A196" t="s">
        <v>1553</v>
      </c>
      <c r="B196" s="18" t="s">
        <v>225</v>
      </c>
      <c r="C196" s="18" t="s">
        <v>262</v>
      </c>
      <c r="D196" s="18" t="s">
        <v>264</v>
      </c>
      <c r="E196" s="18" t="s">
        <v>2062</v>
      </c>
      <c r="F196" s="18">
        <v>431</v>
      </c>
      <c r="G196" s="18">
        <v>283</v>
      </c>
      <c r="H196" s="18">
        <v>21</v>
      </c>
      <c r="I196" s="18">
        <v>127</v>
      </c>
    </row>
    <row r="197" spans="1:9" x14ac:dyDescent="0.3">
      <c r="A197" t="s">
        <v>1938</v>
      </c>
      <c r="B197" s="18" t="s">
        <v>225</v>
      </c>
      <c r="C197" s="18" t="s">
        <v>262</v>
      </c>
      <c r="D197" s="18" t="s">
        <v>265</v>
      </c>
      <c r="E197" s="18" t="s">
        <v>2062</v>
      </c>
      <c r="F197" s="18">
        <v>229</v>
      </c>
      <c r="G197" s="18">
        <v>134</v>
      </c>
      <c r="H197" s="18">
        <v>19</v>
      </c>
      <c r="I197" s="18">
        <v>76</v>
      </c>
    </row>
    <row r="198" spans="1:9" x14ac:dyDescent="0.3">
      <c r="A198" t="s">
        <v>1245</v>
      </c>
      <c r="B198" s="18" t="s">
        <v>225</v>
      </c>
      <c r="C198" s="18" t="s">
        <v>262</v>
      </c>
      <c r="D198" s="18" t="s">
        <v>266</v>
      </c>
      <c r="E198" s="18" t="s">
        <v>2062</v>
      </c>
      <c r="F198" s="18">
        <v>4505</v>
      </c>
      <c r="G198" s="18">
        <v>2628</v>
      </c>
      <c r="H198" s="18">
        <v>330</v>
      </c>
      <c r="I198" s="18">
        <v>1547</v>
      </c>
    </row>
    <row r="199" spans="1:9" x14ac:dyDescent="0.3">
      <c r="A199" t="s">
        <v>1046</v>
      </c>
      <c r="B199" s="18" t="s">
        <v>225</v>
      </c>
      <c r="C199" s="18" t="s">
        <v>262</v>
      </c>
      <c r="D199" s="18" t="s">
        <v>38</v>
      </c>
      <c r="E199" s="18" t="s">
        <v>2062</v>
      </c>
      <c r="F199" s="18">
        <v>1076</v>
      </c>
      <c r="G199" s="18">
        <v>669</v>
      </c>
      <c r="H199" s="18">
        <v>69</v>
      </c>
      <c r="I199" s="18">
        <v>338</v>
      </c>
    </row>
    <row r="200" spans="1:9" x14ac:dyDescent="0.3">
      <c r="A200" t="s">
        <v>1285</v>
      </c>
      <c r="B200" s="18" t="s">
        <v>225</v>
      </c>
      <c r="C200" s="18" t="s">
        <v>262</v>
      </c>
      <c r="D200" s="18" t="s">
        <v>267</v>
      </c>
      <c r="E200" s="18" t="s">
        <v>2062</v>
      </c>
      <c r="F200" s="18">
        <v>1580</v>
      </c>
      <c r="G200" s="18">
        <v>914</v>
      </c>
      <c r="H200" s="18">
        <v>104</v>
      </c>
      <c r="I200" s="18">
        <v>562</v>
      </c>
    </row>
    <row r="201" spans="1:9" x14ac:dyDescent="0.3">
      <c r="A201" t="s">
        <v>1939</v>
      </c>
      <c r="B201" s="18" t="s">
        <v>225</v>
      </c>
      <c r="C201" s="18" t="s">
        <v>262</v>
      </c>
      <c r="D201" s="18" t="s">
        <v>268</v>
      </c>
      <c r="E201" s="18" t="s">
        <v>2062</v>
      </c>
      <c r="F201" s="18">
        <v>310</v>
      </c>
      <c r="G201" s="18">
        <v>230</v>
      </c>
      <c r="H201" s="18">
        <v>3</v>
      </c>
      <c r="I201" s="18">
        <v>77</v>
      </c>
    </row>
    <row r="202" spans="1:9" x14ac:dyDescent="0.3">
      <c r="A202" t="s">
        <v>1940</v>
      </c>
      <c r="B202" s="18" t="s">
        <v>225</v>
      </c>
      <c r="C202" s="18" t="s">
        <v>262</v>
      </c>
      <c r="D202" s="18" t="s">
        <v>269</v>
      </c>
      <c r="E202" s="18" t="s">
        <v>2062</v>
      </c>
      <c r="F202" s="18">
        <v>503</v>
      </c>
      <c r="G202" s="18">
        <v>408</v>
      </c>
      <c r="H202" s="18">
        <v>10</v>
      </c>
      <c r="I202" s="18">
        <v>85</v>
      </c>
    </row>
    <row r="203" spans="1:9" x14ac:dyDescent="0.3">
      <c r="A203" t="s">
        <v>1554</v>
      </c>
      <c r="B203" s="18" t="s">
        <v>225</v>
      </c>
      <c r="C203" s="18" t="s">
        <v>262</v>
      </c>
      <c r="D203" s="18" t="s">
        <v>2065</v>
      </c>
      <c r="E203" s="18" t="s">
        <v>2062</v>
      </c>
      <c r="F203" s="18">
        <v>110</v>
      </c>
      <c r="G203" s="18">
        <v>77</v>
      </c>
      <c r="H203" s="18"/>
      <c r="I203" s="18">
        <v>33</v>
      </c>
    </row>
    <row r="204" spans="1:9" x14ac:dyDescent="0.3">
      <c r="A204" t="s">
        <v>1391</v>
      </c>
      <c r="B204" s="18" t="s">
        <v>225</v>
      </c>
      <c r="C204" s="18" t="s">
        <v>271</v>
      </c>
      <c r="D204" s="18" t="s">
        <v>271</v>
      </c>
      <c r="E204" s="18" t="s">
        <v>2062</v>
      </c>
      <c r="F204" s="18">
        <v>4015</v>
      </c>
      <c r="G204" s="18">
        <v>2634</v>
      </c>
      <c r="H204" s="18">
        <v>201</v>
      </c>
      <c r="I204" s="18">
        <v>1180</v>
      </c>
    </row>
    <row r="205" spans="1:9" x14ac:dyDescent="0.3">
      <c r="A205" t="s">
        <v>1559</v>
      </c>
      <c r="B205" s="18" t="s">
        <v>225</v>
      </c>
      <c r="C205" s="18" t="s">
        <v>272</v>
      </c>
      <c r="D205" s="18" t="s">
        <v>278</v>
      </c>
      <c r="E205" s="18" t="s">
        <v>2062</v>
      </c>
      <c r="F205" s="18">
        <v>107</v>
      </c>
      <c r="G205" s="18">
        <v>69</v>
      </c>
      <c r="H205" s="18">
        <v>14</v>
      </c>
      <c r="I205" s="18">
        <v>24</v>
      </c>
    </row>
    <row r="206" spans="1:9" x14ac:dyDescent="0.3">
      <c r="A206" t="s">
        <v>1556</v>
      </c>
      <c r="B206" s="18" t="s">
        <v>225</v>
      </c>
      <c r="C206" s="18" t="s">
        <v>272</v>
      </c>
      <c r="D206" s="18" t="s">
        <v>273</v>
      </c>
      <c r="E206" s="18" t="s">
        <v>2062</v>
      </c>
      <c r="F206" s="18">
        <v>498</v>
      </c>
      <c r="G206" s="18">
        <v>305</v>
      </c>
      <c r="H206" s="18">
        <v>18</v>
      </c>
      <c r="I206" s="18">
        <v>175</v>
      </c>
    </row>
    <row r="207" spans="1:9" x14ac:dyDescent="0.3">
      <c r="A207" t="s">
        <v>1942</v>
      </c>
      <c r="B207" s="18" t="s">
        <v>225</v>
      </c>
      <c r="C207" s="18" t="s">
        <v>272</v>
      </c>
      <c r="D207" s="18" t="s">
        <v>277</v>
      </c>
      <c r="E207" s="18" t="s">
        <v>2062</v>
      </c>
      <c r="F207" s="18">
        <v>141</v>
      </c>
      <c r="G207" s="18">
        <v>112</v>
      </c>
      <c r="H207" s="18">
        <v>4</v>
      </c>
      <c r="I207" s="18">
        <v>25</v>
      </c>
    </row>
    <row r="208" spans="1:9" x14ac:dyDescent="0.3">
      <c r="A208" t="s">
        <v>1941</v>
      </c>
      <c r="B208" s="18" t="s">
        <v>225</v>
      </c>
      <c r="C208" s="18" t="s">
        <v>272</v>
      </c>
      <c r="D208" s="18" t="s">
        <v>274</v>
      </c>
      <c r="E208" s="18" t="s">
        <v>2062</v>
      </c>
      <c r="F208" s="18">
        <v>291</v>
      </c>
      <c r="G208" s="18">
        <v>165</v>
      </c>
      <c r="H208" s="18">
        <v>37</v>
      </c>
      <c r="I208" s="18">
        <v>89</v>
      </c>
    </row>
    <row r="209" spans="1:9" x14ac:dyDescent="0.3">
      <c r="A209" t="s">
        <v>1555</v>
      </c>
      <c r="B209" s="18" t="s">
        <v>225</v>
      </c>
      <c r="C209" s="18" t="s">
        <v>272</v>
      </c>
      <c r="D209" s="18" t="s">
        <v>272</v>
      </c>
      <c r="E209" s="18" t="s">
        <v>2062</v>
      </c>
      <c r="F209" s="18">
        <v>894</v>
      </c>
      <c r="G209" s="18">
        <v>499</v>
      </c>
      <c r="H209" s="18">
        <v>31</v>
      </c>
      <c r="I209" s="18">
        <v>364</v>
      </c>
    </row>
    <row r="210" spans="1:9" x14ac:dyDescent="0.3">
      <c r="A210" t="s">
        <v>1557</v>
      </c>
      <c r="B210" s="18" t="s">
        <v>225</v>
      </c>
      <c r="C210" s="18" t="s">
        <v>272</v>
      </c>
      <c r="D210" s="18" t="s">
        <v>275</v>
      </c>
      <c r="E210" s="18" t="s">
        <v>2062</v>
      </c>
      <c r="F210" s="18">
        <v>213</v>
      </c>
      <c r="G210" s="18">
        <v>145</v>
      </c>
      <c r="H210" s="18">
        <v>6</v>
      </c>
      <c r="I210" s="18">
        <v>62</v>
      </c>
    </row>
    <row r="211" spans="1:9" x14ac:dyDescent="0.3">
      <c r="A211" t="s">
        <v>1558</v>
      </c>
      <c r="B211" s="18" t="s">
        <v>225</v>
      </c>
      <c r="C211" s="18" t="s">
        <v>272</v>
      </c>
      <c r="D211" s="18" t="s">
        <v>276</v>
      </c>
      <c r="E211" s="18" t="s">
        <v>2062</v>
      </c>
      <c r="F211" s="18">
        <v>381</v>
      </c>
      <c r="G211" s="18">
        <v>258</v>
      </c>
      <c r="H211" s="18">
        <v>14</v>
      </c>
      <c r="I211" s="18">
        <v>109</v>
      </c>
    </row>
    <row r="212" spans="1:9" x14ac:dyDescent="0.3">
      <c r="A212" t="s">
        <v>1066</v>
      </c>
      <c r="B212" s="18" t="s">
        <v>225</v>
      </c>
      <c r="C212" s="18" t="s">
        <v>226</v>
      </c>
      <c r="D212" s="18" t="s">
        <v>227</v>
      </c>
      <c r="E212" s="18" t="s">
        <v>2062</v>
      </c>
      <c r="F212" s="18">
        <v>852</v>
      </c>
      <c r="G212" s="18">
        <v>450</v>
      </c>
      <c r="H212" s="18">
        <v>58</v>
      </c>
      <c r="I212" s="18">
        <v>344</v>
      </c>
    </row>
    <row r="213" spans="1:9" x14ac:dyDescent="0.3">
      <c r="A213" t="s">
        <v>1080</v>
      </c>
      <c r="B213" s="18" t="s">
        <v>225</v>
      </c>
      <c r="C213" s="18" t="s">
        <v>226</v>
      </c>
      <c r="D213" s="18" t="s">
        <v>228</v>
      </c>
      <c r="E213" s="18" t="s">
        <v>2062</v>
      </c>
      <c r="F213" s="18">
        <v>2211</v>
      </c>
      <c r="G213" s="18">
        <v>1228</v>
      </c>
      <c r="H213" s="18">
        <v>185</v>
      </c>
      <c r="I213" s="18">
        <v>798</v>
      </c>
    </row>
    <row r="214" spans="1:9" x14ac:dyDescent="0.3">
      <c r="A214" t="s">
        <v>1052</v>
      </c>
      <c r="B214" s="18" t="s">
        <v>225</v>
      </c>
      <c r="C214" s="18" t="s">
        <v>226</v>
      </c>
      <c r="D214" s="18" t="s">
        <v>229</v>
      </c>
      <c r="E214" s="18" t="s">
        <v>2062</v>
      </c>
      <c r="F214" s="18">
        <v>1135</v>
      </c>
      <c r="G214" s="18">
        <v>715</v>
      </c>
      <c r="H214" s="18">
        <v>74</v>
      </c>
      <c r="I214" s="18">
        <v>346</v>
      </c>
    </row>
    <row r="215" spans="1:9" x14ac:dyDescent="0.3">
      <c r="A215" t="s">
        <v>1139</v>
      </c>
      <c r="B215" s="18" t="s">
        <v>225</v>
      </c>
      <c r="C215" s="18" t="s">
        <v>226</v>
      </c>
      <c r="D215" s="18" t="s">
        <v>230</v>
      </c>
      <c r="E215" s="18" t="s">
        <v>2062</v>
      </c>
      <c r="F215" s="18">
        <v>977</v>
      </c>
      <c r="G215" s="18">
        <v>328</v>
      </c>
      <c r="H215" s="18">
        <v>114</v>
      </c>
      <c r="I215" s="18">
        <v>535</v>
      </c>
    </row>
    <row r="216" spans="1:9" x14ac:dyDescent="0.3">
      <c r="A216" t="s">
        <v>1061</v>
      </c>
      <c r="B216" s="18" t="s">
        <v>225</v>
      </c>
      <c r="C216" s="18" t="s">
        <v>226</v>
      </c>
      <c r="D216" s="18" t="s">
        <v>231</v>
      </c>
      <c r="E216" s="18" t="s">
        <v>2062</v>
      </c>
      <c r="F216" s="18">
        <v>3969</v>
      </c>
      <c r="G216" s="18">
        <v>2519</v>
      </c>
      <c r="H216" s="18">
        <v>328</v>
      </c>
      <c r="I216" s="18">
        <v>1122</v>
      </c>
    </row>
    <row r="217" spans="1:9" x14ac:dyDescent="0.3">
      <c r="A217" t="s">
        <v>1383</v>
      </c>
      <c r="B217" s="18" t="s">
        <v>225</v>
      </c>
      <c r="C217" s="18" t="s">
        <v>226</v>
      </c>
      <c r="D217" s="18" t="s">
        <v>232</v>
      </c>
      <c r="E217" s="18" t="s">
        <v>2062</v>
      </c>
      <c r="F217" s="18">
        <v>2309</v>
      </c>
      <c r="G217" s="18">
        <v>1176</v>
      </c>
      <c r="H217" s="18">
        <v>255</v>
      </c>
      <c r="I217" s="18">
        <v>878</v>
      </c>
    </row>
    <row r="218" spans="1:9" x14ac:dyDescent="0.3">
      <c r="A218" t="s">
        <v>1544</v>
      </c>
      <c r="B218" s="18" t="s">
        <v>225</v>
      </c>
      <c r="C218" s="18" t="s">
        <v>226</v>
      </c>
      <c r="D218" s="18" t="s">
        <v>233</v>
      </c>
      <c r="E218" s="18" t="s">
        <v>2062</v>
      </c>
      <c r="F218" s="18">
        <v>1413</v>
      </c>
      <c r="G218" s="18">
        <v>737</v>
      </c>
      <c r="H218" s="18">
        <v>147</v>
      </c>
      <c r="I218" s="18">
        <v>529</v>
      </c>
    </row>
    <row r="219" spans="1:9" x14ac:dyDescent="0.3">
      <c r="A219" t="s">
        <v>1073</v>
      </c>
      <c r="B219" s="18" t="s">
        <v>225</v>
      </c>
      <c r="C219" s="18" t="s">
        <v>226</v>
      </c>
      <c r="D219" s="18" t="s">
        <v>234</v>
      </c>
      <c r="E219" s="18" t="s">
        <v>2062</v>
      </c>
      <c r="F219" s="18">
        <v>1619</v>
      </c>
      <c r="G219" s="18">
        <v>935</v>
      </c>
      <c r="H219" s="18">
        <v>186</v>
      </c>
      <c r="I219" s="18">
        <v>498</v>
      </c>
    </row>
    <row r="220" spans="1:9" x14ac:dyDescent="0.3">
      <c r="A220" t="s">
        <v>1417</v>
      </c>
      <c r="B220" s="18" t="s">
        <v>225</v>
      </c>
      <c r="C220" s="18" t="s">
        <v>226</v>
      </c>
      <c r="D220" s="18" t="s">
        <v>235</v>
      </c>
      <c r="E220" s="18" t="s">
        <v>2062</v>
      </c>
      <c r="F220" s="18">
        <v>1585</v>
      </c>
      <c r="G220" s="18">
        <v>1019</v>
      </c>
      <c r="H220" s="18">
        <v>96</v>
      </c>
      <c r="I220" s="18">
        <v>470</v>
      </c>
    </row>
    <row r="221" spans="1:9" x14ac:dyDescent="0.3">
      <c r="A221" t="s">
        <v>1351</v>
      </c>
      <c r="B221" s="18" t="s">
        <v>225</v>
      </c>
      <c r="C221" s="18" t="s">
        <v>226</v>
      </c>
      <c r="D221" s="18" t="s">
        <v>226</v>
      </c>
      <c r="E221" s="18" t="s">
        <v>2062</v>
      </c>
      <c r="F221" s="18">
        <v>68327</v>
      </c>
      <c r="G221" s="18">
        <v>42613</v>
      </c>
      <c r="H221" s="18">
        <v>4165</v>
      </c>
      <c r="I221" s="18">
        <v>21549</v>
      </c>
    </row>
    <row r="222" spans="1:9" x14ac:dyDescent="0.3">
      <c r="A222" t="s">
        <v>1259</v>
      </c>
      <c r="B222" s="18" t="s">
        <v>225</v>
      </c>
      <c r="C222" s="18" t="s">
        <v>226</v>
      </c>
      <c r="D222" s="18" t="s">
        <v>44</v>
      </c>
      <c r="E222" s="18" t="s">
        <v>2062</v>
      </c>
      <c r="F222" s="18">
        <v>2186</v>
      </c>
      <c r="G222" s="18">
        <v>1272</v>
      </c>
      <c r="H222" s="18">
        <v>185</v>
      </c>
      <c r="I222" s="18">
        <v>729</v>
      </c>
    </row>
    <row r="223" spans="1:9" x14ac:dyDescent="0.3">
      <c r="A223" t="s">
        <v>1144</v>
      </c>
      <c r="B223" s="18" t="s">
        <v>225</v>
      </c>
      <c r="C223" s="18" t="s">
        <v>226</v>
      </c>
      <c r="D223" s="18" t="s">
        <v>236</v>
      </c>
      <c r="E223" s="18" t="s">
        <v>2062</v>
      </c>
      <c r="F223" s="18">
        <v>6908</v>
      </c>
      <c r="G223" s="18">
        <v>4643</v>
      </c>
      <c r="H223" s="18">
        <v>399</v>
      </c>
      <c r="I223" s="18">
        <v>1866</v>
      </c>
    </row>
    <row r="224" spans="1:9" x14ac:dyDescent="0.3">
      <c r="A224" t="s">
        <v>1534</v>
      </c>
      <c r="B224" s="18" t="s">
        <v>184</v>
      </c>
      <c r="C224" s="18" t="s">
        <v>196</v>
      </c>
      <c r="D224" s="18" t="s">
        <v>197</v>
      </c>
      <c r="E224" s="18" t="s">
        <v>2062</v>
      </c>
      <c r="F224" s="18">
        <v>1399</v>
      </c>
      <c r="G224" s="18">
        <v>868</v>
      </c>
      <c r="H224" s="18">
        <v>106</v>
      </c>
      <c r="I224" s="18">
        <v>425</v>
      </c>
    </row>
    <row r="225" spans="1:9" x14ac:dyDescent="0.3">
      <c r="A225" t="s">
        <v>1338</v>
      </c>
      <c r="B225" s="18" t="s">
        <v>184</v>
      </c>
      <c r="C225" s="18" t="s">
        <v>196</v>
      </c>
      <c r="D225" s="18" t="s">
        <v>196</v>
      </c>
      <c r="E225" s="18" t="s">
        <v>2062</v>
      </c>
      <c r="F225" s="18">
        <v>16288</v>
      </c>
      <c r="G225" s="18">
        <v>11575</v>
      </c>
      <c r="H225" s="18">
        <v>1146</v>
      </c>
      <c r="I225" s="18">
        <v>3567</v>
      </c>
    </row>
    <row r="226" spans="1:9" x14ac:dyDescent="0.3">
      <c r="A226" t="s">
        <v>1535</v>
      </c>
      <c r="B226" s="18" t="s">
        <v>184</v>
      </c>
      <c r="C226" s="18" t="s">
        <v>196</v>
      </c>
      <c r="D226" s="18" t="s">
        <v>198</v>
      </c>
      <c r="E226" s="18" t="s">
        <v>2062</v>
      </c>
      <c r="F226" s="18">
        <v>756</v>
      </c>
      <c r="G226" s="18">
        <v>402</v>
      </c>
      <c r="H226" s="18">
        <v>83</v>
      </c>
      <c r="I226" s="18">
        <v>271</v>
      </c>
    </row>
    <row r="227" spans="1:9" x14ac:dyDescent="0.3">
      <c r="A227" t="s">
        <v>1395</v>
      </c>
      <c r="B227" s="18" t="s">
        <v>184</v>
      </c>
      <c r="C227" s="18" t="s">
        <v>185</v>
      </c>
      <c r="D227" s="18" t="s">
        <v>186</v>
      </c>
      <c r="E227" s="18" t="s">
        <v>2062</v>
      </c>
      <c r="F227" s="18">
        <v>2807</v>
      </c>
      <c r="G227" s="18">
        <v>1785</v>
      </c>
      <c r="H227" s="18">
        <v>144</v>
      </c>
      <c r="I227" s="18">
        <v>878</v>
      </c>
    </row>
    <row r="228" spans="1:9" x14ac:dyDescent="0.3">
      <c r="A228" t="s">
        <v>1362</v>
      </c>
      <c r="B228" s="18" t="s">
        <v>184</v>
      </c>
      <c r="C228" s="18" t="s">
        <v>185</v>
      </c>
      <c r="D228" s="18" t="s">
        <v>187</v>
      </c>
      <c r="E228" s="18" t="s">
        <v>2062</v>
      </c>
      <c r="F228" s="18">
        <v>2630</v>
      </c>
      <c r="G228" s="18">
        <v>1582</v>
      </c>
      <c r="H228" s="18">
        <v>131</v>
      </c>
      <c r="I228" s="18">
        <v>917</v>
      </c>
    </row>
    <row r="229" spans="1:9" x14ac:dyDescent="0.3">
      <c r="A229" t="s">
        <v>1336</v>
      </c>
      <c r="B229" s="18" t="s">
        <v>184</v>
      </c>
      <c r="C229" s="18" t="s">
        <v>185</v>
      </c>
      <c r="D229" s="18" t="s">
        <v>188</v>
      </c>
      <c r="E229" s="18" t="s">
        <v>2062</v>
      </c>
      <c r="F229" s="18">
        <v>7387</v>
      </c>
      <c r="G229" s="18">
        <v>3233</v>
      </c>
      <c r="H229" s="18">
        <v>2096</v>
      </c>
      <c r="I229" s="18">
        <v>2058</v>
      </c>
    </row>
    <row r="230" spans="1:9" x14ac:dyDescent="0.3">
      <c r="A230" t="s">
        <v>1459</v>
      </c>
      <c r="B230" s="18" t="s">
        <v>184</v>
      </c>
      <c r="C230" s="18" t="s">
        <v>185</v>
      </c>
      <c r="D230" s="18" t="s">
        <v>189</v>
      </c>
      <c r="E230" s="18" t="s">
        <v>2062</v>
      </c>
      <c r="F230" s="18">
        <v>880</v>
      </c>
      <c r="G230" s="18">
        <v>610</v>
      </c>
      <c r="H230" s="18">
        <v>38</v>
      </c>
      <c r="I230" s="18">
        <v>232</v>
      </c>
    </row>
    <row r="231" spans="1:9" x14ac:dyDescent="0.3">
      <c r="A231" t="s">
        <v>1410</v>
      </c>
      <c r="B231" s="18" t="s">
        <v>184</v>
      </c>
      <c r="C231" s="18" t="s">
        <v>185</v>
      </c>
      <c r="D231" s="18" t="s">
        <v>185</v>
      </c>
      <c r="E231" s="18" t="s">
        <v>2062</v>
      </c>
      <c r="F231" s="18">
        <v>44413</v>
      </c>
      <c r="G231" s="18">
        <v>28859</v>
      </c>
      <c r="H231" s="18">
        <v>2745</v>
      </c>
      <c r="I231" s="18">
        <v>12809</v>
      </c>
    </row>
    <row r="232" spans="1:9" x14ac:dyDescent="0.3">
      <c r="A232" t="s">
        <v>1426</v>
      </c>
      <c r="B232" s="18" t="s">
        <v>184</v>
      </c>
      <c r="C232" s="18" t="s">
        <v>185</v>
      </c>
      <c r="D232" s="18" t="s">
        <v>190</v>
      </c>
      <c r="E232" s="18" t="s">
        <v>2062</v>
      </c>
      <c r="F232" s="18">
        <v>3131</v>
      </c>
      <c r="G232" s="18">
        <v>2108</v>
      </c>
      <c r="H232" s="18">
        <v>136</v>
      </c>
      <c r="I232" s="18">
        <v>887</v>
      </c>
    </row>
    <row r="233" spans="1:9" x14ac:dyDescent="0.3">
      <c r="A233" t="s">
        <v>1184</v>
      </c>
      <c r="B233" s="18" t="s">
        <v>184</v>
      </c>
      <c r="C233" s="18" t="s">
        <v>185</v>
      </c>
      <c r="D233" s="18" t="s">
        <v>191</v>
      </c>
      <c r="E233" s="18" t="s">
        <v>2062</v>
      </c>
      <c r="F233" s="18">
        <v>1116</v>
      </c>
      <c r="G233" s="18">
        <v>689</v>
      </c>
      <c r="H233" s="18">
        <v>73</v>
      </c>
      <c r="I233" s="18">
        <v>354</v>
      </c>
    </row>
    <row r="234" spans="1:9" x14ac:dyDescent="0.3">
      <c r="A234" t="s">
        <v>1402</v>
      </c>
      <c r="B234" s="18" t="s">
        <v>184</v>
      </c>
      <c r="C234" s="18" t="s">
        <v>185</v>
      </c>
      <c r="D234" s="18" t="s">
        <v>192</v>
      </c>
      <c r="E234" s="18" t="s">
        <v>2062</v>
      </c>
      <c r="F234" s="18">
        <v>1744</v>
      </c>
      <c r="G234" s="18">
        <v>959</v>
      </c>
      <c r="H234" s="18">
        <v>133</v>
      </c>
      <c r="I234" s="18">
        <v>652</v>
      </c>
    </row>
    <row r="235" spans="1:9" x14ac:dyDescent="0.3">
      <c r="A235" t="s">
        <v>1474</v>
      </c>
      <c r="B235" s="18" t="s">
        <v>184</v>
      </c>
      <c r="C235" s="18" t="s">
        <v>185</v>
      </c>
      <c r="D235" s="18" t="s">
        <v>193</v>
      </c>
      <c r="E235" s="18" t="s">
        <v>2062</v>
      </c>
      <c r="F235" s="18">
        <v>5002</v>
      </c>
      <c r="G235" s="18">
        <v>3443</v>
      </c>
      <c r="H235" s="18">
        <v>259</v>
      </c>
      <c r="I235" s="18">
        <v>1300</v>
      </c>
    </row>
    <row r="236" spans="1:9" x14ac:dyDescent="0.3">
      <c r="A236" t="s">
        <v>1299</v>
      </c>
      <c r="B236" s="18" t="s">
        <v>184</v>
      </c>
      <c r="C236" s="18" t="s">
        <v>185</v>
      </c>
      <c r="D236" s="18" t="s">
        <v>2063</v>
      </c>
      <c r="E236" s="18" t="s">
        <v>2062</v>
      </c>
      <c r="F236" s="18">
        <v>5405</v>
      </c>
      <c r="G236" s="18">
        <v>3634</v>
      </c>
      <c r="H236" s="18">
        <v>302</v>
      </c>
      <c r="I236" s="18">
        <v>1469</v>
      </c>
    </row>
    <row r="237" spans="1:9" x14ac:dyDescent="0.3">
      <c r="A237" t="s">
        <v>1320</v>
      </c>
      <c r="B237" s="18" t="s">
        <v>184</v>
      </c>
      <c r="C237" s="18" t="s">
        <v>185</v>
      </c>
      <c r="D237" s="18" t="s">
        <v>195</v>
      </c>
      <c r="E237" s="18" t="s">
        <v>2062</v>
      </c>
      <c r="F237" s="18">
        <v>3610</v>
      </c>
      <c r="G237" s="18">
        <v>2155</v>
      </c>
      <c r="H237" s="18">
        <v>185</v>
      </c>
      <c r="I237" s="18">
        <v>1270</v>
      </c>
    </row>
    <row r="238" spans="1:9" x14ac:dyDescent="0.3">
      <c r="A238" t="s">
        <v>1536</v>
      </c>
      <c r="B238" s="18" t="s">
        <v>184</v>
      </c>
      <c r="C238" s="18" t="s">
        <v>199</v>
      </c>
      <c r="D238" s="18" t="s">
        <v>200</v>
      </c>
      <c r="E238" s="18" t="s">
        <v>2062</v>
      </c>
      <c r="F238" s="18">
        <v>1972</v>
      </c>
      <c r="G238" s="18">
        <v>1347</v>
      </c>
      <c r="H238" s="18">
        <v>119</v>
      </c>
      <c r="I238" s="18">
        <v>506</v>
      </c>
    </row>
    <row r="239" spans="1:9" x14ac:dyDescent="0.3">
      <c r="A239" t="s">
        <v>1537</v>
      </c>
      <c r="B239" s="18" t="s">
        <v>184</v>
      </c>
      <c r="C239" s="18" t="s">
        <v>199</v>
      </c>
      <c r="D239" s="18" t="s">
        <v>201</v>
      </c>
      <c r="E239" s="18" t="s">
        <v>2062</v>
      </c>
      <c r="F239" s="18">
        <v>5224</v>
      </c>
      <c r="G239" s="18">
        <v>3726</v>
      </c>
      <c r="H239" s="18">
        <v>243</v>
      </c>
      <c r="I239" s="18">
        <v>1255</v>
      </c>
    </row>
    <row r="240" spans="1:9" x14ac:dyDescent="0.3">
      <c r="A240" t="s">
        <v>1538</v>
      </c>
      <c r="B240" s="18" t="s">
        <v>184</v>
      </c>
      <c r="C240" s="18" t="s">
        <v>199</v>
      </c>
      <c r="D240" s="18" t="s">
        <v>202</v>
      </c>
      <c r="E240" s="18" t="s">
        <v>2062</v>
      </c>
      <c r="F240" s="18">
        <v>255</v>
      </c>
      <c r="G240" s="18">
        <v>183</v>
      </c>
      <c r="H240" s="18">
        <v>25</v>
      </c>
      <c r="I240" s="18">
        <v>47</v>
      </c>
    </row>
    <row r="241" spans="1:9" x14ac:dyDescent="0.3">
      <c r="A241" t="s">
        <v>1931</v>
      </c>
      <c r="B241" s="18" t="s">
        <v>184</v>
      </c>
      <c r="C241" s="18" t="s">
        <v>199</v>
      </c>
      <c r="D241" s="18" t="s">
        <v>203</v>
      </c>
      <c r="E241" s="18" t="s">
        <v>2062</v>
      </c>
      <c r="F241" s="18">
        <v>695</v>
      </c>
      <c r="G241" s="18">
        <v>547</v>
      </c>
      <c r="H241" s="18">
        <v>2</v>
      </c>
      <c r="I241" s="18">
        <v>146</v>
      </c>
    </row>
    <row r="242" spans="1:9" x14ac:dyDescent="0.3">
      <c r="A242" t="s">
        <v>1539</v>
      </c>
      <c r="B242" s="18" t="s">
        <v>184</v>
      </c>
      <c r="C242" s="18" t="s">
        <v>204</v>
      </c>
      <c r="D242" s="18" t="s">
        <v>205</v>
      </c>
      <c r="E242" s="18" t="s">
        <v>2062</v>
      </c>
      <c r="F242" s="18">
        <v>1192</v>
      </c>
      <c r="G242" s="18">
        <v>291</v>
      </c>
      <c r="H242" s="18">
        <v>202</v>
      </c>
      <c r="I242" s="18">
        <v>699</v>
      </c>
    </row>
    <row r="243" spans="1:9" x14ac:dyDescent="0.3">
      <c r="A243" t="s">
        <v>1104</v>
      </c>
      <c r="B243" s="18" t="s">
        <v>184</v>
      </c>
      <c r="C243" s="18" t="s">
        <v>204</v>
      </c>
      <c r="D243" s="18" t="s">
        <v>206</v>
      </c>
      <c r="E243" s="18" t="s">
        <v>2062</v>
      </c>
      <c r="F243" s="18">
        <v>1345</v>
      </c>
      <c r="G243" s="18">
        <v>466</v>
      </c>
      <c r="H243" s="18">
        <v>208</v>
      </c>
      <c r="I243" s="18">
        <v>671</v>
      </c>
    </row>
    <row r="244" spans="1:9" x14ac:dyDescent="0.3">
      <c r="A244" t="s">
        <v>1173</v>
      </c>
      <c r="B244" s="18" t="s">
        <v>184</v>
      </c>
      <c r="C244" s="18" t="s">
        <v>204</v>
      </c>
      <c r="D244" s="18" t="s">
        <v>207</v>
      </c>
      <c r="E244" s="18" t="s">
        <v>2062</v>
      </c>
      <c r="F244" s="18">
        <v>1264</v>
      </c>
      <c r="G244" s="18">
        <v>749</v>
      </c>
      <c r="H244" s="18">
        <v>97</v>
      </c>
      <c r="I244" s="18">
        <v>418</v>
      </c>
    </row>
    <row r="245" spans="1:9" x14ac:dyDescent="0.3">
      <c r="A245" t="s">
        <v>1540</v>
      </c>
      <c r="B245" s="18" t="s">
        <v>184</v>
      </c>
      <c r="C245" s="18" t="s">
        <v>204</v>
      </c>
      <c r="D245" s="18" t="s">
        <v>208</v>
      </c>
      <c r="E245" s="18" t="s">
        <v>2062</v>
      </c>
      <c r="F245" s="18">
        <v>647</v>
      </c>
      <c r="G245" s="18">
        <v>305</v>
      </c>
      <c r="H245" s="18">
        <v>33</v>
      </c>
      <c r="I245" s="18">
        <v>309</v>
      </c>
    </row>
    <row r="246" spans="1:9" x14ac:dyDescent="0.3">
      <c r="A246" t="s">
        <v>1356</v>
      </c>
      <c r="B246" s="18" t="s">
        <v>184</v>
      </c>
      <c r="C246" s="18" t="s">
        <v>204</v>
      </c>
      <c r="D246" s="18" t="s">
        <v>204</v>
      </c>
      <c r="E246" s="18" t="s">
        <v>2062</v>
      </c>
      <c r="F246" s="18">
        <v>14455</v>
      </c>
      <c r="G246" s="18">
        <v>8241</v>
      </c>
      <c r="H246" s="18">
        <v>1613</v>
      </c>
      <c r="I246" s="18">
        <v>4601</v>
      </c>
    </row>
    <row r="247" spans="1:9" x14ac:dyDescent="0.3">
      <c r="A247" t="s">
        <v>1541</v>
      </c>
      <c r="B247" s="18" t="s">
        <v>184</v>
      </c>
      <c r="C247" s="18" t="s">
        <v>204</v>
      </c>
      <c r="D247" s="18" t="s">
        <v>209</v>
      </c>
      <c r="E247" s="18" t="s">
        <v>2062</v>
      </c>
      <c r="F247" s="18">
        <v>1444</v>
      </c>
      <c r="G247" s="18">
        <v>976</v>
      </c>
      <c r="H247" s="18">
        <v>65</v>
      </c>
      <c r="I247" s="18">
        <v>403</v>
      </c>
    </row>
    <row r="248" spans="1:9" x14ac:dyDescent="0.3">
      <c r="A248" t="s">
        <v>1421</v>
      </c>
      <c r="B248" s="18" t="s">
        <v>184</v>
      </c>
      <c r="C248" s="18" t="s">
        <v>204</v>
      </c>
      <c r="D248" s="18" t="s">
        <v>210</v>
      </c>
      <c r="E248" s="18" t="s">
        <v>2062</v>
      </c>
      <c r="F248" s="18">
        <v>2303</v>
      </c>
      <c r="G248" s="18">
        <v>707</v>
      </c>
      <c r="H248" s="18">
        <v>451</v>
      </c>
      <c r="I248" s="18">
        <v>1145</v>
      </c>
    </row>
    <row r="249" spans="1:9" x14ac:dyDescent="0.3">
      <c r="A249" t="s">
        <v>1023</v>
      </c>
      <c r="B249" s="18" t="s">
        <v>184</v>
      </c>
      <c r="C249" s="18" t="s">
        <v>211</v>
      </c>
      <c r="D249" s="18" t="s">
        <v>212</v>
      </c>
      <c r="E249" s="18" t="s">
        <v>2062</v>
      </c>
      <c r="F249" s="18">
        <v>1186</v>
      </c>
      <c r="G249" s="18">
        <v>700</v>
      </c>
      <c r="H249" s="18">
        <v>96</v>
      </c>
      <c r="I249" s="18">
        <v>390</v>
      </c>
    </row>
    <row r="250" spans="1:9" x14ac:dyDescent="0.3">
      <c r="A250" t="s">
        <v>1233</v>
      </c>
      <c r="B250" s="18" t="s">
        <v>184</v>
      </c>
      <c r="C250" s="18" t="s">
        <v>211</v>
      </c>
      <c r="D250" s="18" t="s">
        <v>213</v>
      </c>
      <c r="E250" s="18" t="s">
        <v>2062</v>
      </c>
      <c r="F250" s="18">
        <v>2165</v>
      </c>
      <c r="G250" s="18">
        <v>1269</v>
      </c>
      <c r="H250" s="18">
        <v>138</v>
      </c>
      <c r="I250" s="18">
        <v>758</v>
      </c>
    </row>
    <row r="251" spans="1:9" x14ac:dyDescent="0.3">
      <c r="A251" t="s">
        <v>1232</v>
      </c>
      <c r="B251" s="18" t="s">
        <v>184</v>
      </c>
      <c r="C251" s="18" t="s">
        <v>211</v>
      </c>
      <c r="D251" s="18" t="s">
        <v>214</v>
      </c>
      <c r="E251" s="18" t="s">
        <v>2062</v>
      </c>
      <c r="F251" s="18">
        <v>2413</v>
      </c>
      <c r="G251" s="18">
        <v>1551</v>
      </c>
      <c r="H251" s="18">
        <v>153</v>
      </c>
      <c r="I251" s="18">
        <v>709</v>
      </c>
    </row>
    <row r="252" spans="1:9" x14ac:dyDescent="0.3">
      <c r="A252" t="s">
        <v>1323</v>
      </c>
      <c r="B252" s="18" t="s">
        <v>184</v>
      </c>
      <c r="C252" s="18" t="s">
        <v>211</v>
      </c>
      <c r="D252" s="18" t="s">
        <v>215</v>
      </c>
      <c r="E252" s="18" t="s">
        <v>2062</v>
      </c>
      <c r="F252" s="18">
        <v>2836</v>
      </c>
      <c r="G252" s="18">
        <v>1753</v>
      </c>
      <c r="H252" s="18">
        <v>244</v>
      </c>
      <c r="I252" s="18">
        <v>839</v>
      </c>
    </row>
    <row r="253" spans="1:9" x14ac:dyDescent="0.3">
      <c r="A253" t="s">
        <v>1092</v>
      </c>
      <c r="B253" s="18" t="s">
        <v>184</v>
      </c>
      <c r="C253" s="18" t="s">
        <v>211</v>
      </c>
      <c r="D253" s="18" t="s">
        <v>216</v>
      </c>
      <c r="E253" s="18" t="s">
        <v>2062</v>
      </c>
      <c r="F253" s="18">
        <v>1417</v>
      </c>
      <c r="G253" s="18">
        <v>827</v>
      </c>
      <c r="H253" s="18">
        <v>142</v>
      </c>
      <c r="I253" s="18">
        <v>448</v>
      </c>
    </row>
    <row r="254" spans="1:9" x14ac:dyDescent="0.3">
      <c r="A254" t="s">
        <v>1284</v>
      </c>
      <c r="B254" s="18" t="s">
        <v>184</v>
      </c>
      <c r="C254" s="18" t="s">
        <v>211</v>
      </c>
      <c r="D254" s="18" t="s">
        <v>109</v>
      </c>
      <c r="E254" s="18" t="s">
        <v>2062</v>
      </c>
      <c r="F254" s="18">
        <v>13995</v>
      </c>
      <c r="G254" s="18">
        <v>8942</v>
      </c>
      <c r="H254" s="18">
        <v>1148</v>
      </c>
      <c r="I254" s="18">
        <v>3905</v>
      </c>
    </row>
    <row r="255" spans="1:9" x14ac:dyDescent="0.3">
      <c r="A255" t="s">
        <v>1207</v>
      </c>
      <c r="B255" s="18" t="s">
        <v>184</v>
      </c>
      <c r="C255" s="18" t="s">
        <v>217</v>
      </c>
      <c r="D255" s="18" t="s">
        <v>1004</v>
      </c>
      <c r="E255" s="18" t="s">
        <v>2062</v>
      </c>
      <c r="F255" s="18">
        <v>1226</v>
      </c>
      <c r="G255" s="18">
        <v>625</v>
      </c>
      <c r="H255" s="18">
        <v>111</v>
      </c>
      <c r="I255" s="18">
        <v>490</v>
      </c>
    </row>
    <row r="256" spans="1:9" x14ac:dyDescent="0.3">
      <c r="A256" t="s">
        <v>1168</v>
      </c>
      <c r="B256" s="18" t="s">
        <v>184</v>
      </c>
      <c r="C256" s="18" t="s">
        <v>217</v>
      </c>
      <c r="D256" s="18" t="s">
        <v>218</v>
      </c>
      <c r="E256" s="18" t="s">
        <v>2062</v>
      </c>
      <c r="F256" s="18">
        <v>639</v>
      </c>
      <c r="G256" s="18">
        <v>394</v>
      </c>
      <c r="H256" s="18">
        <v>23</v>
      </c>
      <c r="I256" s="18">
        <v>222</v>
      </c>
    </row>
    <row r="257" spans="1:9" x14ac:dyDescent="0.3">
      <c r="A257" t="s">
        <v>1024</v>
      </c>
      <c r="B257" s="18" t="s">
        <v>184</v>
      </c>
      <c r="C257" s="18" t="s">
        <v>217</v>
      </c>
      <c r="D257" s="18" t="s">
        <v>219</v>
      </c>
      <c r="E257" s="18" t="s">
        <v>2062</v>
      </c>
      <c r="F257" s="18">
        <v>816</v>
      </c>
      <c r="G257" s="18">
        <v>383</v>
      </c>
      <c r="H257" s="18">
        <v>100</v>
      </c>
      <c r="I257" s="18">
        <v>333</v>
      </c>
    </row>
    <row r="258" spans="1:9" x14ac:dyDescent="0.3">
      <c r="A258" t="s">
        <v>1275</v>
      </c>
      <c r="B258" s="18" t="s">
        <v>184</v>
      </c>
      <c r="C258" s="18" t="s">
        <v>217</v>
      </c>
      <c r="D258" s="18" t="s">
        <v>217</v>
      </c>
      <c r="E258" s="18" t="s">
        <v>2062</v>
      </c>
      <c r="F258" s="18">
        <v>5480</v>
      </c>
      <c r="G258" s="18">
        <v>3439</v>
      </c>
      <c r="H258" s="18">
        <v>344</v>
      </c>
      <c r="I258" s="18">
        <v>1697</v>
      </c>
    </row>
    <row r="259" spans="1:9" x14ac:dyDescent="0.3">
      <c r="A259" t="s">
        <v>1330</v>
      </c>
      <c r="B259" s="18" t="s">
        <v>184</v>
      </c>
      <c r="C259" s="18" t="s">
        <v>220</v>
      </c>
      <c r="D259" s="18" t="s">
        <v>221</v>
      </c>
      <c r="E259" s="18" t="s">
        <v>2062</v>
      </c>
      <c r="F259" s="18">
        <v>1905</v>
      </c>
      <c r="G259" s="18">
        <v>935</v>
      </c>
      <c r="H259" s="18">
        <v>187</v>
      </c>
      <c r="I259" s="18">
        <v>783</v>
      </c>
    </row>
    <row r="260" spans="1:9" x14ac:dyDescent="0.3">
      <c r="A260" t="s">
        <v>1365</v>
      </c>
      <c r="B260" s="18" t="s">
        <v>184</v>
      </c>
      <c r="C260" s="18" t="s">
        <v>220</v>
      </c>
      <c r="D260" s="18" t="s">
        <v>2064</v>
      </c>
      <c r="E260" s="18" t="s">
        <v>2062</v>
      </c>
      <c r="F260" s="18">
        <v>686</v>
      </c>
      <c r="G260" s="18">
        <v>379</v>
      </c>
      <c r="H260" s="18">
        <v>27</v>
      </c>
      <c r="I260" s="18">
        <v>280</v>
      </c>
    </row>
    <row r="261" spans="1:9" x14ac:dyDescent="0.3">
      <c r="A261" t="s">
        <v>1542</v>
      </c>
      <c r="B261" s="18" t="s">
        <v>184</v>
      </c>
      <c r="C261" s="18" t="s">
        <v>220</v>
      </c>
      <c r="D261" s="18" t="s">
        <v>223</v>
      </c>
      <c r="E261" s="18" t="s">
        <v>2062</v>
      </c>
      <c r="F261" s="18">
        <v>713</v>
      </c>
      <c r="G261" s="18">
        <v>515</v>
      </c>
      <c r="H261" s="18">
        <v>35</v>
      </c>
      <c r="I261" s="18">
        <v>163</v>
      </c>
    </row>
    <row r="262" spans="1:9" x14ac:dyDescent="0.3">
      <c r="A262" t="s">
        <v>1543</v>
      </c>
      <c r="B262" s="18" t="s">
        <v>184</v>
      </c>
      <c r="C262" s="18" t="s">
        <v>220</v>
      </c>
      <c r="D262" s="18" t="s">
        <v>224</v>
      </c>
      <c r="E262" s="18" t="s">
        <v>2062</v>
      </c>
      <c r="F262" s="18">
        <v>403</v>
      </c>
      <c r="G262" s="18">
        <v>256</v>
      </c>
      <c r="H262" s="18">
        <v>36</v>
      </c>
      <c r="I262" s="18">
        <v>111</v>
      </c>
    </row>
    <row r="263" spans="1:9" x14ac:dyDescent="0.3">
      <c r="A263" t="s">
        <v>1347</v>
      </c>
      <c r="B263" s="18" t="s">
        <v>184</v>
      </c>
      <c r="C263" s="18" t="s">
        <v>220</v>
      </c>
      <c r="D263" s="18" t="s">
        <v>220</v>
      </c>
      <c r="E263" s="18" t="s">
        <v>2062</v>
      </c>
      <c r="F263" s="18">
        <v>2649</v>
      </c>
      <c r="G263" s="18">
        <v>1426</v>
      </c>
      <c r="H263" s="18">
        <v>202</v>
      </c>
      <c r="I263" s="18">
        <v>1021</v>
      </c>
    </row>
    <row r="264" spans="1:9" x14ac:dyDescent="0.3">
      <c r="A264" t="s">
        <v>1161</v>
      </c>
      <c r="B264" s="18" t="s">
        <v>280</v>
      </c>
      <c r="C264" s="18" t="s">
        <v>283</v>
      </c>
      <c r="D264" s="18" t="s">
        <v>283</v>
      </c>
      <c r="E264" s="18" t="s">
        <v>2062</v>
      </c>
      <c r="F264" s="18">
        <v>8669</v>
      </c>
      <c r="G264" s="18">
        <v>5556</v>
      </c>
      <c r="H264" s="18">
        <v>741</v>
      </c>
      <c r="I264" s="18">
        <v>2372</v>
      </c>
    </row>
    <row r="265" spans="1:9" x14ac:dyDescent="0.3">
      <c r="A265" t="s">
        <v>1562</v>
      </c>
      <c r="B265" s="18" t="s">
        <v>280</v>
      </c>
      <c r="C265" s="18" t="s">
        <v>283</v>
      </c>
      <c r="D265" s="18" t="s">
        <v>286</v>
      </c>
      <c r="E265" s="18" t="s">
        <v>2062</v>
      </c>
      <c r="F265" s="18">
        <v>354</v>
      </c>
      <c r="G265" s="18">
        <v>241</v>
      </c>
      <c r="H265" s="18">
        <v>41</v>
      </c>
      <c r="I265" s="18">
        <v>72</v>
      </c>
    </row>
    <row r="266" spans="1:9" x14ac:dyDescent="0.3">
      <c r="A266" t="s">
        <v>1561</v>
      </c>
      <c r="B266" s="18" t="s">
        <v>280</v>
      </c>
      <c r="C266" s="18" t="s">
        <v>283</v>
      </c>
      <c r="D266" s="18" t="s">
        <v>284</v>
      </c>
      <c r="E266" s="18" t="s">
        <v>2062</v>
      </c>
      <c r="F266" s="18">
        <v>723</v>
      </c>
      <c r="G266" s="18">
        <v>472</v>
      </c>
      <c r="H266" s="18">
        <v>75</v>
      </c>
      <c r="I266" s="18">
        <v>176</v>
      </c>
    </row>
    <row r="267" spans="1:9" x14ac:dyDescent="0.3">
      <c r="A267" t="s">
        <v>1943</v>
      </c>
      <c r="B267" s="18" t="s">
        <v>280</v>
      </c>
      <c r="C267" s="18" t="s">
        <v>283</v>
      </c>
      <c r="D267" s="18" t="s">
        <v>287</v>
      </c>
      <c r="E267" s="18" t="s">
        <v>2062</v>
      </c>
      <c r="F267" s="18">
        <v>848</v>
      </c>
      <c r="G267" s="18">
        <v>591</v>
      </c>
      <c r="H267" s="18">
        <v>94</v>
      </c>
      <c r="I267" s="18">
        <v>163</v>
      </c>
    </row>
    <row r="268" spans="1:9" x14ac:dyDescent="0.3">
      <c r="A268" t="s">
        <v>1247</v>
      </c>
      <c r="B268" s="18" t="s">
        <v>280</v>
      </c>
      <c r="C268" s="18" t="s">
        <v>283</v>
      </c>
      <c r="D268" s="18" t="s">
        <v>285</v>
      </c>
      <c r="E268" s="18" t="s">
        <v>2062</v>
      </c>
      <c r="F268" s="18">
        <v>1322</v>
      </c>
      <c r="G268" s="18">
        <v>858</v>
      </c>
      <c r="H268" s="18">
        <v>141</v>
      </c>
      <c r="I268" s="18">
        <v>323</v>
      </c>
    </row>
    <row r="269" spans="1:9" x14ac:dyDescent="0.3">
      <c r="A269" t="s">
        <v>1945</v>
      </c>
      <c r="B269" s="18" t="s">
        <v>280</v>
      </c>
      <c r="C269" s="18" t="s">
        <v>288</v>
      </c>
      <c r="D269" s="18" t="s">
        <v>289</v>
      </c>
      <c r="E269" s="18" t="s">
        <v>2062</v>
      </c>
      <c r="F269" s="18">
        <v>600</v>
      </c>
      <c r="G269" s="18">
        <v>413</v>
      </c>
      <c r="H269" s="18">
        <v>49</v>
      </c>
      <c r="I269" s="18">
        <v>138</v>
      </c>
    </row>
    <row r="270" spans="1:9" x14ac:dyDescent="0.3">
      <c r="A270" t="s">
        <v>1946</v>
      </c>
      <c r="B270" s="18" t="s">
        <v>280</v>
      </c>
      <c r="C270" s="18" t="s">
        <v>288</v>
      </c>
      <c r="D270" s="18" t="s">
        <v>290</v>
      </c>
      <c r="E270" s="18" t="s">
        <v>2062</v>
      </c>
      <c r="F270" s="18">
        <v>392</v>
      </c>
      <c r="G270" s="18">
        <v>243</v>
      </c>
      <c r="H270" s="18">
        <v>56</v>
      </c>
      <c r="I270" s="18">
        <v>93</v>
      </c>
    </row>
    <row r="271" spans="1:9" x14ac:dyDescent="0.3">
      <c r="A271" t="s">
        <v>1947</v>
      </c>
      <c r="B271" s="18" t="s">
        <v>280</v>
      </c>
      <c r="C271" s="18" t="s">
        <v>288</v>
      </c>
      <c r="D271" s="18" t="s">
        <v>291</v>
      </c>
      <c r="E271" s="18" t="s">
        <v>2062</v>
      </c>
      <c r="F271" s="18">
        <v>186</v>
      </c>
      <c r="G271" s="18">
        <v>117</v>
      </c>
      <c r="H271" s="18">
        <v>17</v>
      </c>
      <c r="I271" s="18">
        <v>52</v>
      </c>
    </row>
    <row r="272" spans="1:9" x14ac:dyDescent="0.3">
      <c r="A272" t="s">
        <v>1944</v>
      </c>
      <c r="B272" s="18" t="s">
        <v>280</v>
      </c>
      <c r="C272" s="18" t="s">
        <v>288</v>
      </c>
      <c r="D272" s="18" t="s">
        <v>24</v>
      </c>
      <c r="E272" s="18" t="s">
        <v>2062</v>
      </c>
      <c r="F272" s="18">
        <v>978</v>
      </c>
      <c r="G272" s="18">
        <v>669</v>
      </c>
      <c r="H272" s="18">
        <v>60</v>
      </c>
      <c r="I272" s="18">
        <v>249</v>
      </c>
    </row>
    <row r="273" spans="1:9" x14ac:dyDescent="0.3">
      <c r="A273" t="s">
        <v>1948</v>
      </c>
      <c r="B273" s="18" t="s">
        <v>280</v>
      </c>
      <c r="C273" s="18" t="s">
        <v>288</v>
      </c>
      <c r="D273" s="18" t="s">
        <v>292</v>
      </c>
      <c r="E273" s="18" t="s">
        <v>2062</v>
      </c>
      <c r="F273" s="18">
        <v>192</v>
      </c>
      <c r="G273" s="18">
        <v>135</v>
      </c>
      <c r="H273" s="18">
        <v>23</v>
      </c>
      <c r="I273" s="18">
        <v>34</v>
      </c>
    </row>
    <row r="274" spans="1:9" x14ac:dyDescent="0.3">
      <c r="A274" t="s">
        <v>1563</v>
      </c>
      <c r="B274" s="18" t="s">
        <v>280</v>
      </c>
      <c r="C274" s="18" t="s">
        <v>288</v>
      </c>
      <c r="D274" s="18" t="s">
        <v>293</v>
      </c>
      <c r="E274" s="18" t="s">
        <v>2062</v>
      </c>
      <c r="F274" s="18">
        <v>107</v>
      </c>
      <c r="G274" s="18">
        <v>63</v>
      </c>
      <c r="H274" s="18">
        <v>14</v>
      </c>
      <c r="I274" s="18">
        <v>30</v>
      </c>
    </row>
    <row r="275" spans="1:9" x14ac:dyDescent="0.3">
      <c r="A275" t="s">
        <v>1158</v>
      </c>
      <c r="B275" s="18" t="s">
        <v>280</v>
      </c>
      <c r="C275" s="18" t="s">
        <v>294</v>
      </c>
      <c r="D275" s="18" t="s">
        <v>294</v>
      </c>
      <c r="E275" s="18" t="s">
        <v>2062</v>
      </c>
      <c r="F275" s="18">
        <v>2399</v>
      </c>
      <c r="G275" s="18">
        <v>1668</v>
      </c>
      <c r="H275" s="18">
        <v>181</v>
      </c>
      <c r="I275" s="18">
        <v>550</v>
      </c>
    </row>
    <row r="276" spans="1:9" x14ac:dyDescent="0.3">
      <c r="A276" t="s">
        <v>1564</v>
      </c>
      <c r="B276" s="18" t="s">
        <v>280</v>
      </c>
      <c r="C276" s="18" t="s">
        <v>294</v>
      </c>
      <c r="D276" s="18" t="s">
        <v>295</v>
      </c>
      <c r="E276" s="18" t="s">
        <v>2062</v>
      </c>
      <c r="F276" s="18">
        <v>605</v>
      </c>
      <c r="G276" s="18">
        <v>404</v>
      </c>
      <c r="H276" s="18">
        <v>66</v>
      </c>
      <c r="I276" s="18">
        <v>135</v>
      </c>
    </row>
    <row r="277" spans="1:9" x14ac:dyDescent="0.3">
      <c r="A277" t="s">
        <v>1565</v>
      </c>
      <c r="B277" s="18" t="s">
        <v>280</v>
      </c>
      <c r="C277" s="18" t="s">
        <v>296</v>
      </c>
      <c r="D277" s="18" t="s">
        <v>296</v>
      </c>
      <c r="E277" s="18" t="s">
        <v>2062</v>
      </c>
      <c r="F277" s="18">
        <v>837</v>
      </c>
      <c r="G277" s="18">
        <v>433</v>
      </c>
      <c r="H277" s="18">
        <v>129</v>
      </c>
      <c r="I277" s="18">
        <v>275</v>
      </c>
    </row>
    <row r="278" spans="1:9" x14ac:dyDescent="0.3">
      <c r="A278" t="s">
        <v>1566</v>
      </c>
      <c r="B278" s="18" t="s">
        <v>280</v>
      </c>
      <c r="C278" s="18" t="s">
        <v>297</v>
      </c>
      <c r="D278" s="18" t="s">
        <v>298</v>
      </c>
      <c r="E278" s="18" t="s">
        <v>2062</v>
      </c>
      <c r="F278" s="18">
        <v>2693</v>
      </c>
      <c r="G278" s="18">
        <v>2116</v>
      </c>
      <c r="H278" s="18">
        <v>124</v>
      </c>
      <c r="I278" s="18">
        <v>453</v>
      </c>
    </row>
    <row r="279" spans="1:9" x14ac:dyDescent="0.3">
      <c r="A279" t="s">
        <v>1294</v>
      </c>
      <c r="B279" s="18" t="s">
        <v>280</v>
      </c>
      <c r="C279" s="18" t="s">
        <v>297</v>
      </c>
      <c r="D279" s="18" t="s">
        <v>297</v>
      </c>
      <c r="E279" s="18" t="s">
        <v>2062</v>
      </c>
      <c r="F279" s="18">
        <v>12652</v>
      </c>
      <c r="G279" s="18">
        <v>9453</v>
      </c>
      <c r="H279" s="18">
        <v>575</v>
      </c>
      <c r="I279" s="18">
        <v>2624</v>
      </c>
    </row>
    <row r="280" spans="1:9" x14ac:dyDescent="0.3">
      <c r="A280" t="s">
        <v>1567</v>
      </c>
      <c r="B280" s="18" t="s">
        <v>280</v>
      </c>
      <c r="C280" s="18" t="s">
        <v>297</v>
      </c>
      <c r="D280" s="18" t="s">
        <v>299</v>
      </c>
      <c r="E280" s="18" t="s">
        <v>2062</v>
      </c>
      <c r="F280" s="18">
        <v>1519</v>
      </c>
      <c r="G280" s="18">
        <v>1091</v>
      </c>
      <c r="H280" s="18">
        <v>88</v>
      </c>
      <c r="I280" s="18">
        <v>340</v>
      </c>
    </row>
    <row r="281" spans="1:9" x14ac:dyDescent="0.3">
      <c r="A281" t="s">
        <v>1569</v>
      </c>
      <c r="B281" s="18" t="s">
        <v>280</v>
      </c>
      <c r="C281" s="18" t="s">
        <v>297</v>
      </c>
      <c r="D281" s="18" t="s">
        <v>301</v>
      </c>
      <c r="E281" s="18" t="s">
        <v>2062</v>
      </c>
      <c r="F281" s="18">
        <v>2426</v>
      </c>
      <c r="G281" s="18">
        <v>1822</v>
      </c>
      <c r="H281" s="18">
        <v>145</v>
      </c>
      <c r="I281" s="18">
        <v>459</v>
      </c>
    </row>
    <row r="282" spans="1:9" x14ac:dyDescent="0.3">
      <c r="A282" t="s">
        <v>1568</v>
      </c>
      <c r="B282" s="18" t="s">
        <v>280</v>
      </c>
      <c r="C282" s="18" t="s">
        <v>297</v>
      </c>
      <c r="D282" s="18" t="s">
        <v>300</v>
      </c>
      <c r="E282" s="18" t="s">
        <v>2062</v>
      </c>
      <c r="F282" s="18">
        <v>1970</v>
      </c>
      <c r="G282" s="18">
        <v>1551</v>
      </c>
      <c r="H282" s="18">
        <v>72</v>
      </c>
      <c r="I282" s="18">
        <v>347</v>
      </c>
    </row>
    <row r="283" spans="1:9" x14ac:dyDescent="0.3">
      <c r="A283" t="s">
        <v>1439</v>
      </c>
      <c r="B283" s="18" t="s">
        <v>280</v>
      </c>
      <c r="C283" s="18" t="s">
        <v>302</v>
      </c>
      <c r="D283" s="18" t="s">
        <v>302</v>
      </c>
      <c r="E283" s="18" t="s">
        <v>2062</v>
      </c>
      <c r="F283" s="18">
        <v>19614</v>
      </c>
      <c r="G283" s="18">
        <v>13338</v>
      </c>
      <c r="H283" s="18">
        <v>1675</v>
      </c>
      <c r="I283" s="18">
        <v>4601</v>
      </c>
    </row>
    <row r="284" spans="1:9" x14ac:dyDescent="0.3">
      <c r="A284" t="s">
        <v>1583</v>
      </c>
      <c r="B284" s="18" t="s">
        <v>280</v>
      </c>
      <c r="C284" s="18" t="s">
        <v>339</v>
      </c>
      <c r="D284" s="18" t="s">
        <v>340</v>
      </c>
      <c r="E284" s="18" t="s">
        <v>2062</v>
      </c>
      <c r="F284" s="18">
        <v>355</v>
      </c>
      <c r="G284" s="18">
        <v>187</v>
      </c>
      <c r="H284" s="18">
        <v>98</v>
      </c>
      <c r="I284" s="18">
        <v>70</v>
      </c>
    </row>
    <row r="285" spans="1:9" x14ac:dyDescent="0.3">
      <c r="A285" t="s">
        <v>1582</v>
      </c>
      <c r="B285" s="18" t="s">
        <v>280</v>
      </c>
      <c r="C285" s="18" t="s">
        <v>339</v>
      </c>
      <c r="D285" s="18" t="s">
        <v>168</v>
      </c>
      <c r="E285" s="18" t="s">
        <v>2062</v>
      </c>
      <c r="F285" s="18">
        <v>366</v>
      </c>
      <c r="G285" s="18">
        <v>162</v>
      </c>
      <c r="H285" s="18">
        <v>124</v>
      </c>
      <c r="I285" s="18">
        <v>80</v>
      </c>
    </row>
    <row r="286" spans="1:9" x14ac:dyDescent="0.3">
      <c r="A286" t="s">
        <v>1371</v>
      </c>
      <c r="B286" s="18" t="s">
        <v>280</v>
      </c>
      <c r="C286" s="18" t="s">
        <v>339</v>
      </c>
      <c r="D286" s="18" t="s">
        <v>207</v>
      </c>
      <c r="E286" s="18" t="s">
        <v>2062</v>
      </c>
      <c r="F286" s="18">
        <v>1243</v>
      </c>
      <c r="G286" s="18">
        <v>540</v>
      </c>
      <c r="H286" s="18">
        <v>181</v>
      </c>
      <c r="I286" s="18">
        <v>522</v>
      </c>
    </row>
    <row r="287" spans="1:9" x14ac:dyDescent="0.3">
      <c r="A287" t="s">
        <v>1964</v>
      </c>
      <c r="B287" s="18" t="s">
        <v>280</v>
      </c>
      <c r="C287" s="18" t="s">
        <v>339</v>
      </c>
      <c r="D287" s="18" t="s">
        <v>169</v>
      </c>
      <c r="E287" s="18" t="s">
        <v>2062</v>
      </c>
      <c r="F287" s="18">
        <v>272</v>
      </c>
      <c r="G287" s="18">
        <v>129</v>
      </c>
      <c r="H287" s="18">
        <v>81</v>
      </c>
      <c r="I287" s="18">
        <v>62</v>
      </c>
    </row>
    <row r="288" spans="1:9" x14ac:dyDescent="0.3">
      <c r="A288" t="s">
        <v>1071</v>
      </c>
      <c r="B288" s="18" t="s">
        <v>280</v>
      </c>
      <c r="C288" s="18" t="s">
        <v>281</v>
      </c>
      <c r="D288" s="18" t="s">
        <v>282</v>
      </c>
      <c r="E288" s="18" t="s">
        <v>2062</v>
      </c>
      <c r="F288" s="18">
        <v>1700</v>
      </c>
      <c r="G288" s="18">
        <v>1320</v>
      </c>
      <c r="H288" s="18">
        <v>83</v>
      </c>
      <c r="I288" s="18">
        <v>297</v>
      </c>
    </row>
    <row r="289" spans="1:9" x14ac:dyDescent="0.3">
      <c r="A289" t="s">
        <v>1273</v>
      </c>
      <c r="B289" s="18" t="s">
        <v>280</v>
      </c>
      <c r="C289" s="18" t="s">
        <v>281</v>
      </c>
      <c r="D289" s="18" t="s">
        <v>281</v>
      </c>
      <c r="E289" s="18" t="s">
        <v>2062</v>
      </c>
      <c r="F289" s="18">
        <v>109754</v>
      </c>
      <c r="G289" s="18">
        <v>72758</v>
      </c>
      <c r="H289" s="18">
        <v>9746</v>
      </c>
      <c r="I289" s="18">
        <v>27250</v>
      </c>
    </row>
    <row r="290" spans="1:9" x14ac:dyDescent="0.3">
      <c r="A290" t="s">
        <v>1949</v>
      </c>
      <c r="B290" s="18" t="s">
        <v>280</v>
      </c>
      <c r="C290" s="18" t="s">
        <v>303</v>
      </c>
      <c r="D290" s="18" t="s">
        <v>304</v>
      </c>
      <c r="E290" s="18" t="s">
        <v>2062</v>
      </c>
      <c r="F290" s="18">
        <v>108</v>
      </c>
      <c r="G290" s="18">
        <v>74</v>
      </c>
      <c r="H290" s="18">
        <v>10</v>
      </c>
      <c r="I290" s="18">
        <v>24</v>
      </c>
    </row>
    <row r="291" spans="1:9" x14ac:dyDescent="0.3">
      <c r="A291" t="s">
        <v>1190</v>
      </c>
      <c r="B291" s="18" t="s">
        <v>280</v>
      </c>
      <c r="C291" s="18" t="s">
        <v>303</v>
      </c>
      <c r="D291" s="18" t="s">
        <v>303</v>
      </c>
      <c r="E291" s="18" t="s">
        <v>2062</v>
      </c>
      <c r="F291" s="18">
        <v>2563</v>
      </c>
      <c r="G291" s="18">
        <v>1769</v>
      </c>
      <c r="H291" s="18">
        <v>165</v>
      </c>
      <c r="I291" s="18">
        <v>629</v>
      </c>
    </row>
    <row r="292" spans="1:9" x14ac:dyDescent="0.3">
      <c r="A292" t="s">
        <v>1570</v>
      </c>
      <c r="B292" s="18" t="s">
        <v>280</v>
      </c>
      <c r="C292" s="18" t="s">
        <v>305</v>
      </c>
      <c r="D292" s="18" t="s">
        <v>306</v>
      </c>
      <c r="E292" s="18" t="s">
        <v>2062</v>
      </c>
      <c r="F292" s="18">
        <v>2865</v>
      </c>
      <c r="G292" s="18">
        <v>2020</v>
      </c>
      <c r="H292" s="18">
        <v>149</v>
      </c>
      <c r="I292" s="18">
        <v>696</v>
      </c>
    </row>
    <row r="293" spans="1:9" x14ac:dyDescent="0.3">
      <c r="A293" t="s">
        <v>1951</v>
      </c>
      <c r="B293" s="18" t="s">
        <v>280</v>
      </c>
      <c r="C293" s="18" t="s">
        <v>305</v>
      </c>
      <c r="D293" s="18" t="s">
        <v>311</v>
      </c>
      <c r="E293" s="18" t="s">
        <v>2062</v>
      </c>
      <c r="F293" s="18">
        <v>828</v>
      </c>
      <c r="G293" s="18">
        <v>615</v>
      </c>
      <c r="H293" s="18">
        <v>45</v>
      </c>
      <c r="I293" s="18">
        <v>168</v>
      </c>
    </row>
    <row r="294" spans="1:9" x14ac:dyDescent="0.3">
      <c r="A294" t="s">
        <v>1571</v>
      </c>
      <c r="B294" s="18" t="s">
        <v>280</v>
      </c>
      <c r="C294" s="18" t="s">
        <v>305</v>
      </c>
      <c r="D294" s="18" t="s">
        <v>307</v>
      </c>
      <c r="E294" s="18" t="s">
        <v>2062</v>
      </c>
      <c r="F294" s="18">
        <v>1047</v>
      </c>
      <c r="G294" s="18">
        <v>629</v>
      </c>
      <c r="H294" s="18">
        <v>106</v>
      </c>
      <c r="I294" s="18">
        <v>312</v>
      </c>
    </row>
    <row r="295" spans="1:9" x14ac:dyDescent="0.3">
      <c r="A295" t="s">
        <v>1572</v>
      </c>
      <c r="B295" s="18" t="s">
        <v>280</v>
      </c>
      <c r="C295" s="18" t="s">
        <v>305</v>
      </c>
      <c r="D295" s="18" t="s">
        <v>308</v>
      </c>
      <c r="E295" s="18" t="s">
        <v>2062</v>
      </c>
      <c r="F295" s="18">
        <v>1492</v>
      </c>
      <c r="G295" s="18">
        <v>997</v>
      </c>
      <c r="H295" s="18">
        <v>146</v>
      </c>
      <c r="I295" s="18">
        <v>349</v>
      </c>
    </row>
    <row r="296" spans="1:9" x14ac:dyDescent="0.3">
      <c r="A296" t="s">
        <v>1324</v>
      </c>
      <c r="B296" s="18" t="s">
        <v>280</v>
      </c>
      <c r="C296" s="18" t="s">
        <v>305</v>
      </c>
      <c r="D296" s="18" t="s">
        <v>305</v>
      </c>
      <c r="E296" s="18" t="s">
        <v>2062</v>
      </c>
      <c r="F296" s="18">
        <v>22051</v>
      </c>
      <c r="G296" s="18">
        <v>14488</v>
      </c>
      <c r="H296" s="18">
        <v>1748</v>
      </c>
      <c r="I296" s="18">
        <v>5815</v>
      </c>
    </row>
    <row r="297" spans="1:9" x14ac:dyDescent="0.3">
      <c r="A297" t="s">
        <v>1950</v>
      </c>
      <c r="B297" s="18" t="s">
        <v>280</v>
      </c>
      <c r="C297" s="18" t="s">
        <v>305</v>
      </c>
      <c r="D297" s="18" t="s">
        <v>309</v>
      </c>
      <c r="E297" s="18" t="s">
        <v>2062</v>
      </c>
      <c r="F297" s="18">
        <v>1817</v>
      </c>
      <c r="G297" s="18">
        <v>1212</v>
      </c>
      <c r="H297" s="18">
        <v>138</v>
      </c>
      <c r="I297" s="18">
        <v>467</v>
      </c>
    </row>
    <row r="298" spans="1:9" x14ac:dyDescent="0.3">
      <c r="A298" t="s">
        <v>1573</v>
      </c>
      <c r="B298" s="18" t="s">
        <v>280</v>
      </c>
      <c r="C298" s="18" t="s">
        <v>305</v>
      </c>
      <c r="D298" s="18" t="s">
        <v>310</v>
      </c>
      <c r="E298" s="18" t="s">
        <v>2062</v>
      </c>
      <c r="F298" s="18">
        <v>355</v>
      </c>
      <c r="G298" s="18">
        <v>214</v>
      </c>
      <c r="H298" s="18">
        <v>27</v>
      </c>
      <c r="I298" s="18">
        <v>114</v>
      </c>
    </row>
    <row r="299" spans="1:9" x14ac:dyDescent="0.3">
      <c r="A299" t="s">
        <v>1952</v>
      </c>
      <c r="B299" s="18" t="s">
        <v>280</v>
      </c>
      <c r="C299" s="18" t="s">
        <v>312</v>
      </c>
      <c r="D299" s="18" t="s">
        <v>313</v>
      </c>
      <c r="E299" s="18" t="s">
        <v>2062</v>
      </c>
      <c r="F299" s="18">
        <v>799</v>
      </c>
      <c r="G299" s="18">
        <v>442</v>
      </c>
      <c r="H299" s="18">
        <v>130</v>
      </c>
      <c r="I299" s="18">
        <v>227</v>
      </c>
    </row>
    <row r="300" spans="1:9" x14ac:dyDescent="0.3">
      <c r="A300" t="s">
        <v>1953</v>
      </c>
      <c r="B300" s="18" t="s">
        <v>280</v>
      </c>
      <c r="C300" s="18" t="s">
        <v>312</v>
      </c>
      <c r="D300" s="18" t="s">
        <v>314</v>
      </c>
      <c r="E300" s="18" t="s">
        <v>2062</v>
      </c>
      <c r="F300" s="18">
        <v>572</v>
      </c>
      <c r="G300" s="18">
        <v>399</v>
      </c>
      <c r="H300" s="18">
        <v>40</v>
      </c>
      <c r="I300" s="18">
        <v>133</v>
      </c>
    </row>
    <row r="301" spans="1:9" x14ac:dyDescent="0.3">
      <c r="A301" t="s">
        <v>1574</v>
      </c>
      <c r="B301" s="18" t="s">
        <v>280</v>
      </c>
      <c r="C301" s="18" t="s">
        <v>312</v>
      </c>
      <c r="D301" s="18" t="s">
        <v>315</v>
      </c>
      <c r="E301" s="18" t="s">
        <v>2062</v>
      </c>
      <c r="F301" s="18">
        <v>531</v>
      </c>
      <c r="G301" s="18">
        <v>365</v>
      </c>
      <c r="H301" s="18">
        <v>27</v>
      </c>
      <c r="I301" s="18">
        <v>139</v>
      </c>
    </row>
    <row r="302" spans="1:9" x14ac:dyDescent="0.3">
      <c r="A302" t="s">
        <v>1954</v>
      </c>
      <c r="B302" s="18" t="s">
        <v>280</v>
      </c>
      <c r="C302" s="18" t="s">
        <v>312</v>
      </c>
      <c r="D302" s="18" t="s">
        <v>316</v>
      </c>
      <c r="E302" s="18" t="s">
        <v>2062</v>
      </c>
      <c r="F302" s="18">
        <v>227</v>
      </c>
      <c r="G302" s="18">
        <v>169</v>
      </c>
      <c r="H302" s="18">
        <v>13</v>
      </c>
      <c r="I302" s="18">
        <v>45</v>
      </c>
    </row>
    <row r="303" spans="1:9" x14ac:dyDescent="0.3">
      <c r="A303" t="s">
        <v>1078</v>
      </c>
      <c r="B303" s="18" t="s">
        <v>280</v>
      </c>
      <c r="C303" s="18" t="s">
        <v>312</v>
      </c>
      <c r="D303" s="18" t="s">
        <v>312</v>
      </c>
      <c r="E303" s="18" t="s">
        <v>2062</v>
      </c>
      <c r="F303" s="18">
        <v>7660</v>
      </c>
      <c r="G303" s="18">
        <v>5574</v>
      </c>
      <c r="H303" s="18">
        <v>391</v>
      </c>
      <c r="I303" s="18">
        <v>1695</v>
      </c>
    </row>
    <row r="304" spans="1:9" x14ac:dyDescent="0.3">
      <c r="A304" t="s">
        <v>1955</v>
      </c>
      <c r="B304" s="18" t="s">
        <v>280</v>
      </c>
      <c r="C304" s="18" t="s">
        <v>312</v>
      </c>
      <c r="D304" s="18" t="s">
        <v>317</v>
      </c>
      <c r="E304" s="18" t="s">
        <v>2062</v>
      </c>
      <c r="F304" s="18">
        <v>476</v>
      </c>
      <c r="G304" s="18">
        <v>321</v>
      </c>
      <c r="H304" s="18">
        <v>30</v>
      </c>
      <c r="I304" s="18">
        <v>125</v>
      </c>
    </row>
    <row r="305" spans="1:9" x14ac:dyDescent="0.3">
      <c r="A305" t="s">
        <v>1575</v>
      </c>
      <c r="B305" s="18" t="s">
        <v>280</v>
      </c>
      <c r="C305" s="18" t="s">
        <v>312</v>
      </c>
      <c r="D305" s="18" t="s">
        <v>318</v>
      </c>
      <c r="E305" s="18" t="s">
        <v>2062</v>
      </c>
      <c r="F305" s="18">
        <v>1079</v>
      </c>
      <c r="G305" s="18">
        <v>799</v>
      </c>
      <c r="H305" s="18">
        <v>69</v>
      </c>
      <c r="I305" s="18">
        <v>211</v>
      </c>
    </row>
    <row r="306" spans="1:9" x14ac:dyDescent="0.3">
      <c r="A306" t="s">
        <v>1576</v>
      </c>
      <c r="B306" s="18" t="s">
        <v>280</v>
      </c>
      <c r="C306" s="18" t="s">
        <v>319</v>
      </c>
      <c r="D306" s="18" t="s">
        <v>320</v>
      </c>
      <c r="E306" s="18" t="s">
        <v>2062</v>
      </c>
      <c r="F306" s="18">
        <v>229</v>
      </c>
      <c r="G306" s="18">
        <v>150</v>
      </c>
      <c r="H306" s="18">
        <v>27</v>
      </c>
      <c r="I306" s="18">
        <v>52</v>
      </c>
    </row>
    <row r="307" spans="1:9" x14ac:dyDescent="0.3">
      <c r="A307" t="s">
        <v>1956</v>
      </c>
      <c r="B307" s="18" t="s">
        <v>280</v>
      </c>
      <c r="C307" s="18" t="s">
        <v>319</v>
      </c>
      <c r="D307" s="18" t="s">
        <v>321</v>
      </c>
      <c r="E307" s="18" t="s">
        <v>2062</v>
      </c>
      <c r="F307" s="18">
        <v>242</v>
      </c>
      <c r="G307" s="18">
        <v>176</v>
      </c>
      <c r="H307" s="18">
        <v>30</v>
      </c>
      <c r="I307" s="18">
        <v>36</v>
      </c>
    </row>
    <row r="308" spans="1:9" x14ac:dyDescent="0.3">
      <c r="A308" t="s">
        <v>1246</v>
      </c>
      <c r="B308" s="18" t="s">
        <v>280</v>
      </c>
      <c r="C308" s="18" t="s">
        <v>319</v>
      </c>
      <c r="D308" s="18" t="s">
        <v>319</v>
      </c>
      <c r="E308" s="18" t="s">
        <v>2062</v>
      </c>
      <c r="F308" s="18">
        <v>4231</v>
      </c>
      <c r="G308" s="18">
        <v>3132</v>
      </c>
      <c r="H308" s="18">
        <v>151</v>
      </c>
      <c r="I308" s="18">
        <v>948</v>
      </c>
    </row>
    <row r="309" spans="1:9" x14ac:dyDescent="0.3">
      <c r="A309" t="s">
        <v>1577</v>
      </c>
      <c r="B309" s="18" t="s">
        <v>280</v>
      </c>
      <c r="C309" s="18" t="s">
        <v>319</v>
      </c>
      <c r="D309" s="18" t="s">
        <v>322</v>
      </c>
      <c r="E309" s="18" t="s">
        <v>2062</v>
      </c>
      <c r="F309" s="18">
        <v>382</v>
      </c>
      <c r="G309" s="18">
        <v>239</v>
      </c>
      <c r="H309" s="18">
        <v>28</v>
      </c>
      <c r="I309" s="18">
        <v>115</v>
      </c>
    </row>
    <row r="310" spans="1:9" x14ac:dyDescent="0.3">
      <c r="A310" t="s">
        <v>1579</v>
      </c>
      <c r="B310" s="18" t="s">
        <v>280</v>
      </c>
      <c r="C310" s="18" t="s">
        <v>323</v>
      </c>
      <c r="D310" s="18" t="s">
        <v>295</v>
      </c>
      <c r="E310" s="18" t="s">
        <v>2062</v>
      </c>
      <c r="F310" s="18">
        <v>1062</v>
      </c>
      <c r="G310" s="18">
        <v>696</v>
      </c>
      <c r="H310" s="18">
        <v>116</v>
      </c>
      <c r="I310" s="18">
        <v>250</v>
      </c>
    </row>
    <row r="311" spans="1:9" x14ac:dyDescent="0.3">
      <c r="A311" t="s">
        <v>1354</v>
      </c>
      <c r="B311" s="18" t="s">
        <v>280</v>
      </c>
      <c r="C311" s="18" t="s">
        <v>323</v>
      </c>
      <c r="D311" s="18" t="s">
        <v>324</v>
      </c>
      <c r="E311" s="18" t="s">
        <v>2062</v>
      </c>
      <c r="F311" s="18">
        <v>1892</v>
      </c>
      <c r="G311" s="18">
        <v>1315</v>
      </c>
      <c r="H311" s="18">
        <v>90</v>
      </c>
      <c r="I311" s="18">
        <v>487</v>
      </c>
    </row>
    <row r="312" spans="1:9" x14ac:dyDescent="0.3">
      <c r="A312" t="s">
        <v>1578</v>
      </c>
      <c r="B312" s="18" t="s">
        <v>280</v>
      </c>
      <c r="C312" s="18" t="s">
        <v>323</v>
      </c>
      <c r="D312" s="18" t="s">
        <v>325</v>
      </c>
      <c r="E312" s="18" t="s">
        <v>2062</v>
      </c>
      <c r="F312" s="18">
        <v>512</v>
      </c>
      <c r="G312" s="18">
        <v>447</v>
      </c>
      <c r="H312" s="18">
        <v>4</v>
      </c>
      <c r="I312" s="18">
        <v>61</v>
      </c>
    </row>
    <row r="313" spans="1:9" x14ac:dyDescent="0.3">
      <c r="A313" t="s">
        <v>1957</v>
      </c>
      <c r="B313" s="18" t="s">
        <v>280</v>
      </c>
      <c r="C313" s="18" t="s">
        <v>323</v>
      </c>
      <c r="D313" s="18" t="s">
        <v>326</v>
      </c>
      <c r="E313" s="18" t="s">
        <v>2062</v>
      </c>
      <c r="F313" s="18">
        <v>964</v>
      </c>
      <c r="G313" s="18">
        <v>641</v>
      </c>
      <c r="H313" s="18">
        <v>88</v>
      </c>
      <c r="I313" s="18">
        <v>235</v>
      </c>
    </row>
    <row r="314" spans="1:9" x14ac:dyDescent="0.3">
      <c r="A314" t="s">
        <v>1958</v>
      </c>
      <c r="B314" s="18" t="s">
        <v>280</v>
      </c>
      <c r="C314" s="18" t="s">
        <v>323</v>
      </c>
      <c r="D314" s="18" t="s">
        <v>138</v>
      </c>
      <c r="E314" s="18" t="s">
        <v>2062</v>
      </c>
      <c r="F314" s="18">
        <v>536</v>
      </c>
      <c r="G314" s="18">
        <v>379</v>
      </c>
      <c r="H314" s="18">
        <v>19</v>
      </c>
      <c r="I314" s="18">
        <v>138</v>
      </c>
    </row>
    <row r="315" spans="1:9" x14ac:dyDescent="0.3">
      <c r="A315" t="s">
        <v>1148</v>
      </c>
      <c r="B315" s="18" t="s">
        <v>280</v>
      </c>
      <c r="C315" s="18" t="s">
        <v>323</v>
      </c>
      <c r="D315" s="18" t="s">
        <v>323</v>
      </c>
      <c r="E315" s="18" t="s">
        <v>2062</v>
      </c>
      <c r="F315" s="18">
        <v>21743</v>
      </c>
      <c r="G315" s="18">
        <v>14116</v>
      </c>
      <c r="H315" s="18">
        <v>2256</v>
      </c>
      <c r="I315" s="18">
        <v>5371</v>
      </c>
    </row>
    <row r="316" spans="1:9" x14ac:dyDescent="0.3">
      <c r="A316" t="s">
        <v>1959</v>
      </c>
      <c r="B316" s="18" t="s">
        <v>280</v>
      </c>
      <c r="C316" s="18" t="s">
        <v>323</v>
      </c>
      <c r="D316" s="18" t="s">
        <v>327</v>
      </c>
      <c r="E316" s="18" t="s">
        <v>2062</v>
      </c>
      <c r="F316" s="18">
        <v>858</v>
      </c>
      <c r="G316" s="18">
        <v>601</v>
      </c>
      <c r="H316" s="18">
        <v>66</v>
      </c>
      <c r="I316" s="18">
        <v>191</v>
      </c>
    </row>
    <row r="317" spans="1:9" x14ac:dyDescent="0.3">
      <c r="A317" t="s">
        <v>1960</v>
      </c>
      <c r="B317" s="18" t="s">
        <v>280</v>
      </c>
      <c r="C317" s="18" t="s">
        <v>323</v>
      </c>
      <c r="D317" s="18" t="s">
        <v>328</v>
      </c>
      <c r="E317" s="18" t="s">
        <v>2062</v>
      </c>
      <c r="F317" s="18">
        <v>1384</v>
      </c>
      <c r="G317" s="18">
        <v>1058</v>
      </c>
      <c r="H317" s="18">
        <v>61</v>
      </c>
      <c r="I317" s="18">
        <v>265</v>
      </c>
    </row>
    <row r="318" spans="1:9" x14ac:dyDescent="0.3">
      <c r="A318" t="s">
        <v>1961</v>
      </c>
      <c r="B318" s="18" t="s">
        <v>280</v>
      </c>
      <c r="C318" s="18" t="s">
        <v>329</v>
      </c>
      <c r="D318" s="18" t="s">
        <v>330</v>
      </c>
      <c r="E318" s="18" t="s">
        <v>2062</v>
      </c>
      <c r="F318" s="18">
        <v>460</v>
      </c>
      <c r="G318" s="18">
        <v>145</v>
      </c>
      <c r="H318" s="18">
        <v>29</v>
      </c>
      <c r="I318" s="18">
        <v>286</v>
      </c>
    </row>
    <row r="319" spans="1:9" x14ac:dyDescent="0.3">
      <c r="A319" t="s">
        <v>1025</v>
      </c>
      <c r="B319" s="18" t="s">
        <v>280</v>
      </c>
      <c r="C319" s="18" t="s">
        <v>329</v>
      </c>
      <c r="D319" s="18" t="s">
        <v>331</v>
      </c>
      <c r="E319" s="18" t="s">
        <v>2062</v>
      </c>
      <c r="F319" s="18">
        <v>407</v>
      </c>
      <c r="G319" s="18">
        <v>279</v>
      </c>
      <c r="H319" s="18">
        <v>32</v>
      </c>
      <c r="I319" s="18">
        <v>96</v>
      </c>
    </row>
    <row r="320" spans="1:9" x14ac:dyDescent="0.3">
      <c r="A320" t="s">
        <v>1962</v>
      </c>
      <c r="B320" s="18" t="s">
        <v>280</v>
      </c>
      <c r="C320" s="18" t="s">
        <v>329</v>
      </c>
      <c r="D320" s="18" t="s">
        <v>332</v>
      </c>
      <c r="E320" s="18" t="s">
        <v>2062</v>
      </c>
      <c r="F320" s="18">
        <v>726</v>
      </c>
      <c r="G320" s="18">
        <v>287</v>
      </c>
      <c r="H320" s="18">
        <v>66</v>
      </c>
      <c r="I320" s="18">
        <v>373</v>
      </c>
    </row>
    <row r="321" spans="1:9" x14ac:dyDescent="0.3">
      <c r="A321" t="s">
        <v>1580</v>
      </c>
      <c r="B321" s="18" t="s">
        <v>280</v>
      </c>
      <c r="C321" s="18" t="s">
        <v>329</v>
      </c>
      <c r="D321" s="18" t="s">
        <v>333</v>
      </c>
      <c r="E321" s="18" t="s">
        <v>2062</v>
      </c>
      <c r="F321" s="18">
        <v>729</v>
      </c>
      <c r="G321" s="18">
        <v>492</v>
      </c>
      <c r="H321" s="18">
        <v>28</v>
      </c>
      <c r="I321" s="18">
        <v>209</v>
      </c>
    </row>
    <row r="322" spans="1:9" x14ac:dyDescent="0.3">
      <c r="A322" t="s">
        <v>1186</v>
      </c>
      <c r="B322" s="18" t="s">
        <v>280</v>
      </c>
      <c r="C322" s="18" t="s">
        <v>329</v>
      </c>
      <c r="D322" s="18" t="s">
        <v>334</v>
      </c>
      <c r="E322" s="18" t="s">
        <v>2062</v>
      </c>
      <c r="F322" s="18">
        <v>902</v>
      </c>
      <c r="G322" s="18">
        <v>633</v>
      </c>
      <c r="H322" s="18">
        <v>49</v>
      </c>
      <c r="I322" s="18">
        <v>220</v>
      </c>
    </row>
    <row r="323" spans="1:9" x14ac:dyDescent="0.3">
      <c r="A323" t="s">
        <v>1217</v>
      </c>
      <c r="B323" s="18" t="s">
        <v>280</v>
      </c>
      <c r="C323" s="18" t="s">
        <v>329</v>
      </c>
      <c r="D323" s="18" t="s">
        <v>335</v>
      </c>
      <c r="E323" s="18" t="s">
        <v>2062</v>
      </c>
      <c r="F323" s="18">
        <v>405</v>
      </c>
      <c r="G323" s="18">
        <v>274</v>
      </c>
      <c r="H323" s="18">
        <v>16</v>
      </c>
      <c r="I323" s="18">
        <v>115</v>
      </c>
    </row>
    <row r="324" spans="1:9" x14ac:dyDescent="0.3">
      <c r="A324" t="s">
        <v>1026</v>
      </c>
      <c r="B324" s="18" t="s">
        <v>280</v>
      </c>
      <c r="C324" s="18" t="s">
        <v>329</v>
      </c>
      <c r="D324" s="18" t="s">
        <v>336</v>
      </c>
      <c r="E324" s="18" t="s">
        <v>2062</v>
      </c>
      <c r="F324" s="18">
        <v>350</v>
      </c>
      <c r="G324" s="18">
        <v>251</v>
      </c>
      <c r="H324" s="18">
        <v>24</v>
      </c>
      <c r="I324" s="18">
        <v>75</v>
      </c>
    </row>
    <row r="325" spans="1:9" x14ac:dyDescent="0.3">
      <c r="A325" t="s">
        <v>1581</v>
      </c>
      <c r="B325" s="18" t="s">
        <v>280</v>
      </c>
      <c r="C325" s="18" t="s">
        <v>329</v>
      </c>
      <c r="D325" s="18" t="s">
        <v>338</v>
      </c>
      <c r="E325" s="18" t="s">
        <v>2062</v>
      </c>
      <c r="F325" s="18">
        <v>297</v>
      </c>
      <c r="G325" s="18">
        <v>197</v>
      </c>
      <c r="H325" s="18">
        <v>25</v>
      </c>
      <c r="I325" s="18">
        <v>75</v>
      </c>
    </row>
    <row r="326" spans="1:9" x14ac:dyDescent="0.3">
      <c r="A326" t="s">
        <v>1963</v>
      </c>
      <c r="B326" s="18" t="s">
        <v>280</v>
      </c>
      <c r="C326" s="18" t="s">
        <v>329</v>
      </c>
      <c r="D326" s="18" t="s">
        <v>337</v>
      </c>
      <c r="E326" s="18" t="s">
        <v>2062</v>
      </c>
      <c r="F326" s="18">
        <v>619</v>
      </c>
      <c r="G326" s="18">
        <v>430</v>
      </c>
      <c r="H326" s="18">
        <v>32</v>
      </c>
      <c r="I326" s="18">
        <v>157</v>
      </c>
    </row>
    <row r="327" spans="1:9" x14ac:dyDescent="0.3">
      <c r="A327" t="s">
        <v>1201</v>
      </c>
      <c r="B327" s="18" t="s">
        <v>280</v>
      </c>
      <c r="C327" s="18" t="s">
        <v>329</v>
      </c>
      <c r="D327" s="18" t="s">
        <v>329</v>
      </c>
      <c r="E327" s="18" t="s">
        <v>2062</v>
      </c>
      <c r="F327" s="18">
        <v>4402</v>
      </c>
      <c r="G327" s="18">
        <v>3190</v>
      </c>
      <c r="H327" s="18">
        <v>135</v>
      </c>
      <c r="I327" s="18">
        <v>1077</v>
      </c>
    </row>
    <row r="328" spans="1:9" x14ac:dyDescent="0.3">
      <c r="A328" t="s">
        <v>1449</v>
      </c>
      <c r="B328" s="18" t="s">
        <v>341</v>
      </c>
      <c r="C328" s="18" t="s">
        <v>389</v>
      </c>
      <c r="D328" s="18" t="s">
        <v>389</v>
      </c>
      <c r="E328" s="18" t="s">
        <v>2062</v>
      </c>
      <c r="F328" s="18">
        <v>6719</v>
      </c>
      <c r="G328" s="18">
        <v>3680</v>
      </c>
      <c r="H328" s="18">
        <v>1025</v>
      </c>
      <c r="I328" s="18">
        <v>2014</v>
      </c>
    </row>
    <row r="329" spans="1:9" x14ac:dyDescent="0.3">
      <c r="A329" t="s">
        <v>1609</v>
      </c>
      <c r="B329" s="18" t="s">
        <v>341</v>
      </c>
      <c r="C329" s="18" t="s">
        <v>389</v>
      </c>
      <c r="D329" s="18" t="s">
        <v>80</v>
      </c>
      <c r="E329" s="18" t="s">
        <v>2062</v>
      </c>
      <c r="F329" s="18">
        <v>1026</v>
      </c>
      <c r="G329" s="18">
        <v>684</v>
      </c>
      <c r="H329" s="18">
        <v>97</v>
      </c>
      <c r="I329" s="18">
        <v>245</v>
      </c>
    </row>
    <row r="330" spans="1:9" x14ac:dyDescent="0.3">
      <c r="A330" t="s">
        <v>1610</v>
      </c>
      <c r="B330" s="18" t="s">
        <v>341</v>
      </c>
      <c r="C330" s="18" t="s">
        <v>389</v>
      </c>
      <c r="D330" s="18" t="s">
        <v>390</v>
      </c>
      <c r="E330" s="18" t="s">
        <v>2062</v>
      </c>
      <c r="F330" s="18">
        <v>1399</v>
      </c>
      <c r="G330" s="18">
        <v>773</v>
      </c>
      <c r="H330" s="18">
        <v>234</v>
      </c>
      <c r="I330" s="18">
        <v>392</v>
      </c>
    </row>
    <row r="331" spans="1:9" x14ac:dyDescent="0.3">
      <c r="A331" t="s">
        <v>1611</v>
      </c>
      <c r="B331" s="18" t="s">
        <v>341</v>
      </c>
      <c r="C331" s="18" t="s">
        <v>389</v>
      </c>
      <c r="D331" s="18" t="s">
        <v>391</v>
      </c>
      <c r="E331" s="18" t="s">
        <v>2062</v>
      </c>
      <c r="F331" s="18">
        <v>2637</v>
      </c>
      <c r="G331" s="18">
        <v>1426</v>
      </c>
      <c r="H331" s="18">
        <v>387</v>
      </c>
      <c r="I331" s="18">
        <v>824</v>
      </c>
    </row>
    <row r="332" spans="1:9" x14ac:dyDescent="0.3">
      <c r="A332" t="s">
        <v>1612</v>
      </c>
      <c r="B332" s="18" t="s">
        <v>341</v>
      </c>
      <c r="C332" s="18" t="s">
        <v>389</v>
      </c>
      <c r="D332" s="18" t="s">
        <v>392</v>
      </c>
      <c r="E332" s="18" t="s">
        <v>2062</v>
      </c>
      <c r="F332" s="18">
        <v>4204</v>
      </c>
      <c r="G332" s="18">
        <v>2373</v>
      </c>
      <c r="H332" s="18">
        <v>506</v>
      </c>
      <c r="I332" s="18">
        <v>1325</v>
      </c>
    </row>
    <row r="333" spans="1:9" x14ac:dyDescent="0.3">
      <c r="A333" t="s">
        <v>1967</v>
      </c>
      <c r="B333" s="18" t="s">
        <v>341</v>
      </c>
      <c r="C333" s="18" t="s">
        <v>350</v>
      </c>
      <c r="D333" s="18" t="s">
        <v>352</v>
      </c>
      <c r="E333" s="18" t="s">
        <v>2062</v>
      </c>
      <c r="F333" s="18">
        <v>1042</v>
      </c>
      <c r="G333" s="18">
        <v>735</v>
      </c>
      <c r="H333" s="18">
        <v>122</v>
      </c>
      <c r="I333" s="18">
        <v>185</v>
      </c>
    </row>
    <row r="334" spans="1:9" x14ac:dyDescent="0.3">
      <c r="A334" t="s">
        <v>1589</v>
      </c>
      <c r="B334" s="18" t="s">
        <v>341</v>
      </c>
      <c r="C334" s="18" t="s">
        <v>350</v>
      </c>
      <c r="D334" s="18" t="s">
        <v>288</v>
      </c>
      <c r="E334" s="18" t="s">
        <v>2062</v>
      </c>
      <c r="F334" s="18">
        <v>427</v>
      </c>
      <c r="G334" s="18">
        <v>222</v>
      </c>
      <c r="H334" s="18">
        <v>44</v>
      </c>
      <c r="I334" s="18">
        <v>161</v>
      </c>
    </row>
    <row r="335" spans="1:9" x14ac:dyDescent="0.3">
      <c r="A335" t="s">
        <v>1076</v>
      </c>
      <c r="B335" s="18" t="s">
        <v>341</v>
      </c>
      <c r="C335" s="18" t="s">
        <v>350</v>
      </c>
      <c r="D335" s="18" t="s">
        <v>353</v>
      </c>
      <c r="E335" s="18" t="s">
        <v>2062</v>
      </c>
      <c r="F335" s="18">
        <v>2825</v>
      </c>
      <c r="G335" s="18">
        <v>1734</v>
      </c>
      <c r="H335" s="18">
        <v>327</v>
      </c>
      <c r="I335" s="18">
        <v>764</v>
      </c>
    </row>
    <row r="336" spans="1:9" x14ac:dyDescent="0.3">
      <c r="A336" t="s">
        <v>1971</v>
      </c>
      <c r="B336" s="18" t="s">
        <v>341</v>
      </c>
      <c r="C336" s="18" t="s">
        <v>350</v>
      </c>
      <c r="D336" s="18" t="s">
        <v>361</v>
      </c>
      <c r="E336" s="18" t="s">
        <v>2062</v>
      </c>
      <c r="F336" s="18">
        <v>687</v>
      </c>
      <c r="G336" s="18">
        <v>366</v>
      </c>
      <c r="H336" s="18">
        <v>125</v>
      </c>
      <c r="I336" s="18">
        <v>196</v>
      </c>
    </row>
    <row r="337" spans="1:9" x14ac:dyDescent="0.3">
      <c r="A337" t="s">
        <v>1590</v>
      </c>
      <c r="B337" s="18" t="s">
        <v>341</v>
      </c>
      <c r="C337" s="18" t="s">
        <v>350</v>
      </c>
      <c r="D337" s="18" t="s">
        <v>354</v>
      </c>
      <c r="E337" s="18" t="s">
        <v>2062</v>
      </c>
      <c r="F337" s="18">
        <v>911</v>
      </c>
      <c r="G337" s="18">
        <v>533</v>
      </c>
      <c r="H337" s="18">
        <v>83</v>
      </c>
      <c r="I337" s="18">
        <v>295</v>
      </c>
    </row>
    <row r="338" spans="1:9" x14ac:dyDescent="0.3">
      <c r="A338" t="s">
        <v>1968</v>
      </c>
      <c r="B338" s="18" t="s">
        <v>341</v>
      </c>
      <c r="C338" s="18" t="s">
        <v>350</v>
      </c>
      <c r="D338" s="18" t="s">
        <v>355</v>
      </c>
      <c r="E338" s="18" t="s">
        <v>2062</v>
      </c>
      <c r="F338" s="18">
        <v>189</v>
      </c>
      <c r="G338" s="18">
        <v>100</v>
      </c>
      <c r="H338" s="18">
        <v>38</v>
      </c>
      <c r="I338" s="18">
        <v>51</v>
      </c>
    </row>
    <row r="339" spans="1:9" x14ac:dyDescent="0.3">
      <c r="A339" t="s">
        <v>1027</v>
      </c>
      <c r="B339" s="18" t="s">
        <v>341</v>
      </c>
      <c r="C339" s="18" t="s">
        <v>350</v>
      </c>
      <c r="D339" s="18" t="s">
        <v>153</v>
      </c>
      <c r="E339" s="18" t="s">
        <v>2062</v>
      </c>
      <c r="F339" s="18">
        <v>618</v>
      </c>
      <c r="G339" s="18">
        <v>277</v>
      </c>
      <c r="H339" s="18">
        <v>85</v>
      </c>
      <c r="I339" s="18">
        <v>256</v>
      </c>
    </row>
    <row r="340" spans="1:9" x14ac:dyDescent="0.3">
      <c r="A340" t="s">
        <v>1591</v>
      </c>
      <c r="B340" s="18" t="s">
        <v>341</v>
      </c>
      <c r="C340" s="18" t="s">
        <v>350</v>
      </c>
      <c r="D340" s="18" t="s">
        <v>356</v>
      </c>
      <c r="E340" s="18" t="s">
        <v>2062</v>
      </c>
      <c r="F340" s="18">
        <v>414</v>
      </c>
      <c r="G340" s="18">
        <v>246</v>
      </c>
      <c r="H340" s="18">
        <v>14</v>
      </c>
      <c r="I340" s="18">
        <v>154</v>
      </c>
    </row>
    <row r="341" spans="1:9" x14ac:dyDescent="0.3">
      <c r="A341" t="s">
        <v>1969</v>
      </c>
      <c r="B341" s="18" t="s">
        <v>341</v>
      </c>
      <c r="C341" s="18" t="s">
        <v>350</v>
      </c>
      <c r="D341" s="18" t="s">
        <v>357</v>
      </c>
      <c r="E341" s="18" t="s">
        <v>2062</v>
      </c>
      <c r="F341" s="18">
        <v>627</v>
      </c>
      <c r="G341" s="18">
        <v>418</v>
      </c>
      <c r="H341" s="18">
        <v>39</v>
      </c>
      <c r="I341" s="18">
        <v>170</v>
      </c>
    </row>
    <row r="342" spans="1:9" x14ac:dyDescent="0.3">
      <c r="A342" t="s">
        <v>1594</v>
      </c>
      <c r="B342" s="18" t="s">
        <v>341</v>
      </c>
      <c r="C342" s="18" t="s">
        <v>350</v>
      </c>
      <c r="D342" s="18" t="s">
        <v>362</v>
      </c>
      <c r="E342" s="18" t="s">
        <v>2062</v>
      </c>
      <c r="F342" s="18">
        <v>479</v>
      </c>
      <c r="G342" s="18">
        <v>234</v>
      </c>
      <c r="H342" s="18">
        <v>52</v>
      </c>
      <c r="I342" s="18">
        <v>193</v>
      </c>
    </row>
    <row r="343" spans="1:9" x14ac:dyDescent="0.3">
      <c r="A343" t="s">
        <v>1595</v>
      </c>
      <c r="B343" s="18" t="s">
        <v>341</v>
      </c>
      <c r="C343" s="18" t="s">
        <v>350</v>
      </c>
      <c r="D343" s="18" t="s">
        <v>364</v>
      </c>
      <c r="E343" s="18" t="s">
        <v>2062</v>
      </c>
      <c r="F343" s="18">
        <v>613</v>
      </c>
      <c r="G343" s="18">
        <v>399</v>
      </c>
      <c r="H343" s="18">
        <v>58</v>
      </c>
      <c r="I343" s="18">
        <v>156</v>
      </c>
    </row>
    <row r="344" spans="1:9" x14ac:dyDescent="0.3">
      <c r="A344" t="s">
        <v>1592</v>
      </c>
      <c r="B344" s="18" t="s">
        <v>341</v>
      </c>
      <c r="C344" s="18" t="s">
        <v>350</v>
      </c>
      <c r="D344" s="18" t="s">
        <v>358</v>
      </c>
      <c r="E344" s="18" t="s">
        <v>2062</v>
      </c>
      <c r="F344" s="18">
        <v>1190</v>
      </c>
      <c r="G344" s="18">
        <v>812</v>
      </c>
      <c r="H344" s="18">
        <v>46</v>
      </c>
      <c r="I344" s="18">
        <v>332</v>
      </c>
    </row>
    <row r="345" spans="1:9" x14ac:dyDescent="0.3">
      <c r="A345" t="s">
        <v>1970</v>
      </c>
      <c r="B345" s="18" t="s">
        <v>341</v>
      </c>
      <c r="C345" s="18" t="s">
        <v>350</v>
      </c>
      <c r="D345" s="18" t="s">
        <v>359</v>
      </c>
      <c r="E345" s="18" t="s">
        <v>2062</v>
      </c>
      <c r="F345" s="18">
        <v>450</v>
      </c>
      <c r="G345" s="18">
        <v>216</v>
      </c>
      <c r="H345" s="18">
        <v>74</v>
      </c>
      <c r="I345" s="18">
        <v>160</v>
      </c>
    </row>
    <row r="346" spans="1:9" x14ac:dyDescent="0.3">
      <c r="A346" t="s">
        <v>1593</v>
      </c>
      <c r="B346" s="18" t="s">
        <v>341</v>
      </c>
      <c r="C346" s="18" t="s">
        <v>350</v>
      </c>
      <c r="D346" s="18" t="s">
        <v>360</v>
      </c>
      <c r="E346" s="18" t="s">
        <v>2062</v>
      </c>
      <c r="F346" s="18">
        <v>1990</v>
      </c>
      <c r="G346" s="18">
        <v>1094</v>
      </c>
      <c r="H346" s="18">
        <v>234</v>
      </c>
      <c r="I346" s="18">
        <v>662</v>
      </c>
    </row>
    <row r="347" spans="1:9" x14ac:dyDescent="0.3">
      <c r="A347" t="s">
        <v>1972</v>
      </c>
      <c r="B347" s="18" t="s">
        <v>341</v>
      </c>
      <c r="C347" s="18" t="s">
        <v>350</v>
      </c>
      <c r="D347" s="18" t="s">
        <v>363</v>
      </c>
      <c r="E347" s="18" t="s">
        <v>2062</v>
      </c>
      <c r="F347" s="18">
        <v>367</v>
      </c>
      <c r="G347" s="18">
        <v>237</v>
      </c>
      <c r="H347" s="18">
        <v>47</v>
      </c>
      <c r="I347" s="18">
        <v>83</v>
      </c>
    </row>
    <row r="348" spans="1:9" x14ac:dyDescent="0.3">
      <c r="A348" t="s">
        <v>1966</v>
      </c>
      <c r="B348" s="18" t="s">
        <v>341</v>
      </c>
      <c r="C348" s="18" t="s">
        <v>350</v>
      </c>
      <c r="D348" s="18" t="s">
        <v>351</v>
      </c>
      <c r="E348" s="18" t="s">
        <v>2062</v>
      </c>
      <c r="F348" s="18">
        <v>1783</v>
      </c>
      <c r="G348" s="18">
        <v>954</v>
      </c>
      <c r="H348" s="18">
        <v>187</v>
      </c>
      <c r="I348" s="18">
        <v>642</v>
      </c>
    </row>
    <row r="349" spans="1:9" x14ac:dyDescent="0.3">
      <c r="A349" t="s">
        <v>1584</v>
      </c>
      <c r="B349" s="18" t="s">
        <v>341</v>
      </c>
      <c r="C349" s="18" t="s">
        <v>341</v>
      </c>
      <c r="D349" s="18" t="s">
        <v>342</v>
      </c>
      <c r="E349" s="18" t="s">
        <v>2062</v>
      </c>
      <c r="F349" s="18">
        <v>1285</v>
      </c>
      <c r="G349" s="18">
        <v>598</v>
      </c>
      <c r="H349" s="18">
        <v>140</v>
      </c>
      <c r="I349" s="18">
        <v>547</v>
      </c>
    </row>
    <row r="350" spans="1:9" x14ac:dyDescent="0.3">
      <c r="A350" t="s">
        <v>1585</v>
      </c>
      <c r="B350" s="18" t="s">
        <v>341</v>
      </c>
      <c r="C350" s="18" t="s">
        <v>341</v>
      </c>
      <c r="D350" s="18" t="s">
        <v>344</v>
      </c>
      <c r="E350" s="18" t="s">
        <v>2062</v>
      </c>
      <c r="F350" s="18">
        <v>1658</v>
      </c>
      <c r="G350" s="18">
        <v>807</v>
      </c>
      <c r="H350" s="18">
        <v>337</v>
      </c>
      <c r="I350" s="18">
        <v>514</v>
      </c>
    </row>
    <row r="351" spans="1:9" x14ac:dyDescent="0.3">
      <c r="A351" t="s">
        <v>1965</v>
      </c>
      <c r="B351" s="18" t="s">
        <v>341</v>
      </c>
      <c r="C351" s="18" t="s">
        <v>341</v>
      </c>
      <c r="D351" s="18" t="s">
        <v>343</v>
      </c>
      <c r="E351" s="18" t="s">
        <v>2062</v>
      </c>
      <c r="F351" s="18">
        <v>955</v>
      </c>
      <c r="G351" s="18">
        <v>574</v>
      </c>
      <c r="H351" s="18">
        <v>104</v>
      </c>
      <c r="I351" s="18">
        <v>277</v>
      </c>
    </row>
    <row r="352" spans="1:9" x14ac:dyDescent="0.3">
      <c r="A352" t="s">
        <v>1445</v>
      </c>
      <c r="B352" s="18" t="s">
        <v>341</v>
      </c>
      <c r="C352" s="18" t="s">
        <v>341</v>
      </c>
      <c r="D352" s="18" t="s">
        <v>341</v>
      </c>
      <c r="E352" s="18" t="s">
        <v>2062</v>
      </c>
      <c r="F352" s="18">
        <v>54673</v>
      </c>
      <c r="G352" s="18">
        <v>26711</v>
      </c>
      <c r="H352" s="18">
        <v>8981</v>
      </c>
      <c r="I352" s="18">
        <v>18981</v>
      </c>
    </row>
    <row r="353" spans="1:9" x14ac:dyDescent="0.3">
      <c r="A353" t="s">
        <v>1586</v>
      </c>
      <c r="B353" s="18" t="s">
        <v>341</v>
      </c>
      <c r="C353" s="18" t="s">
        <v>341</v>
      </c>
      <c r="D353" s="18" t="s">
        <v>345</v>
      </c>
      <c r="E353" s="18" t="s">
        <v>2062</v>
      </c>
      <c r="F353" s="18">
        <v>1133</v>
      </c>
      <c r="G353" s="18">
        <v>607</v>
      </c>
      <c r="H353" s="18">
        <v>218</v>
      </c>
      <c r="I353" s="18">
        <v>308</v>
      </c>
    </row>
    <row r="354" spans="1:9" x14ac:dyDescent="0.3">
      <c r="A354" t="s">
        <v>1587</v>
      </c>
      <c r="B354" s="18" t="s">
        <v>341</v>
      </c>
      <c r="C354" s="18" t="s">
        <v>341</v>
      </c>
      <c r="D354" s="18" t="s">
        <v>346</v>
      </c>
      <c r="E354" s="18" t="s">
        <v>2062</v>
      </c>
      <c r="F354" s="18">
        <v>2564</v>
      </c>
      <c r="G354" s="18">
        <v>1297</v>
      </c>
      <c r="H354" s="18">
        <v>367</v>
      </c>
      <c r="I354" s="18">
        <v>900</v>
      </c>
    </row>
    <row r="355" spans="1:9" x14ac:dyDescent="0.3">
      <c r="A355" t="s">
        <v>1588</v>
      </c>
      <c r="B355" s="18" t="s">
        <v>341</v>
      </c>
      <c r="C355" s="18" t="s">
        <v>341</v>
      </c>
      <c r="D355" s="18" t="s">
        <v>347</v>
      </c>
      <c r="E355" s="18" t="s">
        <v>2062</v>
      </c>
      <c r="F355" s="18">
        <v>941</v>
      </c>
      <c r="G355" s="18">
        <v>440</v>
      </c>
      <c r="H355" s="18">
        <v>140</v>
      </c>
      <c r="I355" s="18">
        <v>361</v>
      </c>
    </row>
    <row r="356" spans="1:9" x14ac:dyDescent="0.3">
      <c r="A356" t="s">
        <v>1370</v>
      </c>
      <c r="B356" s="18" t="s">
        <v>341</v>
      </c>
      <c r="C356" s="18" t="s">
        <v>341</v>
      </c>
      <c r="D356" s="18" t="s">
        <v>348</v>
      </c>
      <c r="E356" s="18" t="s">
        <v>2062</v>
      </c>
      <c r="F356" s="18">
        <v>2064</v>
      </c>
      <c r="G356" s="18">
        <v>1148</v>
      </c>
      <c r="H356" s="18">
        <v>228</v>
      </c>
      <c r="I356" s="18">
        <v>688</v>
      </c>
    </row>
    <row r="357" spans="1:9" x14ac:dyDescent="0.3">
      <c r="A357" t="s">
        <v>1444</v>
      </c>
      <c r="B357" s="18" t="s">
        <v>341</v>
      </c>
      <c r="C357" s="18" t="s">
        <v>341</v>
      </c>
      <c r="D357" s="18" t="s">
        <v>349</v>
      </c>
      <c r="E357" s="18" t="s">
        <v>2062</v>
      </c>
      <c r="F357" s="18">
        <v>2614</v>
      </c>
      <c r="G357" s="18">
        <v>1287</v>
      </c>
      <c r="H357" s="18">
        <v>423</v>
      </c>
      <c r="I357" s="18">
        <v>904</v>
      </c>
    </row>
    <row r="358" spans="1:9" x14ac:dyDescent="0.3">
      <c r="A358" t="s">
        <v>1596</v>
      </c>
      <c r="B358" s="18" t="s">
        <v>341</v>
      </c>
      <c r="C358" s="18" t="s">
        <v>365</v>
      </c>
      <c r="D358" s="18" t="s">
        <v>90</v>
      </c>
      <c r="E358" s="18" t="s">
        <v>2062</v>
      </c>
      <c r="F358" s="18">
        <v>810</v>
      </c>
      <c r="G358" s="18">
        <v>488</v>
      </c>
      <c r="H358" s="18">
        <v>139</v>
      </c>
      <c r="I358" s="18">
        <v>183</v>
      </c>
    </row>
    <row r="359" spans="1:9" x14ac:dyDescent="0.3">
      <c r="A359" t="s">
        <v>1597</v>
      </c>
      <c r="B359" s="18" t="s">
        <v>341</v>
      </c>
      <c r="C359" s="18" t="s">
        <v>365</v>
      </c>
      <c r="D359" s="18" t="s">
        <v>366</v>
      </c>
      <c r="E359" s="18" t="s">
        <v>2062</v>
      </c>
      <c r="F359" s="18">
        <v>909</v>
      </c>
      <c r="G359" s="18">
        <v>534</v>
      </c>
      <c r="H359" s="18">
        <v>137</v>
      </c>
      <c r="I359" s="18">
        <v>238</v>
      </c>
    </row>
    <row r="360" spans="1:9" x14ac:dyDescent="0.3">
      <c r="A360" t="s">
        <v>1598</v>
      </c>
      <c r="B360" s="18" t="s">
        <v>341</v>
      </c>
      <c r="C360" s="18" t="s">
        <v>365</v>
      </c>
      <c r="D360" s="18" t="s">
        <v>367</v>
      </c>
      <c r="E360" s="18" t="s">
        <v>2062</v>
      </c>
      <c r="F360" s="18">
        <v>599</v>
      </c>
      <c r="G360" s="18">
        <v>317</v>
      </c>
      <c r="H360" s="18">
        <v>129</v>
      </c>
      <c r="I360" s="18">
        <v>153</v>
      </c>
    </row>
    <row r="361" spans="1:9" x14ac:dyDescent="0.3">
      <c r="A361" t="s">
        <v>1453</v>
      </c>
      <c r="B361" s="18" t="s">
        <v>341</v>
      </c>
      <c r="C361" s="18" t="s">
        <v>365</v>
      </c>
      <c r="D361" s="18" t="s">
        <v>365</v>
      </c>
      <c r="E361" s="18" t="s">
        <v>2062</v>
      </c>
      <c r="F361" s="18">
        <v>2975</v>
      </c>
      <c r="G361" s="18">
        <v>1563</v>
      </c>
      <c r="H361" s="18">
        <v>567</v>
      </c>
      <c r="I361" s="18">
        <v>845</v>
      </c>
    </row>
    <row r="362" spans="1:9" x14ac:dyDescent="0.3">
      <c r="A362" t="s">
        <v>1599</v>
      </c>
      <c r="B362" s="18" t="s">
        <v>341</v>
      </c>
      <c r="C362" s="18" t="s">
        <v>365</v>
      </c>
      <c r="D362" s="18" t="s">
        <v>368</v>
      </c>
      <c r="E362" s="18" t="s">
        <v>2062</v>
      </c>
      <c r="F362" s="18">
        <v>193</v>
      </c>
      <c r="G362" s="18">
        <v>94</v>
      </c>
      <c r="H362" s="18">
        <v>44</v>
      </c>
      <c r="I362" s="18">
        <v>55</v>
      </c>
    </row>
    <row r="363" spans="1:9" x14ac:dyDescent="0.3">
      <c r="A363" t="s">
        <v>1600</v>
      </c>
      <c r="B363" s="18" t="s">
        <v>341</v>
      </c>
      <c r="C363" s="18" t="s">
        <v>365</v>
      </c>
      <c r="D363" s="18" t="s">
        <v>369</v>
      </c>
      <c r="E363" s="18" t="s">
        <v>2062</v>
      </c>
      <c r="F363" s="18">
        <v>467</v>
      </c>
      <c r="G363" s="18">
        <v>218</v>
      </c>
      <c r="H363" s="18">
        <v>123</v>
      </c>
      <c r="I363" s="18">
        <v>126</v>
      </c>
    </row>
    <row r="364" spans="1:9" x14ac:dyDescent="0.3">
      <c r="A364" t="s">
        <v>1450</v>
      </c>
      <c r="B364" s="18" t="s">
        <v>341</v>
      </c>
      <c r="C364" s="18" t="s">
        <v>365</v>
      </c>
      <c r="D364" s="18" t="s">
        <v>370</v>
      </c>
      <c r="E364" s="18" t="s">
        <v>2062</v>
      </c>
      <c r="F364" s="18">
        <v>1718</v>
      </c>
      <c r="G364" s="18">
        <v>821</v>
      </c>
      <c r="H364" s="18">
        <v>256</v>
      </c>
      <c r="I364" s="18">
        <v>641</v>
      </c>
    </row>
    <row r="365" spans="1:9" x14ac:dyDescent="0.3">
      <c r="A365" t="s">
        <v>1601</v>
      </c>
      <c r="B365" s="18" t="s">
        <v>341</v>
      </c>
      <c r="C365" s="18" t="s">
        <v>365</v>
      </c>
      <c r="D365" s="18" t="s">
        <v>371</v>
      </c>
      <c r="E365" s="18" t="s">
        <v>2062</v>
      </c>
      <c r="F365" s="18">
        <v>2528</v>
      </c>
      <c r="G365" s="18">
        <v>1223</v>
      </c>
      <c r="H365" s="18">
        <v>508</v>
      </c>
      <c r="I365" s="18">
        <v>797</v>
      </c>
    </row>
    <row r="366" spans="1:9" x14ac:dyDescent="0.3">
      <c r="A366" t="s">
        <v>1602</v>
      </c>
      <c r="B366" s="18" t="s">
        <v>341</v>
      </c>
      <c r="C366" s="18" t="s">
        <v>365</v>
      </c>
      <c r="D366" s="18" t="s">
        <v>372</v>
      </c>
      <c r="E366" s="18" t="s">
        <v>2062</v>
      </c>
      <c r="F366" s="18">
        <v>1811</v>
      </c>
      <c r="G366" s="18">
        <v>939</v>
      </c>
      <c r="H366" s="18">
        <v>342</v>
      </c>
      <c r="I366" s="18">
        <v>530</v>
      </c>
    </row>
    <row r="367" spans="1:9" x14ac:dyDescent="0.3">
      <c r="A367" t="s">
        <v>1973</v>
      </c>
      <c r="B367" s="18" t="s">
        <v>341</v>
      </c>
      <c r="C367" s="18" t="s">
        <v>373</v>
      </c>
      <c r="D367" s="18" t="s">
        <v>376</v>
      </c>
      <c r="E367" s="18" t="s">
        <v>2062</v>
      </c>
      <c r="F367" s="18">
        <v>1180</v>
      </c>
      <c r="G367" s="18">
        <v>633</v>
      </c>
      <c r="H367" s="18">
        <v>249</v>
      </c>
      <c r="I367" s="18">
        <v>298</v>
      </c>
    </row>
    <row r="368" spans="1:9" x14ac:dyDescent="0.3">
      <c r="A368" t="s">
        <v>1603</v>
      </c>
      <c r="B368" s="18" t="s">
        <v>341</v>
      </c>
      <c r="C368" s="18" t="s">
        <v>373</v>
      </c>
      <c r="D368" s="18" t="s">
        <v>375</v>
      </c>
      <c r="E368" s="18" t="s">
        <v>2062</v>
      </c>
      <c r="F368" s="18">
        <v>2793</v>
      </c>
      <c r="G368" s="18">
        <v>1730</v>
      </c>
      <c r="H368" s="18">
        <v>450</v>
      </c>
      <c r="I368" s="18">
        <v>613</v>
      </c>
    </row>
    <row r="369" spans="1:9" x14ac:dyDescent="0.3">
      <c r="A369" t="s">
        <v>1605</v>
      </c>
      <c r="B369" s="18" t="s">
        <v>341</v>
      </c>
      <c r="C369" s="18" t="s">
        <v>373</v>
      </c>
      <c r="D369" s="18" t="s">
        <v>80</v>
      </c>
      <c r="E369" s="18" t="s">
        <v>2062</v>
      </c>
      <c r="F369" s="18">
        <v>11747</v>
      </c>
      <c r="G369" s="18">
        <v>7833</v>
      </c>
      <c r="H369" s="18">
        <v>1128</v>
      </c>
      <c r="I369" s="18">
        <v>2786</v>
      </c>
    </row>
    <row r="370" spans="1:9" x14ac:dyDescent="0.3">
      <c r="A370" t="s">
        <v>1974</v>
      </c>
      <c r="B370" s="18" t="s">
        <v>341</v>
      </c>
      <c r="C370" s="18" t="s">
        <v>373</v>
      </c>
      <c r="D370" s="18" t="s">
        <v>377</v>
      </c>
      <c r="E370" s="18" t="s">
        <v>2062</v>
      </c>
      <c r="F370" s="18">
        <v>7063</v>
      </c>
      <c r="G370" s="18">
        <v>4324</v>
      </c>
      <c r="H370" s="18">
        <v>932</v>
      </c>
      <c r="I370" s="18">
        <v>1807</v>
      </c>
    </row>
    <row r="371" spans="1:9" x14ac:dyDescent="0.3">
      <c r="A371" t="s">
        <v>1404</v>
      </c>
      <c r="B371" s="18" t="s">
        <v>341</v>
      </c>
      <c r="C371" s="18" t="s">
        <v>373</v>
      </c>
      <c r="D371" s="18" t="s">
        <v>374</v>
      </c>
      <c r="E371" s="18" t="s">
        <v>2062</v>
      </c>
      <c r="F371" s="18">
        <v>18776</v>
      </c>
      <c r="G371" s="18">
        <v>11331</v>
      </c>
      <c r="H371" s="18">
        <v>2395</v>
      </c>
      <c r="I371" s="18">
        <v>5050</v>
      </c>
    </row>
    <row r="372" spans="1:9" x14ac:dyDescent="0.3">
      <c r="A372" t="s">
        <v>1604</v>
      </c>
      <c r="B372" s="18" t="s">
        <v>341</v>
      </c>
      <c r="C372" s="18" t="s">
        <v>373</v>
      </c>
      <c r="D372" s="18" t="s">
        <v>378</v>
      </c>
      <c r="E372" s="18" t="s">
        <v>2062</v>
      </c>
      <c r="F372" s="18">
        <v>1825</v>
      </c>
      <c r="G372" s="18">
        <v>912</v>
      </c>
      <c r="H372" s="18">
        <v>220</v>
      </c>
      <c r="I372" s="18">
        <v>693</v>
      </c>
    </row>
    <row r="373" spans="1:9" x14ac:dyDescent="0.3">
      <c r="A373" t="s">
        <v>1614</v>
      </c>
      <c r="B373" s="18" t="s">
        <v>341</v>
      </c>
      <c r="C373" s="18" t="s">
        <v>393</v>
      </c>
      <c r="D373" s="18" t="s">
        <v>394</v>
      </c>
      <c r="E373" s="18" t="s">
        <v>2062</v>
      </c>
      <c r="F373" s="18">
        <v>1405</v>
      </c>
      <c r="G373" s="18">
        <v>854</v>
      </c>
      <c r="H373" s="18">
        <v>189</v>
      </c>
      <c r="I373" s="18">
        <v>362</v>
      </c>
    </row>
    <row r="374" spans="1:9" x14ac:dyDescent="0.3">
      <c r="A374" t="s">
        <v>1983</v>
      </c>
      <c r="B374" s="18" t="s">
        <v>341</v>
      </c>
      <c r="C374" s="18" t="s">
        <v>393</v>
      </c>
      <c r="D374" s="18" t="s">
        <v>395</v>
      </c>
      <c r="E374" s="18" t="s">
        <v>2062</v>
      </c>
      <c r="F374" s="18">
        <v>1479</v>
      </c>
      <c r="G374" s="18">
        <v>1141</v>
      </c>
      <c r="H374" s="18">
        <v>51</v>
      </c>
      <c r="I374" s="18">
        <v>287</v>
      </c>
    </row>
    <row r="375" spans="1:9" x14ac:dyDescent="0.3">
      <c r="A375" t="s">
        <v>1615</v>
      </c>
      <c r="B375" s="18" t="s">
        <v>341</v>
      </c>
      <c r="C375" s="18" t="s">
        <v>393</v>
      </c>
      <c r="D375" s="18" t="s">
        <v>396</v>
      </c>
      <c r="E375" s="18" t="s">
        <v>2062</v>
      </c>
      <c r="F375" s="18">
        <v>1873</v>
      </c>
      <c r="G375" s="18">
        <v>1184</v>
      </c>
      <c r="H375" s="18">
        <v>246</v>
      </c>
      <c r="I375" s="18">
        <v>443</v>
      </c>
    </row>
    <row r="376" spans="1:9" x14ac:dyDescent="0.3">
      <c r="A376" t="s">
        <v>1616</v>
      </c>
      <c r="B376" s="18" t="s">
        <v>341</v>
      </c>
      <c r="C376" s="18" t="s">
        <v>393</v>
      </c>
      <c r="D376" s="18" t="s">
        <v>397</v>
      </c>
      <c r="E376" s="18" t="s">
        <v>2062</v>
      </c>
      <c r="F376" s="18">
        <v>1651</v>
      </c>
      <c r="G376" s="18">
        <v>837</v>
      </c>
      <c r="H376" s="18">
        <v>318</v>
      </c>
      <c r="I376" s="18">
        <v>496</v>
      </c>
    </row>
    <row r="377" spans="1:9" x14ac:dyDescent="0.3">
      <c r="A377" t="s">
        <v>1613</v>
      </c>
      <c r="B377" s="18" t="s">
        <v>341</v>
      </c>
      <c r="C377" s="18" t="s">
        <v>393</v>
      </c>
      <c r="D377" s="18" t="s">
        <v>393</v>
      </c>
      <c r="E377" s="18" t="s">
        <v>2062</v>
      </c>
      <c r="F377" s="18">
        <v>2240</v>
      </c>
      <c r="G377" s="18">
        <v>1092</v>
      </c>
      <c r="H377" s="18">
        <v>497</v>
      </c>
      <c r="I377" s="18">
        <v>651</v>
      </c>
    </row>
    <row r="378" spans="1:9" x14ac:dyDescent="0.3">
      <c r="A378" t="s">
        <v>1183</v>
      </c>
      <c r="B378" s="18" t="s">
        <v>341</v>
      </c>
      <c r="C378" s="18" t="s">
        <v>393</v>
      </c>
      <c r="D378" s="18" t="s">
        <v>398</v>
      </c>
      <c r="E378" s="18" t="s">
        <v>2062</v>
      </c>
      <c r="F378" s="18">
        <v>1969</v>
      </c>
      <c r="G378" s="18">
        <v>1053</v>
      </c>
      <c r="H378" s="18">
        <v>323</v>
      </c>
      <c r="I378" s="18">
        <v>593</v>
      </c>
    </row>
    <row r="379" spans="1:9" x14ac:dyDescent="0.3">
      <c r="A379" t="s">
        <v>1978</v>
      </c>
      <c r="B379" s="18" t="s">
        <v>341</v>
      </c>
      <c r="C379" s="18" t="s">
        <v>95</v>
      </c>
      <c r="D379" s="18" t="s">
        <v>383</v>
      </c>
      <c r="E379" s="18" t="s">
        <v>2062</v>
      </c>
      <c r="F379" s="18">
        <v>83</v>
      </c>
      <c r="G379" s="18">
        <v>28</v>
      </c>
      <c r="H379" s="18">
        <v>22</v>
      </c>
      <c r="I379" s="18">
        <v>33</v>
      </c>
    </row>
    <row r="380" spans="1:9" x14ac:dyDescent="0.3">
      <c r="A380" t="s">
        <v>1975</v>
      </c>
      <c r="B380" s="18" t="s">
        <v>341</v>
      </c>
      <c r="C380" s="18" t="s">
        <v>95</v>
      </c>
      <c r="D380" s="18" t="s">
        <v>379</v>
      </c>
      <c r="E380" s="18" t="s">
        <v>2062</v>
      </c>
      <c r="F380" s="18">
        <v>544</v>
      </c>
      <c r="G380" s="18">
        <v>324</v>
      </c>
      <c r="H380" s="18">
        <v>58</v>
      </c>
      <c r="I380" s="18">
        <v>162</v>
      </c>
    </row>
    <row r="381" spans="1:9" x14ac:dyDescent="0.3">
      <c r="A381" t="s">
        <v>1606</v>
      </c>
      <c r="B381" s="18" t="s">
        <v>341</v>
      </c>
      <c r="C381" s="18" t="s">
        <v>95</v>
      </c>
      <c r="D381" s="18" t="s">
        <v>380</v>
      </c>
      <c r="E381" s="18" t="s">
        <v>2062</v>
      </c>
      <c r="F381" s="18">
        <v>400</v>
      </c>
      <c r="G381" s="18">
        <v>283</v>
      </c>
      <c r="H381" s="18">
        <v>5</v>
      </c>
      <c r="I381" s="18">
        <v>112</v>
      </c>
    </row>
    <row r="382" spans="1:9" x14ac:dyDescent="0.3">
      <c r="A382" t="s">
        <v>1976</v>
      </c>
      <c r="B382" s="18" t="s">
        <v>341</v>
      </c>
      <c r="C382" s="18" t="s">
        <v>95</v>
      </c>
      <c r="D382" s="18" t="s">
        <v>381</v>
      </c>
      <c r="E382" s="18" t="s">
        <v>2062</v>
      </c>
      <c r="F382" s="18">
        <v>333</v>
      </c>
      <c r="G382" s="18">
        <v>236</v>
      </c>
      <c r="H382" s="18">
        <v>27</v>
      </c>
      <c r="I382" s="18">
        <v>70</v>
      </c>
    </row>
    <row r="383" spans="1:9" x14ac:dyDescent="0.3">
      <c r="A383" t="s">
        <v>1977</v>
      </c>
      <c r="B383" s="18" t="s">
        <v>341</v>
      </c>
      <c r="C383" s="18" t="s">
        <v>95</v>
      </c>
      <c r="D383" s="18" t="s">
        <v>382</v>
      </c>
      <c r="E383" s="18" t="s">
        <v>2062</v>
      </c>
      <c r="F383" s="18">
        <v>370</v>
      </c>
      <c r="G383" s="18">
        <v>210</v>
      </c>
      <c r="H383" s="18">
        <v>54</v>
      </c>
      <c r="I383" s="18">
        <v>106</v>
      </c>
    </row>
    <row r="384" spans="1:9" x14ac:dyDescent="0.3">
      <c r="A384" t="s">
        <v>1172</v>
      </c>
      <c r="B384" s="18" t="s">
        <v>341</v>
      </c>
      <c r="C384" s="18" t="s">
        <v>95</v>
      </c>
      <c r="D384" s="18" t="s">
        <v>171</v>
      </c>
      <c r="E384" s="18" t="s">
        <v>2062</v>
      </c>
      <c r="F384" s="18">
        <v>626</v>
      </c>
      <c r="G384" s="18">
        <v>261</v>
      </c>
      <c r="H384" s="18">
        <v>119</v>
      </c>
      <c r="I384" s="18">
        <v>246</v>
      </c>
    </row>
    <row r="385" spans="1:9" x14ac:dyDescent="0.3">
      <c r="A385" t="s">
        <v>1607</v>
      </c>
      <c r="B385" s="18" t="s">
        <v>341</v>
      </c>
      <c r="C385" s="18" t="s">
        <v>95</v>
      </c>
      <c r="D385" s="18" t="s">
        <v>384</v>
      </c>
      <c r="E385" s="18" t="s">
        <v>2062</v>
      </c>
      <c r="F385" s="18">
        <v>329</v>
      </c>
      <c r="G385" s="18">
        <v>175</v>
      </c>
      <c r="H385" s="18">
        <v>30</v>
      </c>
      <c r="I385" s="18">
        <v>124</v>
      </c>
    </row>
    <row r="386" spans="1:9" x14ac:dyDescent="0.3">
      <c r="A386" t="s">
        <v>1979</v>
      </c>
      <c r="B386" s="18" t="s">
        <v>341</v>
      </c>
      <c r="C386" s="18" t="s">
        <v>95</v>
      </c>
      <c r="D386" s="18" t="s">
        <v>385</v>
      </c>
      <c r="E386" s="18" t="s">
        <v>2062</v>
      </c>
      <c r="F386" s="18">
        <v>251</v>
      </c>
      <c r="G386" s="18">
        <v>121</v>
      </c>
      <c r="H386" s="18">
        <v>65</v>
      </c>
      <c r="I386" s="18">
        <v>65</v>
      </c>
    </row>
    <row r="387" spans="1:9" x14ac:dyDescent="0.3">
      <c r="A387" t="s">
        <v>1396</v>
      </c>
      <c r="B387" s="18" t="s">
        <v>341</v>
      </c>
      <c r="C387" s="18" t="s">
        <v>95</v>
      </c>
      <c r="D387" s="18" t="s">
        <v>95</v>
      </c>
      <c r="E387" s="18" t="s">
        <v>2062</v>
      </c>
      <c r="F387" s="18">
        <v>9436</v>
      </c>
      <c r="G387" s="18">
        <v>5446</v>
      </c>
      <c r="H387" s="18">
        <v>977</v>
      </c>
      <c r="I387" s="18">
        <v>3013</v>
      </c>
    </row>
    <row r="388" spans="1:9" x14ac:dyDescent="0.3">
      <c r="A388" t="s">
        <v>1980</v>
      </c>
      <c r="B388" s="18" t="s">
        <v>341</v>
      </c>
      <c r="C388" s="18" t="s">
        <v>95</v>
      </c>
      <c r="D388" s="18" t="s">
        <v>386</v>
      </c>
      <c r="E388" s="18" t="s">
        <v>2062</v>
      </c>
      <c r="F388" s="18">
        <v>494</v>
      </c>
      <c r="G388" s="18">
        <v>250</v>
      </c>
      <c r="H388" s="18">
        <v>29</v>
      </c>
      <c r="I388" s="18">
        <v>215</v>
      </c>
    </row>
    <row r="389" spans="1:9" x14ac:dyDescent="0.3">
      <c r="A389" t="s">
        <v>1981</v>
      </c>
      <c r="B389" s="18" t="s">
        <v>341</v>
      </c>
      <c r="C389" s="18" t="s">
        <v>95</v>
      </c>
      <c r="D389" s="18" t="s">
        <v>387</v>
      </c>
      <c r="E389" s="18" t="s">
        <v>2062</v>
      </c>
      <c r="F389" s="18">
        <v>447</v>
      </c>
      <c r="G389" s="18">
        <v>262</v>
      </c>
      <c r="H389" s="18">
        <v>58</v>
      </c>
      <c r="I389" s="18">
        <v>127</v>
      </c>
    </row>
    <row r="390" spans="1:9" x14ac:dyDescent="0.3">
      <c r="A390" t="s">
        <v>1608</v>
      </c>
      <c r="B390" s="18" t="s">
        <v>341</v>
      </c>
      <c r="C390" s="18" t="s">
        <v>95</v>
      </c>
      <c r="D390" s="18" t="s">
        <v>388</v>
      </c>
      <c r="E390" s="18" t="s">
        <v>2062</v>
      </c>
      <c r="F390" s="18">
        <v>767</v>
      </c>
      <c r="G390" s="18">
        <v>483</v>
      </c>
      <c r="H390" s="18">
        <v>64</v>
      </c>
      <c r="I390" s="18">
        <v>220</v>
      </c>
    </row>
    <row r="391" spans="1:9" x14ac:dyDescent="0.3">
      <c r="A391" t="s">
        <v>1982</v>
      </c>
      <c r="B391" s="18" t="s">
        <v>341</v>
      </c>
      <c r="C391" s="18" t="s">
        <v>95</v>
      </c>
      <c r="D391" s="18" t="s">
        <v>157</v>
      </c>
      <c r="E391" s="18" t="s">
        <v>2062</v>
      </c>
      <c r="F391" s="18">
        <v>169</v>
      </c>
      <c r="G391" s="18">
        <v>47</v>
      </c>
      <c r="H391" s="18">
        <v>65</v>
      </c>
      <c r="I391" s="18">
        <v>57</v>
      </c>
    </row>
    <row r="392" spans="1:9" x14ac:dyDescent="0.3">
      <c r="A392" t="s">
        <v>1861</v>
      </c>
      <c r="B392" s="18" t="s">
        <v>906</v>
      </c>
      <c r="C392" s="18" t="s">
        <v>909</v>
      </c>
      <c r="D392" s="18" t="s">
        <v>910</v>
      </c>
      <c r="E392" s="18" t="s">
        <v>2062</v>
      </c>
      <c r="F392" s="18">
        <v>1015</v>
      </c>
      <c r="G392" s="18">
        <v>846</v>
      </c>
      <c r="H392" s="18">
        <v>34</v>
      </c>
      <c r="I392" s="18">
        <v>135</v>
      </c>
    </row>
    <row r="393" spans="1:9" x14ac:dyDescent="0.3">
      <c r="A393" t="s">
        <v>1862</v>
      </c>
      <c r="B393" s="18" t="s">
        <v>906</v>
      </c>
      <c r="C393" s="18" t="s">
        <v>909</v>
      </c>
      <c r="D393" s="18" t="s">
        <v>911</v>
      </c>
      <c r="E393" s="18" t="s">
        <v>2062</v>
      </c>
      <c r="F393" s="18">
        <v>137</v>
      </c>
      <c r="G393" s="18">
        <v>96</v>
      </c>
      <c r="H393" s="18">
        <v>13</v>
      </c>
      <c r="I393" s="18">
        <v>28</v>
      </c>
    </row>
    <row r="394" spans="1:9" x14ac:dyDescent="0.3">
      <c r="A394" t="s">
        <v>1859</v>
      </c>
      <c r="B394" s="18" t="s">
        <v>906</v>
      </c>
      <c r="C394" s="18" t="s">
        <v>57</v>
      </c>
      <c r="D394" s="18" t="s">
        <v>50</v>
      </c>
      <c r="E394" s="18" t="s">
        <v>2062</v>
      </c>
      <c r="F394" s="18">
        <v>349</v>
      </c>
      <c r="G394" s="18">
        <v>259</v>
      </c>
      <c r="H394" s="18">
        <v>23</v>
      </c>
      <c r="I394" s="18">
        <v>67</v>
      </c>
    </row>
    <row r="395" spans="1:9" x14ac:dyDescent="0.3">
      <c r="A395" t="s">
        <v>1860</v>
      </c>
      <c r="B395" s="18" t="s">
        <v>906</v>
      </c>
      <c r="C395" s="18" t="s">
        <v>57</v>
      </c>
      <c r="D395" s="18" t="s">
        <v>908</v>
      </c>
      <c r="E395" s="18" t="s">
        <v>2062</v>
      </c>
      <c r="F395" s="18">
        <v>59</v>
      </c>
      <c r="G395" s="18">
        <v>50</v>
      </c>
      <c r="H395" s="18"/>
      <c r="I395" s="18">
        <v>9</v>
      </c>
    </row>
    <row r="396" spans="1:9" x14ac:dyDescent="0.3">
      <c r="A396" t="s">
        <v>1858</v>
      </c>
      <c r="B396" s="18" t="s">
        <v>906</v>
      </c>
      <c r="C396" s="18" t="s">
        <v>57</v>
      </c>
      <c r="D396" s="18" t="s">
        <v>907</v>
      </c>
      <c r="E396" s="18" t="s">
        <v>2062</v>
      </c>
      <c r="F396" s="18">
        <v>2752</v>
      </c>
      <c r="G396" s="18">
        <v>2098</v>
      </c>
      <c r="H396" s="18">
        <v>152</v>
      </c>
      <c r="I396" s="18">
        <v>502</v>
      </c>
    </row>
    <row r="397" spans="1:9" x14ac:dyDescent="0.3">
      <c r="A397" t="s">
        <v>1864</v>
      </c>
      <c r="B397" s="18" t="s">
        <v>906</v>
      </c>
      <c r="C397" s="18" t="s">
        <v>912</v>
      </c>
      <c r="D397" s="18" t="s">
        <v>914</v>
      </c>
      <c r="E397" s="18" t="s">
        <v>2062</v>
      </c>
      <c r="F397" s="18">
        <v>1498</v>
      </c>
      <c r="G397" s="18">
        <v>1154</v>
      </c>
      <c r="H397" s="18">
        <v>66</v>
      </c>
      <c r="I397" s="18">
        <v>278</v>
      </c>
    </row>
    <row r="398" spans="1:9" x14ac:dyDescent="0.3">
      <c r="A398" t="s">
        <v>1863</v>
      </c>
      <c r="B398" s="18" t="s">
        <v>906</v>
      </c>
      <c r="C398" s="18" t="s">
        <v>912</v>
      </c>
      <c r="D398" s="18" t="s">
        <v>913</v>
      </c>
      <c r="E398" s="18" t="s">
        <v>2062</v>
      </c>
      <c r="F398" s="18">
        <v>4797</v>
      </c>
      <c r="G398" s="18">
        <v>3858</v>
      </c>
      <c r="H398" s="18">
        <v>214</v>
      </c>
      <c r="I398" s="18">
        <v>725</v>
      </c>
    </row>
    <row r="399" spans="1:9" x14ac:dyDescent="0.3">
      <c r="A399" t="s">
        <v>1865</v>
      </c>
      <c r="B399" s="18" t="s">
        <v>906</v>
      </c>
      <c r="C399" s="18" t="s">
        <v>912</v>
      </c>
      <c r="D399" s="18" t="s">
        <v>323</v>
      </c>
      <c r="E399" s="18" t="s">
        <v>2062</v>
      </c>
      <c r="F399" s="18">
        <v>242</v>
      </c>
      <c r="G399" s="18">
        <v>189</v>
      </c>
      <c r="H399" s="18">
        <v>2</v>
      </c>
      <c r="I399" s="18">
        <v>51</v>
      </c>
    </row>
    <row r="400" spans="1:9" x14ac:dyDescent="0.3">
      <c r="A400" t="s">
        <v>1620</v>
      </c>
      <c r="B400" s="18" t="s">
        <v>399</v>
      </c>
      <c r="C400" s="18" t="s">
        <v>406</v>
      </c>
      <c r="D400" s="18" t="s">
        <v>406</v>
      </c>
      <c r="E400" s="18" t="s">
        <v>2062</v>
      </c>
      <c r="F400" s="18">
        <v>8977</v>
      </c>
      <c r="G400" s="18">
        <v>5497</v>
      </c>
      <c r="H400" s="18">
        <v>1050</v>
      </c>
      <c r="I400" s="18">
        <v>2430</v>
      </c>
    </row>
    <row r="401" spans="1:9" x14ac:dyDescent="0.3">
      <c r="A401" t="s">
        <v>1322</v>
      </c>
      <c r="B401" s="18" t="s">
        <v>399</v>
      </c>
      <c r="C401" s="18" t="s">
        <v>407</v>
      </c>
      <c r="D401" s="18" t="s">
        <v>407</v>
      </c>
      <c r="E401" s="18" t="s">
        <v>2062</v>
      </c>
      <c r="F401" s="18">
        <v>8884</v>
      </c>
      <c r="G401" s="18">
        <v>6695</v>
      </c>
      <c r="H401" s="18">
        <v>357</v>
      </c>
      <c r="I401" s="18">
        <v>1832</v>
      </c>
    </row>
    <row r="402" spans="1:9" x14ac:dyDescent="0.3">
      <c r="A402" t="s">
        <v>1280</v>
      </c>
      <c r="B402" s="18" t="s">
        <v>399</v>
      </c>
      <c r="C402" s="18" t="s">
        <v>408</v>
      </c>
      <c r="D402" s="18" t="s">
        <v>408</v>
      </c>
      <c r="E402" s="18" t="s">
        <v>2062</v>
      </c>
      <c r="F402" s="18">
        <v>20038</v>
      </c>
      <c r="G402" s="18">
        <v>11518</v>
      </c>
      <c r="H402" s="18">
        <v>3009</v>
      </c>
      <c r="I402" s="18">
        <v>5511</v>
      </c>
    </row>
    <row r="403" spans="1:9" x14ac:dyDescent="0.3">
      <c r="A403" t="s">
        <v>1194</v>
      </c>
      <c r="B403" s="18" t="s">
        <v>399</v>
      </c>
      <c r="C403" s="18" t="s">
        <v>409</v>
      </c>
      <c r="D403" s="18" t="s">
        <v>409</v>
      </c>
      <c r="E403" s="18" t="s">
        <v>2062</v>
      </c>
      <c r="F403" s="18">
        <v>7396</v>
      </c>
      <c r="G403" s="18">
        <v>3972</v>
      </c>
      <c r="H403" s="18">
        <v>1500</v>
      </c>
      <c r="I403" s="18">
        <v>1924</v>
      </c>
    </row>
    <row r="404" spans="1:9" x14ac:dyDescent="0.3">
      <c r="A404" t="s">
        <v>1984</v>
      </c>
      <c r="B404" s="18" t="s">
        <v>399</v>
      </c>
      <c r="C404" s="18" t="s">
        <v>409</v>
      </c>
      <c r="D404" s="18" t="s">
        <v>410</v>
      </c>
      <c r="E404" s="18" t="s">
        <v>2062</v>
      </c>
      <c r="F404" s="18">
        <v>2256</v>
      </c>
      <c r="G404" s="18">
        <v>1053</v>
      </c>
      <c r="H404" s="18">
        <v>548</v>
      </c>
      <c r="I404" s="18">
        <v>655</v>
      </c>
    </row>
    <row r="405" spans="1:9" x14ac:dyDescent="0.3">
      <c r="A405" t="s">
        <v>1631</v>
      </c>
      <c r="B405" s="18" t="s">
        <v>399</v>
      </c>
      <c r="C405" s="18" t="s">
        <v>446</v>
      </c>
      <c r="D405" s="18" t="s">
        <v>446</v>
      </c>
      <c r="E405" s="18" t="s">
        <v>2062</v>
      </c>
      <c r="F405" s="18">
        <v>5034</v>
      </c>
      <c r="G405" s="18">
        <v>3375</v>
      </c>
      <c r="H405" s="18">
        <v>275</v>
      </c>
      <c r="I405" s="18">
        <v>1384</v>
      </c>
    </row>
    <row r="406" spans="1:9" x14ac:dyDescent="0.3">
      <c r="A406" t="s">
        <v>1260</v>
      </c>
      <c r="B406" s="18" t="s">
        <v>399</v>
      </c>
      <c r="C406" s="18" t="s">
        <v>366</v>
      </c>
      <c r="D406" s="18" t="s">
        <v>366</v>
      </c>
      <c r="E406" s="18" t="s">
        <v>2062</v>
      </c>
      <c r="F406" s="18">
        <v>64366</v>
      </c>
      <c r="G406" s="18">
        <v>43531</v>
      </c>
      <c r="H406" s="18">
        <v>5227</v>
      </c>
      <c r="I406" s="18">
        <v>15608</v>
      </c>
    </row>
    <row r="407" spans="1:9" x14ac:dyDescent="0.3">
      <c r="A407" t="s">
        <v>1621</v>
      </c>
      <c r="B407" s="18" t="s">
        <v>399</v>
      </c>
      <c r="C407" s="18" t="s">
        <v>366</v>
      </c>
      <c r="D407" s="18" t="s">
        <v>411</v>
      </c>
      <c r="E407" s="18" t="s">
        <v>2062</v>
      </c>
      <c r="F407" s="18">
        <v>3467</v>
      </c>
      <c r="G407" s="18">
        <v>1623</v>
      </c>
      <c r="H407" s="18">
        <v>762</v>
      </c>
      <c r="I407" s="18">
        <v>1082</v>
      </c>
    </row>
    <row r="408" spans="1:9" x14ac:dyDescent="0.3">
      <c r="A408" t="s">
        <v>1028</v>
      </c>
      <c r="B408" s="18" t="s">
        <v>399</v>
      </c>
      <c r="C408" s="18" t="s">
        <v>366</v>
      </c>
      <c r="D408" s="18" t="s">
        <v>412</v>
      </c>
      <c r="E408" s="18" t="s">
        <v>2062</v>
      </c>
      <c r="F408" s="18">
        <v>3896</v>
      </c>
      <c r="G408" s="18">
        <v>2021</v>
      </c>
      <c r="H408" s="18">
        <v>693</v>
      </c>
      <c r="I408" s="18">
        <v>1182</v>
      </c>
    </row>
    <row r="409" spans="1:9" x14ac:dyDescent="0.3">
      <c r="A409" t="s">
        <v>1622</v>
      </c>
      <c r="B409" s="18" t="s">
        <v>399</v>
      </c>
      <c r="C409" s="18" t="s">
        <v>366</v>
      </c>
      <c r="D409" s="18" t="s">
        <v>413</v>
      </c>
      <c r="E409" s="18" t="s">
        <v>2062</v>
      </c>
      <c r="F409" s="18">
        <v>3473</v>
      </c>
      <c r="G409" s="18">
        <v>2079</v>
      </c>
      <c r="H409" s="18">
        <v>500</v>
      </c>
      <c r="I409" s="18">
        <v>894</v>
      </c>
    </row>
    <row r="410" spans="1:9" x14ac:dyDescent="0.3">
      <c r="A410" t="s">
        <v>1412</v>
      </c>
      <c r="B410" s="18" t="s">
        <v>399</v>
      </c>
      <c r="C410" s="18" t="s">
        <v>366</v>
      </c>
      <c r="D410" s="18" t="s">
        <v>414</v>
      </c>
      <c r="E410" s="18" t="s">
        <v>2062</v>
      </c>
      <c r="F410" s="18">
        <v>3648</v>
      </c>
      <c r="G410" s="18">
        <v>2130</v>
      </c>
      <c r="H410" s="18">
        <v>455</v>
      </c>
      <c r="I410" s="18">
        <v>1063</v>
      </c>
    </row>
    <row r="411" spans="1:9" x14ac:dyDescent="0.3">
      <c r="A411" t="s">
        <v>1341</v>
      </c>
      <c r="B411" s="18" t="s">
        <v>399</v>
      </c>
      <c r="C411" s="18" t="s">
        <v>415</v>
      </c>
      <c r="D411" s="18" t="s">
        <v>350</v>
      </c>
      <c r="E411" s="18" t="s">
        <v>2062</v>
      </c>
      <c r="F411" s="18">
        <v>106551</v>
      </c>
      <c r="G411" s="18">
        <v>70089</v>
      </c>
      <c r="H411" s="18">
        <v>10312</v>
      </c>
      <c r="I411" s="18">
        <v>26150</v>
      </c>
    </row>
    <row r="412" spans="1:9" x14ac:dyDescent="0.3">
      <c r="A412" t="s">
        <v>1185</v>
      </c>
      <c r="B412" s="18" t="s">
        <v>399</v>
      </c>
      <c r="C412" s="18" t="s">
        <v>416</v>
      </c>
      <c r="D412" s="18" t="s">
        <v>418</v>
      </c>
      <c r="E412" s="18" t="s">
        <v>2062</v>
      </c>
      <c r="F412" s="18">
        <v>3619</v>
      </c>
      <c r="G412" s="18">
        <v>2346</v>
      </c>
      <c r="H412" s="18">
        <v>361</v>
      </c>
      <c r="I412" s="18">
        <v>912</v>
      </c>
    </row>
    <row r="413" spans="1:9" x14ac:dyDescent="0.3">
      <c r="A413" t="s">
        <v>1623</v>
      </c>
      <c r="B413" s="18" t="s">
        <v>399</v>
      </c>
      <c r="C413" s="18" t="s">
        <v>416</v>
      </c>
      <c r="D413" s="18" t="s">
        <v>399</v>
      </c>
      <c r="E413" s="18" t="s">
        <v>2062</v>
      </c>
      <c r="F413" s="18">
        <v>6996</v>
      </c>
      <c r="G413" s="18">
        <v>4747</v>
      </c>
      <c r="H413" s="18">
        <v>574</v>
      </c>
      <c r="I413" s="18">
        <v>1675</v>
      </c>
    </row>
    <row r="414" spans="1:9" x14ac:dyDescent="0.3">
      <c r="A414" t="s">
        <v>1382</v>
      </c>
      <c r="B414" s="18" t="s">
        <v>399</v>
      </c>
      <c r="C414" s="18" t="s">
        <v>416</v>
      </c>
      <c r="D414" s="18" t="s">
        <v>417</v>
      </c>
      <c r="E414" s="18" t="s">
        <v>2062</v>
      </c>
      <c r="F414" s="18">
        <v>17219</v>
      </c>
      <c r="G414" s="18">
        <v>10938</v>
      </c>
      <c r="H414" s="18">
        <v>1749</v>
      </c>
      <c r="I414" s="18">
        <v>4532</v>
      </c>
    </row>
    <row r="415" spans="1:9" x14ac:dyDescent="0.3">
      <c r="A415" t="s">
        <v>1278</v>
      </c>
      <c r="B415" s="18" t="s">
        <v>399</v>
      </c>
      <c r="C415" s="18" t="s">
        <v>419</v>
      </c>
      <c r="D415" s="18" t="s">
        <v>419</v>
      </c>
      <c r="E415" s="18" t="s">
        <v>2062</v>
      </c>
      <c r="F415" s="18">
        <v>20365</v>
      </c>
      <c r="G415" s="18">
        <v>13916</v>
      </c>
      <c r="H415" s="18">
        <v>1409</v>
      </c>
      <c r="I415" s="18">
        <v>5040</v>
      </c>
    </row>
    <row r="416" spans="1:9" x14ac:dyDescent="0.3">
      <c r="A416" t="s">
        <v>1632</v>
      </c>
      <c r="B416" s="18" t="s">
        <v>399</v>
      </c>
      <c r="C416" s="18" t="s">
        <v>450</v>
      </c>
      <c r="D416" s="18" t="s">
        <v>451</v>
      </c>
      <c r="E416" s="18" t="s">
        <v>2062</v>
      </c>
      <c r="F416" s="18">
        <v>4185</v>
      </c>
      <c r="G416" s="18">
        <v>2703</v>
      </c>
      <c r="H416" s="18">
        <v>434</v>
      </c>
      <c r="I416" s="18">
        <v>1048</v>
      </c>
    </row>
    <row r="417" spans="1:9" x14ac:dyDescent="0.3">
      <c r="A417" t="s">
        <v>1446</v>
      </c>
      <c r="B417" s="18" t="s">
        <v>399</v>
      </c>
      <c r="C417" s="18" t="s">
        <v>400</v>
      </c>
      <c r="D417" s="18" t="s">
        <v>400</v>
      </c>
      <c r="E417" s="18" t="s">
        <v>2062</v>
      </c>
      <c r="F417" s="18">
        <v>966239</v>
      </c>
      <c r="G417" s="18">
        <v>629780</v>
      </c>
      <c r="H417" s="18">
        <v>98297</v>
      </c>
      <c r="I417" s="18">
        <v>238162</v>
      </c>
    </row>
    <row r="418" spans="1:9" x14ac:dyDescent="0.3">
      <c r="A418" t="s">
        <v>1617</v>
      </c>
      <c r="B418" s="18" t="s">
        <v>399</v>
      </c>
      <c r="C418" s="18" t="s">
        <v>400</v>
      </c>
      <c r="D418" s="18" t="s">
        <v>401</v>
      </c>
      <c r="E418" s="18" t="s">
        <v>2062</v>
      </c>
      <c r="F418" s="18">
        <v>4774</v>
      </c>
      <c r="G418" s="18">
        <v>3117</v>
      </c>
      <c r="H418" s="18">
        <v>389</v>
      </c>
      <c r="I418" s="18">
        <v>1268</v>
      </c>
    </row>
    <row r="419" spans="1:9" x14ac:dyDescent="0.3">
      <c r="A419" t="s">
        <v>1618</v>
      </c>
      <c r="B419" s="18" t="s">
        <v>399</v>
      </c>
      <c r="C419" s="18" t="s">
        <v>400</v>
      </c>
      <c r="D419" s="18" t="s">
        <v>402</v>
      </c>
      <c r="E419" s="18" t="s">
        <v>2062</v>
      </c>
      <c r="F419" s="18">
        <v>2360</v>
      </c>
      <c r="G419" s="18">
        <v>1509</v>
      </c>
      <c r="H419" s="18">
        <v>244</v>
      </c>
      <c r="I419" s="18">
        <v>607</v>
      </c>
    </row>
    <row r="420" spans="1:9" x14ac:dyDescent="0.3">
      <c r="A420" t="s">
        <v>1164</v>
      </c>
      <c r="B420" s="18" t="s">
        <v>399</v>
      </c>
      <c r="C420" s="18" t="s">
        <v>400</v>
      </c>
      <c r="D420" s="18" t="s">
        <v>403</v>
      </c>
      <c r="E420" s="18" t="s">
        <v>2062</v>
      </c>
      <c r="F420" s="18">
        <v>11259</v>
      </c>
      <c r="G420" s="18">
        <v>7363</v>
      </c>
      <c r="H420" s="18">
        <v>1181</v>
      </c>
      <c r="I420" s="18">
        <v>2715</v>
      </c>
    </row>
    <row r="421" spans="1:9" x14ac:dyDescent="0.3">
      <c r="A421" t="s">
        <v>1386</v>
      </c>
      <c r="B421" s="18" t="s">
        <v>399</v>
      </c>
      <c r="C421" s="18" t="s">
        <v>400</v>
      </c>
      <c r="D421" s="18" t="s">
        <v>404</v>
      </c>
      <c r="E421" s="18" t="s">
        <v>2062</v>
      </c>
      <c r="F421" s="18">
        <v>5421</v>
      </c>
      <c r="G421" s="18">
        <v>4224</v>
      </c>
      <c r="H421" s="18">
        <v>209</v>
      </c>
      <c r="I421" s="18">
        <v>988</v>
      </c>
    </row>
    <row r="422" spans="1:9" x14ac:dyDescent="0.3">
      <c r="A422" t="s">
        <v>1619</v>
      </c>
      <c r="B422" s="18" t="s">
        <v>399</v>
      </c>
      <c r="C422" s="18" t="s">
        <v>400</v>
      </c>
      <c r="D422" s="18" t="s">
        <v>405</v>
      </c>
      <c r="E422" s="18" t="s">
        <v>2062</v>
      </c>
      <c r="F422" s="18">
        <v>4351</v>
      </c>
      <c r="G422" s="18">
        <v>3026</v>
      </c>
      <c r="H422" s="18">
        <v>271</v>
      </c>
      <c r="I422" s="18">
        <v>1054</v>
      </c>
    </row>
    <row r="423" spans="1:9" x14ac:dyDescent="0.3">
      <c r="A423" t="s">
        <v>1339</v>
      </c>
      <c r="B423" s="18" t="s">
        <v>399</v>
      </c>
      <c r="C423" s="18" t="s">
        <v>452</v>
      </c>
      <c r="D423" s="18" t="s">
        <v>452</v>
      </c>
      <c r="E423" s="18" t="s">
        <v>2062</v>
      </c>
      <c r="F423" s="18">
        <v>5008</v>
      </c>
      <c r="G423" s="18">
        <v>3105</v>
      </c>
      <c r="H423" s="18">
        <v>508</v>
      </c>
      <c r="I423" s="18">
        <v>1395</v>
      </c>
    </row>
    <row r="424" spans="1:9" x14ac:dyDescent="0.3">
      <c r="A424" t="s">
        <v>1125</v>
      </c>
      <c r="B424" s="18" t="s">
        <v>399</v>
      </c>
      <c r="C424" s="18" t="s">
        <v>447</v>
      </c>
      <c r="D424" s="18" t="s">
        <v>447</v>
      </c>
      <c r="E424" s="18" t="s">
        <v>2062</v>
      </c>
      <c r="F424" s="18">
        <v>7955</v>
      </c>
      <c r="G424" s="18">
        <v>4651</v>
      </c>
      <c r="H424" s="18">
        <v>1112</v>
      </c>
      <c r="I424" s="18">
        <v>2192</v>
      </c>
    </row>
    <row r="425" spans="1:9" x14ac:dyDescent="0.3">
      <c r="A425" t="s">
        <v>1099</v>
      </c>
      <c r="B425" s="18" t="s">
        <v>399</v>
      </c>
      <c r="C425" s="18" t="s">
        <v>291</v>
      </c>
      <c r="D425" s="18" t="s">
        <v>420</v>
      </c>
      <c r="E425" s="18" t="s">
        <v>2062</v>
      </c>
      <c r="F425" s="18">
        <v>1271</v>
      </c>
      <c r="G425" s="18">
        <v>898</v>
      </c>
      <c r="H425" s="18">
        <v>69</v>
      </c>
      <c r="I425" s="18">
        <v>304</v>
      </c>
    </row>
    <row r="426" spans="1:9" x14ac:dyDescent="0.3">
      <c r="A426" t="s">
        <v>1624</v>
      </c>
      <c r="B426" s="18" t="s">
        <v>399</v>
      </c>
      <c r="C426" s="18" t="s">
        <v>291</v>
      </c>
      <c r="D426" s="18" t="s">
        <v>183</v>
      </c>
      <c r="E426" s="18" t="s">
        <v>2062</v>
      </c>
      <c r="F426" s="18">
        <v>2157</v>
      </c>
      <c r="G426" s="18">
        <v>1573</v>
      </c>
      <c r="H426" s="18">
        <v>89</v>
      </c>
      <c r="I426" s="18">
        <v>495</v>
      </c>
    </row>
    <row r="427" spans="1:9" x14ac:dyDescent="0.3">
      <c r="A427" t="s">
        <v>1272</v>
      </c>
      <c r="B427" s="18" t="s">
        <v>399</v>
      </c>
      <c r="C427" s="18" t="s">
        <v>291</v>
      </c>
      <c r="D427" s="18" t="s">
        <v>291</v>
      </c>
      <c r="E427" s="18" t="s">
        <v>2062</v>
      </c>
      <c r="F427" s="18">
        <v>60618</v>
      </c>
      <c r="G427" s="18">
        <v>38551</v>
      </c>
      <c r="H427" s="18">
        <v>5563</v>
      </c>
      <c r="I427" s="18">
        <v>16504</v>
      </c>
    </row>
    <row r="428" spans="1:9" x14ac:dyDescent="0.3">
      <c r="A428" t="s">
        <v>1625</v>
      </c>
      <c r="B428" s="18" t="s">
        <v>399</v>
      </c>
      <c r="C428" s="18" t="s">
        <v>291</v>
      </c>
      <c r="D428" s="18" t="s">
        <v>421</v>
      </c>
      <c r="E428" s="18" t="s">
        <v>2062</v>
      </c>
      <c r="F428" s="18">
        <v>4571</v>
      </c>
      <c r="G428" s="18">
        <v>3278</v>
      </c>
      <c r="H428" s="18">
        <v>293</v>
      </c>
      <c r="I428" s="18">
        <v>1000</v>
      </c>
    </row>
    <row r="429" spans="1:9" x14ac:dyDescent="0.3">
      <c r="A429" t="s">
        <v>1626</v>
      </c>
      <c r="B429" s="18" t="s">
        <v>399</v>
      </c>
      <c r="C429" s="18" t="s">
        <v>422</v>
      </c>
      <c r="D429" s="18" t="s">
        <v>423</v>
      </c>
      <c r="E429" s="18" t="s">
        <v>2062</v>
      </c>
      <c r="F429" s="18">
        <v>2279</v>
      </c>
      <c r="G429" s="18">
        <v>1731</v>
      </c>
      <c r="H429" s="18">
        <v>76</v>
      </c>
      <c r="I429" s="18">
        <v>472</v>
      </c>
    </row>
    <row r="430" spans="1:9" x14ac:dyDescent="0.3">
      <c r="A430" t="s">
        <v>1378</v>
      </c>
      <c r="B430" s="18" t="s">
        <v>399</v>
      </c>
      <c r="C430" s="18" t="s">
        <v>422</v>
      </c>
      <c r="D430" s="18" t="s">
        <v>422</v>
      </c>
      <c r="E430" s="18" t="s">
        <v>2062</v>
      </c>
      <c r="F430" s="18">
        <v>17593</v>
      </c>
      <c r="G430" s="18">
        <v>12855</v>
      </c>
      <c r="H430" s="18">
        <v>1024</v>
      </c>
      <c r="I430" s="18">
        <v>3714</v>
      </c>
    </row>
    <row r="431" spans="1:9" x14ac:dyDescent="0.3">
      <c r="A431" t="s">
        <v>1205</v>
      </c>
      <c r="B431" s="18" t="s">
        <v>399</v>
      </c>
      <c r="C431" s="18" t="s">
        <v>422</v>
      </c>
      <c r="D431" s="18" t="s">
        <v>424</v>
      </c>
      <c r="E431" s="18" t="s">
        <v>2062</v>
      </c>
      <c r="F431" s="18">
        <v>3370</v>
      </c>
      <c r="G431" s="18">
        <v>2611</v>
      </c>
      <c r="H431" s="18">
        <v>172</v>
      </c>
      <c r="I431" s="18">
        <v>587</v>
      </c>
    </row>
    <row r="432" spans="1:9" x14ac:dyDescent="0.3">
      <c r="A432" t="s">
        <v>1985</v>
      </c>
      <c r="B432" s="18" t="s">
        <v>399</v>
      </c>
      <c r="C432" s="18" t="s">
        <v>422</v>
      </c>
      <c r="D432" s="18" t="s">
        <v>425</v>
      </c>
      <c r="E432" s="18" t="s">
        <v>2062</v>
      </c>
      <c r="F432" s="18">
        <v>2144</v>
      </c>
      <c r="G432" s="18">
        <v>1635</v>
      </c>
      <c r="H432" s="18">
        <v>52</v>
      </c>
      <c r="I432" s="18">
        <v>457</v>
      </c>
    </row>
    <row r="433" spans="1:9" x14ac:dyDescent="0.3">
      <c r="A433" t="s">
        <v>1238</v>
      </c>
      <c r="B433" s="18" t="s">
        <v>399</v>
      </c>
      <c r="C433" s="18" t="s">
        <v>422</v>
      </c>
      <c r="D433" s="18" t="s">
        <v>426</v>
      </c>
      <c r="E433" s="18" t="s">
        <v>2062</v>
      </c>
      <c r="F433" s="18">
        <v>3418</v>
      </c>
      <c r="G433" s="18">
        <v>2603</v>
      </c>
      <c r="H433" s="18">
        <v>194</v>
      </c>
      <c r="I433" s="18">
        <v>621</v>
      </c>
    </row>
    <row r="434" spans="1:9" x14ac:dyDescent="0.3">
      <c r="A434" t="s">
        <v>1230</v>
      </c>
      <c r="B434" s="18" t="s">
        <v>399</v>
      </c>
      <c r="C434" s="18" t="s">
        <v>427</v>
      </c>
      <c r="D434" s="18" t="s">
        <v>427</v>
      </c>
      <c r="E434" s="18" t="s">
        <v>2062</v>
      </c>
      <c r="F434" s="18">
        <v>15501</v>
      </c>
      <c r="G434" s="18">
        <v>10310</v>
      </c>
      <c r="H434" s="18">
        <v>1185</v>
      </c>
      <c r="I434" s="18">
        <v>4006</v>
      </c>
    </row>
    <row r="435" spans="1:9" x14ac:dyDescent="0.3">
      <c r="A435" t="s">
        <v>1414</v>
      </c>
      <c r="B435" s="18" t="s">
        <v>399</v>
      </c>
      <c r="C435" s="18" t="s">
        <v>448</v>
      </c>
      <c r="D435" s="18" t="s">
        <v>449</v>
      </c>
      <c r="E435" s="18" t="s">
        <v>2062</v>
      </c>
      <c r="F435" s="18">
        <v>8314</v>
      </c>
      <c r="G435" s="18">
        <v>5212</v>
      </c>
      <c r="H435" s="18">
        <v>1020</v>
      </c>
      <c r="I435" s="18">
        <v>2082</v>
      </c>
    </row>
    <row r="436" spans="1:9" x14ac:dyDescent="0.3">
      <c r="A436" t="s">
        <v>1166</v>
      </c>
      <c r="B436" s="18" t="s">
        <v>399</v>
      </c>
      <c r="C436" s="18" t="s">
        <v>428</v>
      </c>
      <c r="D436" s="18" t="s">
        <v>428</v>
      </c>
      <c r="E436" s="18" t="s">
        <v>2062</v>
      </c>
      <c r="F436" s="18">
        <v>6517</v>
      </c>
      <c r="G436" s="18">
        <v>4062</v>
      </c>
      <c r="H436" s="18">
        <v>690</v>
      </c>
      <c r="I436" s="18">
        <v>1765</v>
      </c>
    </row>
    <row r="437" spans="1:9" x14ac:dyDescent="0.3">
      <c r="A437" t="s">
        <v>1141</v>
      </c>
      <c r="B437" s="18" t="s">
        <v>399</v>
      </c>
      <c r="C437" s="18" t="s">
        <v>429</v>
      </c>
      <c r="D437" s="18" t="s">
        <v>429</v>
      </c>
      <c r="E437" s="18" t="s">
        <v>2062</v>
      </c>
      <c r="F437" s="18">
        <v>13681</v>
      </c>
      <c r="G437" s="18">
        <v>8027</v>
      </c>
      <c r="H437" s="18">
        <v>1988</v>
      </c>
      <c r="I437" s="18">
        <v>3666</v>
      </c>
    </row>
    <row r="438" spans="1:9" x14ac:dyDescent="0.3">
      <c r="A438" t="s">
        <v>1029</v>
      </c>
      <c r="B438" s="18" t="s">
        <v>399</v>
      </c>
      <c r="C438" s="18" t="s">
        <v>429</v>
      </c>
      <c r="D438" s="18" t="s">
        <v>431</v>
      </c>
      <c r="E438" s="18" t="s">
        <v>2062</v>
      </c>
      <c r="F438" s="18">
        <v>2912</v>
      </c>
      <c r="G438" s="18">
        <v>1621</v>
      </c>
      <c r="H438" s="18">
        <v>459</v>
      </c>
      <c r="I438" s="18">
        <v>832</v>
      </c>
    </row>
    <row r="439" spans="1:9" x14ac:dyDescent="0.3">
      <c r="A439" t="s">
        <v>1986</v>
      </c>
      <c r="B439" s="18" t="s">
        <v>399</v>
      </c>
      <c r="C439" s="18" t="s">
        <v>429</v>
      </c>
      <c r="D439" s="18" t="s">
        <v>430</v>
      </c>
      <c r="E439" s="18" t="s">
        <v>2062</v>
      </c>
      <c r="F439" s="18">
        <v>2094</v>
      </c>
      <c r="G439" s="18">
        <v>1086</v>
      </c>
      <c r="H439" s="18">
        <v>486</v>
      </c>
      <c r="I439" s="18">
        <v>522</v>
      </c>
    </row>
    <row r="440" spans="1:9" x14ac:dyDescent="0.3">
      <c r="A440" t="s">
        <v>1309</v>
      </c>
      <c r="B440" s="18" t="s">
        <v>399</v>
      </c>
      <c r="C440" s="18" t="s">
        <v>443</v>
      </c>
      <c r="D440" s="18" t="s">
        <v>444</v>
      </c>
      <c r="E440" s="18" t="s">
        <v>2062</v>
      </c>
      <c r="F440" s="18">
        <v>19972</v>
      </c>
      <c r="G440" s="18">
        <v>13066</v>
      </c>
      <c r="H440" s="18">
        <v>1977</v>
      </c>
      <c r="I440" s="18">
        <v>4929</v>
      </c>
    </row>
    <row r="441" spans="1:9" x14ac:dyDescent="0.3">
      <c r="A441" t="s">
        <v>1170</v>
      </c>
      <c r="B441" s="18" t="s">
        <v>399</v>
      </c>
      <c r="C441" s="18" t="s">
        <v>435</v>
      </c>
      <c r="D441" s="18" t="s">
        <v>436</v>
      </c>
      <c r="E441" s="18" t="s">
        <v>2062</v>
      </c>
      <c r="F441" s="18">
        <v>10653</v>
      </c>
      <c r="G441" s="18">
        <v>6537</v>
      </c>
      <c r="H441" s="18">
        <v>1291</v>
      </c>
      <c r="I441" s="18">
        <v>2825</v>
      </c>
    </row>
    <row r="442" spans="1:9" x14ac:dyDescent="0.3">
      <c r="A442" t="s">
        <v>1175</v>
      </c>
      <c r="B442" s="18" t="s">
        <v>399</v>
      </c>
      <c r="C442" s="18" t="s">
        <v>435</v>
      </c>
      <c r="D442" s="18" t="s">
        <v>437</v>
      </c>
      <c r="E442" s="18" t="s">
        <v>2062</v>
      </c>
      <c r="F442" s="18">
        <v>3966</v>
      </c>
      <c r="G442" s="18">
        <v>2358</v>
      </c>
      <c r="H442" s="18">
        <v>491</v>
      </c>
      <c r="I442" s="18">
        <v>1117</v>
      </c>
    </row>
    <row r="443" spans="1:9" x14ac:dyDescent="0.3">
      <c r="A443" t="s">
        <v>1030</v>
      </c>
      <c r="B443" s="18" t="s">
        <v>399</v>
      </c>
      <c r="C443" s="18" t="s">
        <v>435</v>
      </c>
      <c r="D443" s="18" t="s">
        <v>438</v>
      </c>
      <c r="E443" s="18" t="s">
        <v>2062</v>
      </c>
      <c r="F443" s="18">
        <v>4773</v>
      </c>
      <c r="G443" s="18">
        <v>2989</v>
      </c>
      <c r="H443" s="18">
        <v>479</v>
      </c>
      <c r="I443" s="18">
        <v>1305</v>
      </c>
    </row>
    <row r="444" spans="1:9" x14ac:dyDescent="0.3">
      <c r="A444" t="s">
        <v>1627</v>
      </c>
      <c r="B444" s="18" t="s">
        <v>399</v>
      </c>
      <c r="C444" s="18" t="s">
        <v>435</v>
      </c>
      <c r="D444" s="18" t="s">
        <v>207</v>
      </c>
      <c r="E444" s="18" t="s">
        <v>2062</v>
      </c>
      <c r="F444" s="18">
        <v>2730</v>
      </c>
      <c r="G444" s="18">
        <v>1905</v>
      </c>
      <c r="H444" s="18">
        <v>296</v>
      </c>
      <c r="I444" s="18">
        <v>529</v>
      </c>
    </row>
    <row r="445" spans="1:9" x14ac:dyDescent="0.3">
      <c r="A445" t="s">
        <v>1308</v>
      </c>
      <c r="B445" s="18" t="s">
        <v>399</v>
      </c>
      <c r="C445" s="18" t="s">
        <v>432</v>
      </c>
      <c r="D445" s="18" t="s">
        <v>432</v>
      </c>
      <c r="E445" s="18" t="s">
        <v>2062</v>
      </c>
      <c r="F445" s="18">
        <v>30817</v>
      </c>
      <c r="G445" s="18">
        <v>20701</v>
      </c>
      <c r="H445" s="18">
        <v>2110</v>
      </c>
      <c r="I445" s="18">
        <v>8006</v>
      </c>
    </row>
    <row r="446" spans="1:9" x14ac:dyDescent="0.3">
      <c r="A446" t="s">
        <v>1143</v>
      </c>
      <c r="B446" s="18" t="s">
        <v>399</v>
      </c>
      <c r="C446" s="18" t="s">
        <v>432</v>
      </c>
      <c r="D446" s="18" t="s">
        <v>433</v>
      </c>
      <c r="E446" s="18" t="s">
        <v>2062</v>
      </c>
      <c r="F446" s="18">
        <v>6057</v>
      </c>
      <c r="G446" s="18">
        <v>3660</v>
      </c>
      <c r="H446" s="18">
        <v>790</v>
      </c>
      <c r="I446" s="18">
        <v>1607</v>
      </c>
    </row>
    <row r="447" spans="1:9" x14ac:dyDescent="0.3">
      <c r="A447" t="s">
        <v>1628</v>
      </c>
      <c r="B447" s="18" t="s">
        <v>399</v>
      </c>
      <c r="C447" s="18" t="s">
        <v>439</v>
      </c>
      <c r="D447" s="18" t="s">
        <v>440</v>
      </c>
      <c r="E447" s="18" t="s">
        <v>2062</v>
      </c>
      <c r="F447" s="18">
        <v>3000</v>
      </c>
      <c r="G447" s="18">
        <v>2073</v>
      </c>
      <c r="H447" s="18">
        <v>163</v>
      </c>
      <c r="I447" s="18">
        <v>764</v>
      </c>
    </row>
    <row r="448" spans="1:9" x14ac:dyDescent="0.3">
      <c r="A448" t="s">
        <v>1390</v>
      </c>
      <c r="B448" s="18" t="s">
        <v>399</v>
      </c>
      <c r="C448" s="18" t="s">
        <v>439</v>
      </c>
      <c r="D448" s="18" t="s">
        <v>439</v>
      </c>
      <c r="E448" s="18" t="s">
        <v>2062</v>
      </c>
      <c r="F448" s="18">
        <v>11712</v>
      </c>
      <c r="G448" s="18">
        <v>7278</v>
      </c>
      <c r="H448" s="18">
        <v>1285</v>
      </c>
      <c r="I448" s="18">
        <v>3149</v>
      </c>
    </row>
    <row r="449" spans="1:9" x14ac:dyDescent="0.3">
      <c r="A449" t="s">
        <v>1132</v>
      </c>
      <c r="B449" s="18" t="s">
        <v>399</v>
      </c>
      <c r="C449" s="18" t="s">
        <v>439</v>
      </c>
      <c r="D449" s="18" t="s">
        <v>442</v>
      </c>
      <c r="E449" s="18" t="s">
        <v>2062</v>
      </c>
      <c r="F449" s="18">
        <v>6296</v>
      </c>
      <c r="G449" s="18">
        <v>4201</v>
      </c>
      <c r="H449" s="18">
        <v>598</v>
      </c>
      <c r="I449" s="18">
        <v>1497</v>
      </c>
    </row>
    <row r="450" spans="1:9" x14ac:dyDescent="0.3">
      <c r="A450" t="s">
        <v>1987</v>
      </c>
      <c r="B450" s="18" t="s">
        <v>399</v>
      </c>
      <c r="C450" s="18" t="s">
        <v>439</v>
      </c>
      <c r="D450" s="18" t="s">
        <v>441</v>
      </c>
      <c r="E450" s="18" t="s">
        <v>2062</v>
      </c>
      <c r="F450" s="18">
        <v>4802</v>
      </c>
      <c r="G450" s="18">
        <v>3309</v>
      </c>
      <c r="H450" s="18">
        <v>270</v>
      </c>
      <c r="I450" s="18">
        <v>1223</v>
      </c>
    </row>
    <row r="451" spans="1:9" x14ac:dyDescent="0.3">
      <c r="A451" t="s">
        <v>1226</v>
      </c>
      <c r="B451" s="18" t="s">
        <v>399</v>
      </c>
      <c r="C451" s="18" t="s">
        <v>434</v>
      </c>
      <c r="D451" s="18" t="s">
        <v>434</v>
      </c>
      <c r="E451" s="18" t="s">
        <v>2062</v>
      </c>
      <c r="F451" s="18">
        <v>16385</v>
      </c>
      <c r="G451" s="18">
        <v>9731</v>
      </c>
      <c r="H451" s="18">
        <v>2583</v>
      </c>
      <c r="I451" s="18">
        <v>4071</v>
      </c>
    </row>
    <row r="452" spans="1:9" x14ac:dyDescent="0.3">
      <c r="A452" t="s">
        <v>1630</v>
      </c>
      <c r="B452" s="18" t="s">
        <v>399</v>
      </c>
      <c r="C452" s="18" t="s">
        <v>47</v>
      </c>
      <c r="D452" s="18" t="s">
        <v>445</v>
      </c>
      <c r="E452" s="18" t="s">
        <v>2062</v>
      </c>
      <c r="F452" s="18">
        <v>4658</v>
      </c>
      <c r="G452" s="18">
        <v>3618</v>
      </c>
      <c r="H452" s="18">
        <v>196</v>
      </c>
      <c r="I452" s="18">
        <v>844</v>
      </c>
    </row>
    <row r="453" spans="1:9" x14ac:dyDescent="0.3">
      <c r="A453" t="s">
        <v>1629</v>
      </c>
      <c r="B453" s="18" t="s">
        <v>399</v>
      </c>
      <c r="C453" s="18" t="s">
        <v>47</v>
      </c>
      <c r="D453" s="18" t="s">
        <v>47</v>
      </c>
      <c r="E453" s="18" t="s">
        <v>2062</v>
      </c>
      <c r="F453" s="18">
        <v>5919</v>
      </c>
      <c r="G453" s="18">
        <v>4302</v>
      </c>
      <c r="H453" s="18">
        <v>431</v>
      </c>
      <c r="I453" s="18">
        <v>1186</v>
      </c>
    </row>
    <row r="454" spans="1:9" x14ac:dyDescent="0.3">
      <c r="A454" t="s">
        <v>1108</v>
      </c>
      <c r="B454" s="18" t="s">
        <v>453</v>
      </c>
      <c r="C454" s="18" t="s">
        <v>461</v>
      </c>
      <c r="D454" s="18" t="s">
        <v>462</v>
      </c>
      <c r="E454" s="18" t="s">
        <v>2062</v>
      </c>
      <c r="F454" s="18">
        <v>10262</v>
      </c>
      <c r="G454" s="18">
        <v>6574</v>
      </c>
      <c r="H454" s="18">
        <v>671</v>
      </c>
      <c r="I454" s="18">
        <v>3017</v>
      </c>
    </row>
    <row r="455" spans="1:9" x14ac:dyDescent="0.3">
      <c r="A455" t="s">
        <v>1047</v>
      </c>
      <c r="B455" s="18" t="s">
        <v>453</v>
      </c>
      <c r="C455" s="18" t="s">
        <v>461</v>
      </c>
      <c r="D455" s="18" t="s">
        <v>463</v>
      </c>
      <c r="E455" s="18" t="s">
        <v>2062</v>
      </c>
      <c r="F455" s="18">
        <v>602</v>
      </c>
      <c r="G455" s="18">
        <v>440</v>
      </c>
      <c r="H455" s="18">
        <v>24</v>
      </c>
      <c r="I455" s="18">
        <v>138</v>
      </c>
    </row>
    <row r="456" spans="1:9" x14ac:dyDescent="0.3">
      <c r="A456" t="s">
        <v>1151</v>
      </c>
      <c r="B456" s="18" t="s">
        <v>453</v>
      </c>
      <c r="C456" s="18" t="s">
        <v>461</v>
      </c>
      <c r="D456" s="18" t="s">
        <v>464</v>
      </c>
      <c r="E456" s="18" t="s">
        <v>2062</v>
      </c>
      <c r="F456" s="18">
        <v>2913</v>
      </c>
      <c r="G456" s="18">
        <v>1919</v>
      </c>
      <c r="H456" s="18">
        <v>173</v>
      </c>
      <c r="I456" s="18">
        <v>821</v>
      </c>
    </row>
    <row r="457" spans="1:9" x14ac:dyDescent="0.3">
      <c r="A457" t="s">
        <v>1031</v>
      </c>
      <c r="B457" s="18" t="s">
        <v>453</v>
      </c>
      <c r="C457" s="18" t="s">
        <v>461</v>
      </c>
      <c r="D457" s="18" t="s">
        <v>465</v>
      </c>
      <c r="E457" s="18" t="s">
        <v>2062</v>
      </c>
      <c r="F457" s="18">
        <v>1414</v>
      </c>
      <c r="G457" s="18">
        <v>920</v>
      </c>
      <c r="H457" s="18">
        <v>101</v>
      </c>
      <c r="I457" s="18">
        <v>393</v>
      </c>
    </row>
    <row r="458" spans="1:9" x14ac:dyDescent="0.3">
      <c r="A458" t="s">
        <v>1199</v>
      </c>
      <c r="B458" s="18" t="s">
        <v>453</v>
      </c>
      <c r="C458" s="18" t="s">
        <v>461</v>
      </c>
      <c r="D458" s="18" t="s">
        <v>317</v>
      </c>
      <c r="E458" s="18" t="s">
        <v>2062</v>
      </c>
      <c r="F458" s="18">
        <v>4339</v>
      </c>
      <c r="G458" s="18">
        <v>2633</v>
      </c>
      <c r="H458" s="18">
        <v>490</v>
      </c>
      <c r="I458" s="18">
        <v>1216</v>
      </c>
    </row>
    <row r="459" spans="1:9" x14ac:dyDescent="0.3">
      <c r="A459" t="s">
        <v>1636</v>
      </c>
      <c r="B459" s="18" t="s">
        <v>453</v>
      </c>
      <c r="C459" s="18" t="s">
        <v>466</v>
      </c>
      <c r="D459" s="18" t="s">
        <v>467</v>
      </c>
      <c r="E459" s="18" t="s">
        <v>2062</v>
      </c>
      <c r="F459" s="18">
        <v>758</v>
      </c>
      <c r="G459" s="18">
        <v>475</v>
      </c>
      <c r="H459" s="18">
        <v>67</v>
      </c>
      <c r="I459" s="18">
        <v>216</v>
      </c>
    </row>
    <row r="460" spans="1:9" x14ac:dyDescent="0.3">
      <c r="A460" t="s">
        <v>1171</v>
      </c>
      <c r="B460" s="18" t="s">
        <v>453</v>
      </c>
      <c r="C460" s="18" t="s">
        <v>466</v>
      </c>
      <c r="D460" s="18" t="s">
        <v>466</v>
      </c>
      <c r="E460" s="18" t="s">
        <v>2062</v>
      </c>
      <c r="F460" s="18">
        <v>7581</v>
      </c>
      <c r="G460" s="18">
        <v>4683</v>
      </c>
      <c r="H460" s="18">
        <v>617</v>
      </c>
      <c r="I460" s="18">
        <v>2281</v>
      </c>
    </row>
    <row r="461" spans="1:9" x14ac:dyDescent="0.3">
      <c r="A461" t="s">
        <v>1420</v>
      </c>
      <c r="B461" s="18" t="s">
        <v>453</v>
      </c>
      <c r="C461" s="18" t="s">
        <v>466</v>
      </c>
      <c r="D461" s="18" t="s">
        <v>160</v>
      </c>
      <c r="E461" s="18" t="s">
        <v>2062</v>
      </c>
      <c r="F461" s="18">
        <v>4128</v>
      </c>
      <c r="G461" s="18">
        <v>2716</v>
      </c>
      <c r="H461" s="18">
        <v>487</v>
      </c>
      <c r="I461" s="18">
        <v>925</v>
      </c>
    </row>
    <row r="462" spans="1:9" x14ac:dyDescent="0.3">
      <c r="A462" t="s">
        <v>1392</v>
      </c>
      <c r="B462" s="18" t="s">
        <v>453</v>
      </c>
      <c r="C462" s="18" t="s">
        <v>466</v>
      </c>
      <c r="D462" s="18" t="s">
        <v>468</v>
      </c>
      <c r="E462" s="18" t="s">
        <v>2062</v>
      </c>
      <c r="F462" s="18">
        <v>1909</v>
      </c>
      <c r="G462" s="18">
        <v>1001</v>
      </c>
      <c r="H462" s="18">
        <v>345</v>
      </c>
      <c r="I462" s="18">
        <v>563</v>
      </c>
    </row>
    <row r="463" spans="1:9" x14ac:dyDescent="0.3">
      <c r="A463" t="s">
        <v>1637</v>
      </c>
      <c r="B463" s="18" t="s">
        <v>453</v>
      </c>
      <c r="C463" s="18" t="s">
        <v>466</v>
      </c>
      <c r="D463" s="18" t="s">
        <v>469</v>
      </c>
      <c r="E463" s="18" t="s">
        <v>2062</v>
      </c>
      <c r="F463" s="18">
        <v>723</v>
      </c>
      <c r="G463" s="18">
        <v>488</v>
      </c>
      <c r="H463" s="18">
        <v>32</v>
      </c>
      <c r="I463" s="18">
        <v>203</v>
      </c>
    </row>
    <row r="464" spans="1:9" x14ac:dyDescent="0.3">
      <c r="A464" t="s">
        <v>1638</v>
      </c>
      <c r="B464" s="18" t="s">
        <v>453</v>
      </c>
      <c r="C464" s="18" t="s">
        <v>466</v>
      </c>
      <c r="D464" s="18" t="s">
        <v>470</v>
      </c>
      <c r="E464" s="18" t="s">
        <v>2062</v>
      </c>
      <c r="F464" s="18">
        <v>141</v>
      </c>
      <c r="G464" s="18">
        <v>90</v>
      </c>
      <c r="H464" s="18">
        <v>13</v>
      </c>
      <c r="I464" s="18">
        <v>38</v>
      </c>
    </row>
    <row r="465" spans="1:9" x14ac:dyDescent="0.3">
      <c r="A465" t="s">
        <v>1093</v>
      </c>
      <c r="B465" s="18" t="s">
        <v>453</v>
      </c>
      <c r="C465" s="18" t="s">
        <v>466</v>
      </c>
      <c r="D465" s="18" t="s">
        <v>471</v>
      </c>
      <c r="E465" s="18" t="s">
        <v>2062</v>
      </c>
      <c r="F465" s="18">
        <v>2943</v>
      </c>
      <c r="G465" s="18">
        <v>1891</v>
      </c>
      <c r="H465" s="18">
        <v>138</v>
      </c>
      <c r="I465" s="18">
        <v>914</v>
      </c>
    </row>
    <row r="466" spans="1:9" x14ac:dyDescent="0.3">
      <c r="A466" t="s">
        <v>1639</v>
      </c>
      <c r="B466" s="18" t="s">
        <v>453</v>
      </c>
      <c r="C466" s="18" t="s">
        <v>466</v>
      </c>
      <c r="D466" s="18" t="s">
        <v>472</v>
      </c>
      <c r="E466" s="18" t="s">
        <v>2062</v>
      </c>
      <c r="F466" s="18">
        <v>647</v>
      </c>
      <c r="G466" s="18">
        <v>435</v>
      </c>
      <c r="H466" s="18">
        <v>43</v>
      </c>
      <c r="I466" s="18">
        <v>169</v>
      </c>
    </row>
    <row r="467" spans="1:9" x14ac:dyDescent="0.3">
      <c r="A467" t="s">
        <v>1988</v>
      </c>
      <c r="B467" s="18" t="s">
        <v>453</v>
      </c>
      <c r="C467" s="18" t="s">
        <v>466</v>
      </c>
      <c r="D467" s="18" t="s">
        <v>473</v>
      </c>
      <c r="E467" s="18" t="s">
        <v>2062</v>
      </c>
      <c r="F467" s="18">
        <v>259</v>
      </c>
      <c r="G467" s="18">
        <v>180</v>
      </c>
      <c r="H467" s="18">
        <v>8</v>
      </c>
      <c r="I467" s="18">
        <v>71</v>
      </c>
    </row>
    <row r="468" spans="1:9" x14ac:dyDescent="0.3">
      <c r="A468" t="s">
        <v>1107</v>
      </c>
      <c r="B468" s="18" t="s">
        <v>453</v>
      </c>
      <c r="C468" s="18" t="s">
        <v>454</v>
      </c>
      <c r="D468" s="18" t="s">
        <v>456</v>
      </c>
      <c r="E468" s="18" t="s">
        <v>2062</v>
      </c>
      <c r="F468" s="18">
        <v>2158</v>
      </c>
      <c r="G468" s="18">
        <v>1364</v>
      </c>
      <c r="H468" s="18">
        <v>315</v>
      </c>
      <c r="I468" s="18">
        <v>479</v>
      </c>
    </row>
    <row r="469" spans="1:9" x14ac:dyDescent="0.3">
      <c r="A469" t="s">
        <v>1633</v>
      </c>
      <c r="B469" s="18" t="s">
        <v>453</v>
      </c>
      <c r="C469" s="18" t="s">
        <v>454</v>
      </c>
      <c r="D469" s="18" t="s">
        <v>457</v>
      </c>
      <c r="E469" s="18" t="s">
        <v>2062</v>
      </c>
      <c r="F469" s="18">
        <v>1276</v>
      </c>
      <c r="G469" s="18">
        <v>695</v>
      </c>
      <c r="H469" s="18">
        <v>131</v>
      </c>
      <c r="I469" s="18">
        <v>450</v>
      </c>
    </row>
    <row r="470" spans="1:9" x14ac:dyDescent="0.3">
      <c r="A470" t="s">
        <v>1634</v>
      </c>
      <c r="B470" s="18" t="s">
        <v>453</v>
      </c>
      <c r="C470" s="18" t="s">
        <v>454</v>
      </c>
      <c r="D470" s="18" t="s">
        <v>458</v>
      </c>
      <c r="E470" s="18" t="s">
        <v>2062</v>
      </c>
      <c r="F470" s="18">
        <v>1220</v>
      </c>
      <c r="G470" s="18">
        <v>623</v>
      </c>
      <c r="H470" s="18">
        <v>280</v>
      </c>
      <c r="I470" s="18">
        <v>317</v>
      </c>
    </row>
    <row r="471" spans="1:9" x14ac:dyDescent="0.3">
      <c r="A471" t="s">
        <v>1312</v>
      </c>
      <c r="B471" s="18" t="s">
        <v>453</v>
      </c>
      <c r="C471" s="18" t="s">
        <v>454</v>
      </c>
      <c r="D471" s="18" t="s">
        <v>459</v>
      </c>
      <c r="E471" s="18" t="s">
        <v>2062</v>
      </c>
      <c r="F471" s="18">
        <v>3196</v>
      </c>
      <c r="G471" s="18">
        <v>1882</v>
      </c>
      <c r="H471" s="18">
        <v>404</v>
      </c>
      <c r="I471" s="18">
        <v>910</v>
      </c>
    </row>
    <row r="472" spans="1:9" x14ac:dyDescent="0.3">
      <c r="A472" t="s">
        <v>1635</v>
      </c>
      <c r="B472" s="18" t="s">
        <v>453</v>
      </c>
      <c r="C472" s="18" t="s">
        <v>454</v>
      </c>
      <c r="D472" s="18" t="s">
        <v>460</v>
      </c>
      <c r="E472" s="18" t="s">
        <v>2062</v>
      </c>
      <c r="F472" s="18">
        <v>1364</v>
      </c>
      <c r="G472" s="18">
        <v>931</v>
      </c>
      <c r="H472" s="18">
        <v>101</v>
      </c>
      <c r="I472" s="18">
        <v>332</v>
      </c>
    </row>
    <row r="473" spans="1:9" x14ac:dyDescent="0.3">
      <c r="A473" t="s">
        <v>1124</v>
      </c>
      <c r="B473" s="18" t="s">
        <v>453</v>
      </c>
      <c r="C473" s="18" t="s">
        <v>454</v>
      </c>
      <c r="D473" s="18" t="s">
        <v>94</v>
      </c>
      <c r="E473" s="18" t="s">
        <v>2062</v>
      </c>
      <c r="F473" s="18">
        <v>883</v>
      </c>
      <c r="G473" s="18">
        <v>572</v>
      </c>
      <c r="H473" s="18">
        <v>112</v>
      </c>
      <c r="I473" s="18">
        <v>199</v>
      </c>
    </row>
    <row r="474" spans="1:9" x14ac:dyDescent="0.3">
      <c r="A474" t="s">
        <v>1086</v>
      </c>
      <c r="B474" s="18" t="s">
        <v>453</v>
      </c>
      <c r="C474" s="18" t="s">
        <v>454</v>
      </c>
      <c r="D474" s="18" t="s">
        <v>138</v>
      </c>
      <c r="E474" s="18" t="s">
        <v>2062</v>
      </c>
      <c r="F474" s="18">
        <v>7910</v>
      </c>
      <c r="G474" s="18">
        <v>5099</v>
      </c>
      <c r="H474" s="18">
        <v>610</v>
      </c>
      <c r="I474" s="18">
        <v>2201</v>
      </c>
    </row>
    <row r="475" spans="1:9" x14ac:dyDescent="0.3">
      <c r="A475" t="s">
        <v>1352</v>
      </c>
      <c r="B475" s="18" t="s">
        <v>453</v>
      </c>
      <c r="C475" s="18" t="s">
        <v>454</v>
      </c>
      <c r="D475" s="18" t="s">
        <v>455</v>
      </c>
      <c r="E475" s="18" t="s">
        <v>2062</v>
      </c>
      <c r="F475" s="18">
        <v>61228</v>
      </c>
      <c r="G475" s="18">
        <v>39729</v>
      </c>
      <c r="H475" s="18">
        <v>4126</v>
      </c>
      <c r="I475" s="18">
        <v>17373</v>
      </c>
    </row>
    <row r="476" spans="1:9" x14ac:dyDescent="0.3">
      <c r="A476" t="s">
        <v>1113</v>
      </c>
      <c r="B476" s="18" t="s">
        <v>453</v>
      </c>
      <c r="C476" s="18" t="s">
        <v>474</v>
      </c>
      <c r="D476" s="18" t="s">
        <v>475</v>
      </c>
      <c r="E476" s="18" t="s">
        <v>2062</v>
      </c>
      <c r="F476" s="18">
        <v>2449</v>
      </c>
      <c r="G476" s="18">
        <v>1549</v>
      </c>
      <c r="H476" s="18">
        <v>297</v>
      </c>
      <c r="I476" s="18">
        <v>603</v>
      </c>
    </row>
    <row r="477" spans="1:9" x14ac:dyDescent="0.3">
      <c r="A477" t="s">
        <v>1192</v>
      </c>
      <c r="B477" s="18" t="s">
        <v>453</v>
      </c>
      <c r="C477" s="18" t="s">
        <v>474</v>
      </c>
      <c r="D477" s="18" t="s">
        <v>476</v>
      </c>
      <c r="E477" s="18" t="s">
        <v>2062</v>
      </c>
      <c r="F477" s="18">
        <v>3002</v>
      </c>
      <c r="G477" s="18">
        <v>1861</v>
      </c>
      <c r="H477" s="18">
        <v>242</v>
      </c>
      <c r="I477" s="18">
        <v>899</v>
      </c>
    </row>
    <row r="478" spans="1:9" x14ac:dyDescent="0.3">
      <c r="A478" t="s">
        <v>1640</v>
      </c>
      <c r="B478" s="18" t="s">
        <v>453</v>
      </c>
      <c r="C478" s="18" t="s">
        <v>474</v>
      </c>
      <c r="D478" s="18" t="s">
        <v>477</v>
      </c>
      <c r="E478" s="18" t="s">
        <v>2062</v>
      </c>
      <c r="F478" s="18">
        <v>2712</v>
      </c>
      <c r="G478" s="18">
        <v>1682</v>
      </c>
      <c r="H478" s="18">
        <v>192</v>
      </c>
      <c r="I478" s="18">
        <v>838</v>
      </c>
    </row>
    <row r="479" spans="1:9" x14ac:dyDescent="0.3">
      <c r="A479" t="s">
        <v>1258</v>
      </c>
      <c r="B479" s="18" t="s">
        <v>453</v>
      </c>
      <c r="C479" s="18" t="s">
        <v>474</v>
      </c>
      <c r="D479" s="18" t="s">
        <v>474</v>
      </c>
      <c r="E479" s="18" t="s">
        <v>2062</v>
      </c>
      <c r="F479" s="18">
        <v>19723</v>
      </c>
      <c r="G479" s="18">
        <v>12534</v>
      </c>
      <c r="H479" s="18">
        <v>1583</v>
      </c>
      <c r="I479" s="18">
        <v>5606</v>
      </c>
    </row>
    <row r="480" spans="1:9" x14ac:dyDescent="0.3">
      <c r="A480" t="s">
        <v>1989</v>
      </c>
      <c r="B480" s="18" t="s">
        <v>453</v>
      </c>
      <c r="C480" s="18" t="s">
        <v>474</v>
      </c>
      <c r="D480" s="18" t="s">
        <v>478</v>
      </c>
      <c r="E480" s="18" t="s">
        <v>2062</v>
      </c>
      <c r="F480" s="18">
        <v>90</v>
      </c>
      <c r="G480" s="18">
        <v>52</v>
      </c>
      <c r="H480" s="18">
        <v>5</v>
      </c>
      <c r="I480" s="18">
        <v>33</v>
      </c>
    </row>
    <row r="481" spans="1:9" x14ac:dyDescent="0.3">
      <c r="A481" t="s">
        <v>1142</v>
      </c>
      <c r="B481" s="18" t="s">
        <v>453</v>
      </c>
      <c r="C481" s="18" t="s">
        <v>474</v>
      </c>
      <c r="D481" s="18" t="s">
        <v>479</v>
      </c>
      <c r="E481" s="18" t="s">
        <v>2062</v>
      </c>
      <c r="F481" s="18">
        <v>2969</v>
      </c>
      <c r="G481" s="18">
        <v>1686</v>
      </c>
      <c r="H481" s="18">
        <v>270</v>
      </c>
      <c r="I481" s="18">
        <v>1013</v>
      </c>
    </row>
    <row r="482" spans="1:9" x14ac:dyDescent="0.3">
      <c r="A482" t="s">
        <v>1641</v>
      </c>
      <c r="B482" s="18" t="s">
        <v>453</v>
      </c>
      <c r="C482" s="18" t="s">
        <v>474</v>
      </c>
      <c r="D482" s="18" t="s">
        <v>480</v>
      </c>
      <c r="E482" s="18" t="s">
        <v>2062</v>
      </c>
      <c r="F482" s="18">
        <v>3236</v>
      </c>
      <c r="G482" s="18">
        <v>1847</v>
      </c>
      <c r="H482" s="18">
        <v>516</v>
      </c>
      <c r="I482" s="18">
        <v>873</v>
      </c>
    </row>
    <row r="483" spans="1:9" x14ac:dyDescent="0.3">
      <c r="A483" t="s">
        <v>1642</v>
      </c>
      <c r="B483" s="18" t="s">
        <v>453</v>
      </c>
      <c r="C483" s="18" t="s">
        <v>474</v>
      </c>
      <c r="D483" s="18" t="s">
        <v>113</v>
      </c>
      <c r="E483" s="18" t="s">
        <v>2062</v>
      </c>
      <c r="F483" s="18">
        <v>4027</v>
      </c>
      <c r="G483" s="18">
        <v>2486</v>
      </c>
      <c r="H483" s="18">
        <v>252</v>
      </c>
      <c r="I483" s="18">
        <v>1289</v>
      </c>
    </row>
    <row r="484" spans="1:9" x14ac:dyDescent="0.3">
      <c r="A484" t="s">
        <v>1643</v>
      </c>
      <c r="B484" s="18" t="s">
        <v>453</v>
      </c>
      <c r="C484" s="18" t="s">
        <v>474</v>
      </c>
      <c r="D484" s="18" t="s">
        <v>164</v>
      </c>
      <c r="E484" s="18" t="s">
        <v>2062</v>
      </c>
      <c r="F484" s="18">
        <v>1765</v>
      </c>
      <c r="G484" s="18">
        <v>1136</v>
      </c>
      <c r="H484" s="18">
        <v>224</v>
      </c>
      <c r="I484" s="18">
        <v>405</v>
      </c>
    </row>
    <row r="485" spans="1:9" x14ac:dyDescent="0.3">
      <c r="A485" t="s">
        <v>1644</v>
      </c>
      <c r="B485" s="18" t="s">
        <v>453</v>
      </c>
      <c r="C485" s="18" t="s">
        <v>474</v>
      </c>
      <c r="D485" s="18" t="s">
        <v>359</v>
      </c>
      <c r="E485" s="18" t="s">
        <v>2062</v>
      </c>
      <c r="F485" s="18">
        <v>510</v>
      </c>
      <c r="G485" s="18">
        <v>258</v>
      </c>
      <c r="H485" s="18">
        <v>86</v>
      </c>
      <c r="I485" s="18">
        <v>166</v>
      </c>
    </row>
    <row r="486" spans="1:9" x14ac:dyDescent="0.3">
      <c r="A486" t="s">
        <v>1990</v>
      </c>
      <c r="B486" s="18" t="s">
        <v>453</v>
      </c>
      <c r="C486" s="18" t="s">
        <v>481</v>
      </c>
      <c r="D486" s="18" t="s">
        <v>482</v>
      </c>
      <c r="E486" s="18" t="s">
        <v>2062</v>
      </c>
      <c r="F486" s="18">
        <v>425</v>
      </c>
      <c r="G486" s="18">
        <v>346</v>
      </c>
      <c r="H486" s="18">
        <v>4</v>
      </c>
      <c r="I486" s="18">
        <v>75</v>
      </c>
    </row>
    <row r="487" spans="1:9" x14ac:dyDescent="0.3">
      <c r="A487" t="s">
        <v>1645</v>
      </c>
      <c r="B487" s="18" t="s">
        <v>453</v>
      </c>
      <c r="C487" s="18" t="s">
        <v>481</v>
      </c>
      <c r="D487" s="18" t="s">
        <v>483</v>
      </c>
      <c r="E487" s="18" t="s">
        <v>2062</v>
      </c>
      <c r="F487" s="18">
        <v>483</v>
      </c>
      <c r="G487" s="18">
        <v>356</v>
      </c>
      <c r="H487" s="18">
        <v>3</v>
      </c>
      <c r="I487" s="18">
        <v>124</v>
      </c>
    </row>
    <row r="488" spans="1:9" x14ac:dyDescent="0.3">
      <c r="A488" t="s">
        <v>1326</v>
      </c>
      <c r="B488" s="18" t="s">
        <v>453</v>
      </c>
      <c r="C488" s="18" t="s">
        <v>481</v>
      </c>
      <c r="D488" s="18" t="s">
        <v>481</v>
      </c>
      <c r="E488" s="18" t="s">
        <v>2062</v>
      </c>
      <c r="F488" s="18">
        <v>3700</v>
      </c>
      <c r="G488" s="18">
        <v>2571</v>
      </c>
      <c r="H488" s="18">
        <v>318</v>
      </c>
      <c r="I488" s="18">
        <v>811</v>
      </c>
    </row>
    <row r="489" spans="1:9" x14ac:dyDescent="0.3">
      <c r="A489" t="s">
        <v>1646</v>
      </c>
      <c r="B489" s="18" t="s">
        <v>453</v>
      </c>
      <c r="C489" s="18" t="s">
        <v>481</v>
      </c>
      <c r="D489" s="18" t="s">
        <v>484</v>
      </c>
      <c r="E489" s="18" t="s">
        <v>2062</v>
      </c>
      <c r="F489" s="18">
        <v>408</v>
      </c>
      <c r="G489" s="18">
        <v>266</v>
      </c>
      <c r="H489" s="18">
        <v>21</v>
      </c>
      <c r="I489" s="18">
        <v>121</v>
      </c>
    </row>
    <row r="490" spans="1:9" x14ac:dyDescent="0.3">
      <c r="A490" t="s">
        <v>1647</v>
      </c>
      <c r="B490" s="18" t="s">
        <v>453</v>
      </c>
      <c r="C490" s="18" t="s">
        <v>485</v>
      </c>
      <c r="D490" s="18" t="s">
        <v>487</v>
      </c>
      <c r="E490" s="18" t="s">
        <v>2062</v>
      </c>
      <c r="F490" s="18">
        <v>755</v>
      </c>
      <c r="G490" s="18">
        <v>561</v>
      </c>
      <c r="H490" s="18">
        <v>28</v>
      </c>
      <c r="I490" s="18">
        <v>166</v>
      </c>
    </row>
    <row r="491" spans="1:9" x14ac:dyDescent="0.3">
      <c r="A491" t="s">
        <v>1648</v>
      </c>
      <c r="B491" s="18" t="s">
        <v>453</v>
      </c>
      <c r="C491" s="18" t="s">
        <v>485</v>
      </c>
      <c r="D491" s="18" t="s">
        <v>488</v>
      </c>
      <c r="E491" s="18" t="s">
        <v>2062</v>
      </c>
      <c r="F491" s="18">
        <v>698</v>
      </c>
      <c r="G491" s="18">
        <v>480</v>
      </c>
      <c r="H491" s="18">
        <v>29</v>
      </c>
      <c r="I491" s="18">
        <v>189</v>
      </c>
    </row>
    <row r="492" spans="1:9" x14ac:dyDescent="0.3">
      <c r="A492" t="s">
        <v>1649</v>
      </c>
      <c r="B492" s="18" t="s">
        <v>453</v>
      </c>
      <c r="C492" s="18" t="s">
        <v>485</v>
      </c>
      <c r="D492" s="18" t="s">
        <v>489</v>
      </c>
      <c r="E492" s="18" t="s">
        <v>2062</v>
      </c>
      <c r="F492" s="18">
        <v>881</v>
      </c>
      <c r="G492" s="18">
        <v>674</v>
      </c>
      <c r="H492" s="18">
        <v>27</v>
      </c>
      <c r="I492" s="18">
        <v>180</v>
      </c>
    </row>
    <row r="493" spans="1:9" x14ac:dyDescent="0.3">
      <c r="A493" t="s">
        <v>1650</v>
      </c>
      <c r="B493" s="18" t="s">
        <v>453</v>
      </c>
      <c r="C493" s="18" t="s">
        <v>485</v>
      </c>
      <c r="D493" s="18" t="s">
        <v>490</v>
      </c>
      <c r="E493" s="18" t="s">
        <v>2062</v>
      </c>
      <c r="F493" s="18">
        <v>1311</v>
      </c>
      <c r="G493" s="18">
        <v>875</v>
      </c>
      <c r="H493" s="18">
        <v>58</v>
      </c>
      <c r="I493" s="18">
        <v>378</v>
      </c>
    </row>
    <row r="494" spans="1:9" x14ac:dyDescent="0.3">
      <c r="A494" t="s">
        <v>1651</v>
      </c>
      <c r="B494" s="18" t="s">
        <v>453</v>
      </c>
      <c r="C494" s="18" t="s">
        <v>485</v>
      </c>
      <c r="D494" s="18" t="s">
        <v>491</v>
      </c>
      <c r="E494" s="18" t="s">
        <v>2062</v>
      </c>
      <c r="F494" s="18">
        <v>608</v>
      </c>
      <c r="G494" s="18">
        <v>435</v>
      </c>
      <c r="H494" s="18">
        <v>20</v>
      </c>
      <c r="I494" s="18">
        <v>153</v>
      </c>
    </row>
    <row r="495" spans="1:9" x14ac:dyDescent="0.3">
      <c r="A495" t="s">
        <v>1335</v>
      </c>
      <c r="B495" s="18" t="s">
        <v>453</v>
      </c>
      <c r="C495" s="18" t="s">
        <v>485</v>
      </c>
      <c r="D495" s="18" t="s">
        <v>486</v>
      </c>
      <c r="E495" s="18" t="s">
        <v>2062</v>
      </c>
      <c r="F495" s="18">
        <v>2446</v>
      </c>
      <c r="G495" s="18">
        <v>1633</v>
      </c>
      <c r="H495" s="18">
        <v>140</v>
      </c>
      <c r="I495" s="18">
        <v>673</v>
      </c>
    </row>
    <row r="496" spans="1:9" x14ac:dyDescent="0.3">
      <c r="A496" t="s">
        <v>1441</v>
      </c>
      <c r="B496" s="18" t="s">
        <v>492</v>
      </c>
      <c r="C496" s="18" t="s">
        <v>505</v>
      </c>
      <c r="D496" s="18" t="s">
        <v>506</v>
      </c>
      <c r="E496" s="18" t="s">
        <v>2062</v>
      </c>
      <c r="F496" s="18">
        <v>7108</v>
      </c>
      <c r="G496" s="18">
        <v>3770</v>
      </c>
      <c r="H496" s="18">
        <v>679</v>
      </c>
      <c r="I496" s="18">
        <v>2659</v>
      </c>
    </row>
    <row r="497" spans="1:9" x14ac:dyDescent="0.3">
      <c r="A497" t="s">
        <v>1659</v>
      </c>
      <c r="B497" s="18" t="s">
        <v>492</v>
      </c>
      <c r="C497" s="18" t="s">
        <v>505</v>
      </c>
      <c r="D497" s="18" t="s">
        <v>507</v>
      </c>
      <c r="E497" s="18" t="s">
        <v>2062</v>
      </c>
      <c r="F497" s="18">
        <v>491</v>
      </c>
      <c r="G497" s="18">
        <v>158</v>
      </c>
      <c r="H497" s="18">
        <v>71</v>
      </c>
      <c r="I497" s="18">
        <v>262</v>
      </c>
    </row>
    <row r="498" spans="1:9" x14ac:dyDescent="0.3">
      <c r="A498" t="s">
        <v>1660</v>
      </c>
      <c r="B498" s="18" t="s">
        <v>492</v>
      </c>
      <c r="C498" s="18" t="s">
        <v>505</v>
      </c>
      <c r="D498" s="18" t="s">
        <v>508</v>
      </c>
      <c r="E498" s="18" t="s">
        <v>2062</v>
      </c>
      <c r="F498" s="18">
        <v>1083</v>
      </c>
      <c r="G498" s="18">
        <v>400</v>
      </c>
      <c r="H498" s="18">
        <v>257</v>
      </c>
      <c r="I498" s="18">
        <v>426</v>
      </c>
    </row>
    <row r="499" spans="1:9" x14ac:dyDescent="0.3">
      <c r="A499" t="s">
        <v>1661</v>
      </c>
      <c r="B499" s="18" t="s">
        <v>492</v>
      </c>
      <c r="C499" s="18" t="s">
        <v>505</v>
      </c>
      <c r="D499" s="18" t="s">
        <v>510</v>
      </c>
      <c r="E499" s="18" t="s">
        <v>2062</v>
      </c>
      <c r="F499" s="18">
        <v>544</v>
      </c>
      <c r="G499" s="18">
        <v>183</v>
      </c>
      <c r="H499" s="18">
        <v>89</v>
      </c>
      <c r="I499" s="18">
        <v>272</v>
      </c>
    </row>
    <row r="500" spans="1:9" x14ac:dyDescent="0.3">
      <c r="A500" t="s">
        <v>1993</v>
      </c>
      <c r="B500" s="18" t="s">
        <v>492</v>
      </c>
      <c r="C500" s="18" t="s">
        <v>505</v>
      </c>
      <c r="D500" s="18" t="s">
        <v>509</v>
      </c>
      <c r="E500" s="18" t="s">
        <v>2062</v>
      </c>
      <c r="F500" s="18">
        <v>387</v>
      </c>
      <c r="G500" s="18">
        <v>141</v>
      </c>
      <c r="H500" s="18">
        <v>95</v>
      </c>
      <c r="I500" s="18">
        <v>151</v>
      </c>
    </row>
    <row r="501" spans="1:9" x14ac:dyDescent="0.3">
      <c r="A501" t="s">
        <v>1154</v>
      </c>
      <c r="B501" s="18" t="s">
        <v>492</v>
      </c>
      <c r="C501" s="18" t="s">
        <v>511</v>
      </c>
      <c r="D501" s="18" t="s">
        <v>511</v>
      </c>
      <c r="E501" s="18" t="s">
        <v>2062</v>
      </c>
      <c r="F501" s="18">
        <v>9831</v>
      </c>
      <c r="G501" s="18">
        <v>6293</v>
      </c>
      <c r="H501" s="18">
        <v>743</v>
      </c>
      <c r="I501" s="18">
        <v>2795</v>
      </c>
    </row>
    <row r="502" spans="1:9" x14ac:dyDescent="0.3">
      <c r="A502" t="s">
        <v>1662</v>
      </c>
      <c r="B502" s="18" t="s">
        <v>492</v>
      </c>
      <c r="C502" s="18" t="s">
        <v>511</v>
      </c>
      <c r="D502" s="18" t="s">
        <v>145</v>
      </c>
      <c r="E502" s="18" t="s">
        <v>2062</v>
      </c>
      <c r="F502" s="18">
        <v>1641</v>
      </c>
      <c r="G502" s="18">
        <v>932</v>
      </c>
      <c r="H502" s="18">
        <v>159</v>
      </c>
      <c r="I502" s="18">
        <v>550</v>
      </c>
    </row>
    <row r="503" spans="1:9" x14ac:dyDescent="0.3">
      <c r="A503" t="s">
        <v>1994</v>
      </c>
      <c r="B503" s="18" t="s">
        <v>492</v>
      </c>
      <c r="C503" s="18" t="s">
        <v>511</v>
      </c>
      <c r="D503" s="18" t="s">
        <v>512</v>
      </c>
      <c r="E503" s="18" t="s">
        <v>2062</v>
      </c>
      <c r="F503" s="18">
        <v>140</v>
      </c>
      <c r="G503" s="18">
        <v>95</v>
      </c>
      <c r="H503" s="18">
        <v>5</v>
      </c>
      <c r="I503" s="18">
        <v>40</v>
      </c>
    </row>
    <row r="504" spans="1:9" x14ac:dyDescent="0.3">
      <c r="A504" t="s">
        <v>1663</v>
      </c>
      <c r="B504" s="18" t="s">
        <v>492</v>
      </c>
      <c r="C504" s="18" t="s">
        <v>511</v>
      </c>
      <c r="D504" s="18" t="s">
        <v>513</v>
      </c>
      <c r="E504" s="18" t="s">
        <v>2062</v>
      </c>
      <c r="F504" s="18">
        <v>703</v>
      </c>
      <c r="G504" s="18">
        <v>416</v>
      </c>
      <c r="H504" s="18">
        <v>70</v>
      </c>
      <c r="I504" s="18">
        <v>217</v>
      </c>
    </row>
    <row r="505" spans="1:9" x14ac:dyDescent="0.3">
      <c r="A505" t="s">
        <v>1664</v>
      </c>
      <c r="B505" s="18" t="s">
        <v>492</v>
      </c>
      <c r="C505" s="18" t="s">
        <v>511</v>
      </c>
      <c r="D505" s="18" t="s">
        <v>514</v>
      </c>
      <c r="E505" s="18" t="s">
        <v>2062</v>
      </c>
      <c r="F505" s="18">
        <v>211</v>
      </c>
      <c r="G505" s="18">
        <v>149</v>
      </c>
      <c r="H505" s="18">
        <v>13</v>
      </c>
      <c r="I505" s="18">
        <v>49</v>
      </c>
    </row>
    <row r="506" spans="1:9" x14ac:dyDescent="0.3">
      <c r="A506" t="s">
        <v>1400</v>
      </c>
      <c r="B506" s="18" t="s">
        <v>492</v>
      </c>
      <c r="C506" s="18" t="s">
        <v>515</v>
      </c>
      <c r="D506" s="18" t="s">
        <v>515</v>
      </c>
      <c r="E506" s="18" t="s">
        <v>2062</v>
      </c>
      <c r="F506" s="18">
        <v>2433</v>
      </c>
      <c r="G506" s="18">
        <v>1358</v>
      </c>
      <c r="H506" s="18">
        <v>234</v>
      </c>
      <c r="I506" s="18">
        <v>841</v>
      </c>
    </row>
    <row r="507" spans="1:9" x14ac:dyDescent="0.3">
      <c r="A507" t="s">
        <v>1665</v>
      </c>
      <c r="B507" s="18" t="s">
        <v>492</v>
      </c>
      <c r="C507" s="18" t="s">
        <v>515</v>
      </c>
      <c r="D507" s="18" t="s">
        <v>516</v>
      </c>
      <c r="E507" s="18" t="s">
        <v>2062</v>
      </c>
      <c r="F507" s="18">
        <v>456</v>
      </c>
      <c r="G507" s="18">
        <v>207</v>
      </c>
      <c r="H507" s="18">
        <v>128</v>
      </c>
      <c r="I507" s="18">
        <v>121</v>
      </c>
    </row>
    <row r="508" spans="1:9" x14ac:dyDescent="0.3">
      <c r="A508" t="s">
        <v>1666</v>
      </c>
      <c r="B508" s="18" t="s">
        <v>492</v>
      </c>
      <c r="C508" s="18" t="s">
        <v>515</v>
      </c>
      <c r="D508" s="18" t="s">
        <v>517</v>
      </c>
      <c r="E508" s="18" t="s">
        <v>2062</v>
      </c>
      <c r="F508" s="18">
        <v>1248</v>
      </c>
      <c r="G508" s="18">
        <v>574</v>
      </c>
      <c r="H508" s="18">
        <v>272</v>
      </c>
      <c r="I508" s="18">
        <v>402</v>
      </c>
    </row>
    <row r="509" spans="1:9" x14ac:dyDescent="0.3">
      <c r="A509" t="s">
        <v>1667</v>
      </c>
      <c r="B509" s="18" t="s">
        <v>492</v>
      </c>
      <c r="C509" s="18" t="s">
        <v>515</v>
      </c>
      <c r="D509" s="18" t="s">
        <v>431</v>
      </c>
      <c r="E509" s="18" t="s">
        <v>2062</v>
      </c>
      <c r="F509" s="18">
        <v>984</v>
      </c>
      <c r="G509" s="18">
        <v>569</v>
      </c>
      <c r="H509" s="18">
        <v>65</v>
      </c>
      <c r="I509" s="18">
        <v>350</v>
      </c>
    </row>
    <row r="510" spans="1:9" x14ac:dyDescent="0.3">
      <c r="A510" t="s">
        <v>1668</v>
      </c>
      <c r="B510" s="18" t="s">
        <v>492</v>
      </c>
      <c r="C510" s="18" t="s">
        <v>515</v>
      </c>
      <c r="D510" s="18" t="s">
        <v>518</v>
      </c>
      <c r="E510" s="18" t="s">
        <v>2062</v>
      </c>
      <c r="F510" s="18">
        <v>276</v>
      </c>
      <c r="G510" s="18">
        <v>76</v>
      </c>
      <c r="H510" s="18">
        <v>124</v>
      </c>
      <c r="I510" s="18">
        <v>76</v>
      </c>
    </row>
    <row r="511" spans="1:9" x14ac:dyDescent="0.3">
      <c r="A511" t="s">
        <v>1998</v>
      </c>
      <c r="B511" s="18" t="s">
        <v>492</v>
      </c>
      <c r="C511" s="18" t="s">
        <v>519</v>
      </c>
      <c r="D511" s="18" t="s">
        <v>521</v>
      </c>
      <c r="E511" s="18" t="s">
        <v>2062</v>
      </c>
      <c r="F511" s="18">
        <v>223</v>
      </c>
      <c r="G511" s="18">
        <v>127</v>
      </c>
      <c r="H511" s="18">
        <v>10</v>
      </c>
      <c r="I511" s="18">
        <v>86</v>
      </c>
    </row>
    <row r="512" spans="1:9" x14ac:dyDescent="0.3">
      <c r="A512" t="s">
        <v>1995</v>
      </c>
      <c r="B512" s="18" t="s">
        <v>492</v>
      </c>
      <c r="C512" s="18" t="s">
        <v>519</v>
      </c>
      <c r="D512" s="18" t="s">
        <v>306</v>
      </c>
      <c r="E512" s="18" t="s">
        <v>2062</v>
      </c>
      <c r="F512" s="18">
        <v>471</v>
      </c>
      <c r="G512" s="18">
        <v>281</v>
      </c>
      <c r="H512" s="18">
        <v>16</v>
      </c>
      <c r="I512" s="18">
        <v>174</v>
      </c>
    </row>
    <row r="513" spans="1:9" x14ac:dyDescent="0.3">
      <c r="A513" t="s">
        <v>1669</v>
      </c>
      <c r="B513" s="18" t="s">
        <v>492</v>
      </c>
      <c r="C513" s="18" t="s">
        <v>519</v>
      </c>
      <c r="D513" s="18" t="s">
        <v>519</v>
      </c>
      <c r="E513" s="18" t="s">
        <v>2062</v>
      </c>
      <c r="F513" s="18">
        <v>1370</v>
      </c>
      <c r="G513" s="18">
        <v>696</v>
      </c>
      <c r="H513" s="18">
        <v>178</v>
      </c>
      <c r="I513" s="18">
        <v>496</v>
      </c>
    </row>
    <row r="514" spans="1:9" x14ac:dyDescent="0.3">
      <c r="A514" t="s">
        <v>1996</v>
      </c>
      <c r="B514" s="18" t="s">
        <v>492</v>
      </c>
      <c r="C514" s="18" t="s">
        <v>519</v>
      </c>
      <c r="D514" s="18" t="s">
        <v>418</v>
      </c>
      <c r="E514" s="18" t="s">
        <v>2062</v>
      </c>
      <c r="F514" s="18">
        <v>166</v>
      </c>
      <c r="G514" s="18">
        <v>86</v>
      </c>
      <c r="H514" s="18">
        <v>17</v>
      </c>
      <c r="I514" s="18">
        <v>63</v>
      </c>
    </row>
    <row r="515" spans="1:9" x14ac:dyDescent="0.3">
      <c r="A515" t="s">
        <v>1997</v>
      </c>
      <c r="B515" s="18" t="s">
        <v>492</v>
      </c>
      <c r="C515" s="18" t="s">
        <v>519</v>
      </c>
      <c r="D515" s="18" t="s">
        <v>520</v>
      </c>
      <c r="E515" s="18" t="s">
        <v>2062</v>
      </c>
      <c r="F515" s="18">
        <v>460</v>
      </c>
      <c r="G515" s="18">
        <v>262</v>
      </c>
      <c r="H515" s="18">
        <v>24</v>
      </c>
      <c r="I515" s="18">
        <v>174</v>
      </c>
    </row>
    <row r="516" spans="1:9" x14ac:dyDescent="0.3">
      <c r="A516" t="s">
        <v>1674</v>
      </c>
      <c r="B516" s="18" t="s">
        <v>492</v>
      </c>
      <c r="C516" s="18" t="s">
        <v>522</v>
      </c>
      <c r="D516" s="18" t="s">
        <v>525</v>
      </c>
      <c r="E516" s="18" t="s">
        <v>2062</v>
      </c>
      <c r="F516" s="18">
        <v>732</v>
      </c>
      <c r="G516" s="18">
        <v>274</v>
      </c>
      <c r="H516" s="18">
        <v>173</v>
      </c>
      <c r="I516" s="18">
        <v>285</v>
      </c>
    </row>
    <row r="517" spans="1:9" x14ac:dyDescent="0.3">
      <c r="A517" t="s">
        <v>1670</v>
      </c>
      <c r="B517" s="18" t="s">
        <v>492</v>
      </c>
      <c r="C517" s="18" t="s">
        <v>522</v>
      </c>
      <c r="D517" s="18" t="s">
        <v>86</v>
      </c>
      <c r="E517" s="18" t="s">
        <v>2062</v>
      </c>
      <c r="F517" s="18">
        <v>1595</v>
      </c>
      <c r="G517" s="18">
        <v>763</v>
      </c>
      <c r="H517" s="18">
        <v>262</v>
      </c>
      <c r="I517" s="18">
        <v>570</v>
      </c>
    </row>
    <row r="518" spans="1:9" x14ac:dyDescent="0.3">
      <c r="A518" t="s">
        <v>1671</v>
      </c>
      <c r="B518" s="18" t="s">
        <v>492</v>
      </c>
      <c r="C518" s="18" t="s">
        <v>522</v>
      </c>
      <c r="D518" s="18" t="s">
        <v>324</v>
      </c>
      <c r="E518" s="18" t="s">
        <v>2062</v>
      </c>
      <c r="F518" s="18">
        <v>871</v>
      </c>
      <c r="G518" s="18">
        <v>344</v>
      </c>
      <c r="H518" s="18">
        <v>183</v>
      </c>
      <c r="I518" s="18">
        <v>344</v>
      </c>
    </row>
    <row r="519" spans="1:9" x14ac:dyDescent="0.3">
      <c r="A519" t="s">
        <v>1999</v>
      </c>
      <c r="B519" s="18" t="s">
        <v>492</v>
      </c>
      <c r="C519" s="18" t="s">
        <v>522</v>
      </c>
      <c r="D519" s="18" t="s">
        <v>526</v>
      </c>
      <c r="E519" s="18" t="s">
        <v>2062</v>
      </c>
      <c r="F519" s="18">
        <v>327</v>
      </c>
      <c r="G519" s="18">
        <v>141</v>
      </c>
      <c r="H519" s="18">
        <v>26</v>
      </c>
      <c r="I519" s="18">
        <v>160</v>
      </c>
    </row>
    <row r="520" spans="1:9" x14ac:dyDescent="0.3">
      <c r="A520" t="s">
        <v>1675</v>
      </c>
      <c r="B520" s="18" t="s">
        <v>492</v>
      </c>
      <c r="C520" s="18" t="s">
        <v>522</v>
      </c>
      <c r="D520" s="18" t="s">
        <v>304</v>
      </c>
      <c r="E520" s="18" t="s">
        <v>2062</v>
      </c>
      <c r="F520" s="18">
        <v>596</v>
      </c>
      <c r="G520" s="18">
        <v>257</v>
      </c>
      <c r="H520" s="18">
        <v>121</v>
      </c>
      <c r="I520" s="18">
        <v>218</v>
      </c>
    </row>
    <row r="521" spans="1:9" x14ac:dyDescent="0.3">
      <c r="A521" t="s">
        <v>1672</v>
      </c>
      <c r="B521" s="18" t="s">
        <v>492</v>
      </c>
      <c r="C521" s="18" t="s">
        <v>522</v>
      </c>
      <c r="D521" s="18" t="s">
        <v>523</v>
      </c>
      <c r="E521" s="18" t="s">
        <v>2062</v>
      </c>
      <c r="F521" s="18">
        <v>752</v>
      </c>
      <c r="G521" s="18">
        <v>282</v>
      </c>
      <c r="H521" s="18">
        <v>208</v>
      </c>
      <c r="I521" s="18">
        <v>262</v>
      </c>
    </row>
    <row r="522" spans="1:9" x14ac:dyDescent="0.3">
      <c r="A522" t="s">
        <v>1673</v>
      </c>
      <c r="B522" s="18" t="s">
        <v>492</v>
      </c>
      <c r="C522" s="18" t="s">
        <v>522</v>
      </c>
      <c r="D522" s="18" t="s">
        <v>524</v>
      </c>
      <c r="E522" s="18" t="s">
        <v>2062</v>
      </c>
      <c r="F522" s="18">
        <v>559</v>
      </c>
      <c r="G522" s="18">
        <v>224</v>
      </c>
      <c r="H522" s="18">
        <v>74</v>
      </c>
      <c r="I522" s="18">
        <v>261</v>
      </c>
    </row>
    <row r="523" spans="1:9" x14ac:dyDescent="0.3">
      <c r="A523" t="s">
        <v>1676</v>
      </c>
      <c r="B523" s="18" t="s">
        <v>492</v>
      </c>
      <c r="C523" s="18" t="s">
        <v>527</v>
      </c>
      <c r="D523" s="18" t="s">
        <v>528</v>
      </c>
      <c r="E523" s="18" t="s">
        <v>2062</v>
      </c>
      <c r="F523" s="18">
        <v>894</v>
      </c>
      <c r="G523" s="18">
        <v>405</v>
      </c>
      <c r="H523" s="18">
        <v>130</v>
      </c>
      <c r="I523" s="18">
        <v>359</v>
      </c>
    </row>
    <row r="524" spans="1:9" x14ac:dyDescent="0.3">
      <c r="A524" t="s">
        <v>1266</v>
      </c>
      <c r="B524" s="18" t="s">
        <v>492</v>
      </c>
      <c r="C524" s="18" t="s">
        <v>527</v>
      </c>
      <c r="D524" s="18" t="s">
        <v>527</v>
      </c>
      <c r="E524" s="18" t="s">
        <v>2062</v>
      </c>
      <c r="F524" s="18">
        <v>1109</v>
      </c>
      <c r="G524" s="18">
        <v>675</v>
      </c>
      <c r="H524" s="18">
        <v>55</v>
      </c>
      <c r="I524" s="18">
        <v>379</v>
      </c>
    </row>
    <row r="525" spans="1:9" x14ac:dyDescent="0.3">
      <c r="A525" t="s">
        <v>2000</v>
      </c>
      <c r="B525" s="18" t="s">
        <v>492</v>
      </c>
      <c r="C525" s="18" t="s">
        <v>527</v>
      </c>
      <c r="D525" s="18" t="s">
        <v>529</v>
      </c>
      <c r="E525" s="18" t="s">
        <v>2062</v>
      </c>
      <c r="F525" s="18">
        <v>1629</v>
      </c>
      <c r="G525" s="18">
        <v>922</v>
      </c>
      <c r="H525" s="18">
        <v>132</v>
      </c>
      <c r="I525" s="18">
        <v>575</v>
      </c>
    </row>
    <row r="526" spans="1:9" x14ac:dyDescent="0.3">
      <c r="A526" t="s">
        <v>1677</v>
      </c>
      <c r="B526" s="18" t="s">
        <v>492</v>
      </c>
      <c r="C526" s="18" t="s">
        <v>527</v>
      </c>
      <c r="D526" s="18" t="s">
        <v>530</v>
      </c>
      <c r="E526" s="18" t="s">
        <v>2062</v>
      </c>
      <c r="F526" s="18">
        <v>396</v>
      </c>
      <c r="G526" s="18">
        <v>211</v>
      </c>
      <c r="H526" s="18">
        <v>32</v>
      </c>
      <c r="I526" s="18">
        <v>153</v>
      </c>
    </row>
    <row r="527" spans="1:9" x14ac:dyDescent="0.3">
      <c r="A527" t="s">
        <v>1678</v>
      </c>
      <c r="B527" s="18" t="s">
        <v>492</v>
      </c>
      <c r="C527" s="18" t="s">
        <v>527</v>
      </c>
      <c r="D527" s="18" t="s">
        <v>531</v>
      </c>
      <c r="E527" s="18" t="s">
        <v>2062</v>
      </c>
      <c r="F527" s="18">
        <v>710</v>
      </c>
      <c r="G527" s="18">
        <v>336</v>
      </c>
      <c r="H527" s="18">
        <v>108</v>
      </c>
      <c r="I527" s="18">
        <v>266</v>
      </c>
    </row>
    <row r="528" spans="1:9" x14ac:dyDescent="0.3">
      <c r="A528" t="s">
        <v>1652</v>
      </c>
      <c r="B528" s="18" t="s">
        <v>492</v>
      </c>
      <c r="C528" s="18" t="s">
        <v>492</v>
      </c>
      <c r="D528" s="18" t="s">
        <v>493</v>
      </c>
      <c r="E528" s="18" t="s">
        <v>2062</v>
      </c>
      <c r="F528" s="18">
        <v>376</v>
      </c>
      <c r="G528" s="18">
        <v>169</v>
      </c>
      <c r="H528" s="18">
        <v>28</v>
      </c>
      <c r="I528" s="18">
        <v>179</v>
      </c>
    </row>
    <row r="529" spans="1:9" x14ac:dyDescent="0.3">
      <c r="A529" t="s">
        <v>1653</v>
      </c>
      <c r="B529" s="18" t="s">
        <v>492</v>
      </c>
      <c r="C529" s="18" t="s">
        <v>492</v>
      </c>
      <c r="D529" s="18" t="s">
        <v>494</v>
      </c>
      <c r="E529" s="18" t="s">
        <v>2062</v>
      </c>
      <c r="F529" s="18">
        <v>732</v>
      </c>
      <c r="G529" s="18">
        <v>398</v>
      </c>
      <c r="H529" s="18">
        <v>81</v>
      </c>
      <c r="I529" s="18">
        <v>253</v>
      </c>
    </row>
    <row r="530" spans="1:9" x14ac:dyDescent="0.3">
      <c r="A530" t="s">
        <v>1118</v>
      </c>
      <c r="B530" s="18" t="s">
        <v>492</v>
      </c>
      <c r="C530" s="18" t="s">
        <v>492</v>
      </c>
      <c r="D530" s="18" t="s">
        <v>495</v>
      </c>
      <c r="E530" s="18" t="s">
        <v>2062</v>
      </c>
      <c r="F530" s="18">
        <v>572</v>
      </c>
      <c r="G530" s="18">
        <v>272</v>
      </c>
      <c r="H530" s="18">
        <v>27</v>
      </c>
      <c r="I530" s="18">
        <v>273</v>
      </c>
    </row>
    <row r="531" spans="1:9" x14ac:dyDescent="0.3">
      <c r="A531" t="s">
        <v>1991</v>
      </c>
      <c r="B531" s="18" t="s">
        <v>492</v>
      </c>
      <c r="C531" s="18" t="s">
        <v>492</v>
      </c>
      <c r="D531" s="18" t="s">
        <v>496</v>
      </c>
      <c r="E531" s="18" t="s">
        <v>2062</v>
      </c>
      <c r="F531" s="18">
        <v>685</v>
      </c>
      <c r="G531" s="18">
        <v>395</v>
      </c>
      <c r="H531" s="18">
        <v>26</v>
      </c>
      <c r="I531" s="18">
        <v>264</v>
      </c>
    </row>
    <row r="532" spans="1:9" x14ac:dyDescent="0.3">
      <c r="A532" t="s">
        <v>1992</v>
      </c>
      <c r="B532" s="18" t="s">
        <v>492</v>
      </c>
      <c r="C532" s="18" t="s">
        <v>492</v>
      </c>
      <c r="D532" s="18" t="s">
        <v>497</v>
      </c>
      <c r="E532" s="18" t="s">
        <v>2062</v>
      </c>
      <c r="F532" s="18">
        <v>346</v>
      </c>
      <c r="G532" s="18">
        <v>163</v>
      </c>
      <c r="H532" s="18">
        <v>54</v>
      </c>
      <c r="I532" s="18">
        <v>129</v>
      </c>
    </row>
    <row r="533" spans="1:9" x14ac:dyDescent="0.3">
      <c r="A533" t="s">
        <v>1360</v>
      </c>
      <c r="B533" s="18" t="s">
        <v>492</v>
      </c>
      <c r="C533" s="18" t="s">
        <v>492</v>
      </c>
      <c r="D533" s="18" t="s">
        <v>492</v>
      </c>
      <c r="E533" s="18" t="s">
        <v>2062</v>
      </c>
      <c r="F533" s="18">
        <v>75890</v>
      </c>
      <c r="G533" s="18">
        <v>48118</v>
      </c>
      <c r="H533" s="18">
        <v>5641</v>
      </c>
      <c r="I533" s="18">
        <v>22131</v>
      </c>
    </row>
    <row r="534" spans="1:9" x14ac:dyDescent="0.3">
      <c r="A534" t="s">
        <v>1244</v>
      </c>
      <c r="B534" s="18" t="s">
        <v>492</v>
      </c>
      <c r="C534" s="18" t="s">
        <v>492</v>
      </c>
      <c r="D534" s="18" t="s">
        <v>498</v>
      </c>
      <c r="E534" s="18" t="s">
        <v>2062</v>
      </c>
      <c r="F534" s="18">
        <v>3342</v>
      </c>
      <c r="G534" s="18">
        <v>2000</v>
      </c>
      <c r="H534" s="18">
        <v>274</v>
      </c>
      <c r="I534" s="18">
        <v>1068</v>
      </c>
    </row>
    <row r="535" spans="1:9" x14ac:dyDescent="0.3">
      <c r="A535" t="s">
        <v>1658</v>
      </c>
      <c r="B535" s="18" t="s">
        <v>492</v>
      </c>
      <c r="C535" s="18" t="s">
        <v>492</v>
      </c>
      <c r="D535" s="18" t="s">
        <v>504</v>
      </c>
      <c r="E535" s="18" t="s">
        <v>2062</v>
      </c>
      <c r="F535" s="18">
        <v>617</v>
      </c>
      <c r="G535" s="18">
        <v>333</v>
      </c>
      <c r="H535" s="18">
        <v>85</v>
      </c>
      <c r="I535" s="18">
        <v>199</v>
      </c>
    </row>
    <row r="536" spans="1:9" x14ac:dyDescent="0.3">
      <c r="A536" t="s">
        <v>1203</v>
      </c>
      <c r="B536" s="18" t="s">
        <v>492</v>
      </c>
      <c r="C536" s="18" t="s">
        <v>492</v>
      </c>
      <c r="D536" s="18" t="s">
        <v>499</v>
      </c>
      <c r="E536" s="18" t="s">
        <v>2062</v>
      </c>
      <c r="F536" s="18">
        <v>1429</v>
      </c>
      <c r="G536" s="18">
        <v>722</v>
      </c>
      <c r="H536" s="18">
        <v>219</v>
      </c>
      <c r="I536" s="18">
        <v>488</v>
      </c>
    </row>
    <row r="537" spans="1:9" x14ac:dyDescent="0.3">
      <c r="A537" t="s">
        <v>1654</v>
      </c>
      <c r="B537" s="18" t="s">
        <v>492</v>
      </c>
      <c r="C537" s="18" t="s">
        <v>492</v>
      </c>
      <c r="D537" s="18" t="s">
        <v>500</v>
      </c>
      <c r="E537" s="18" t="s">
        <v>2062</v>
      </c>
      <c r="F537" s="18">
        <v>537</v>
      </c>
      <c r="G537" s="18">
        <v>279</v>
      </c>
      <c r="H537" s="18">
        <v>44</v>
      </c>
      <c r="I537" s="18">
        <v>214</v>
      </c>
    </row>
    <row r="538" spans="1:9" x14ac:dyDescent="0.3">
      <c r="A538" t="s">
        <v>1655</v>
      </c>
      <c r="B538" s="18" t="s">
        <v>492</v>
      </c>
      <c r="C538" s="18" t="s">
        <v>492</v>
      </c>
      <c r="D538" s="18" t="s">
        <v>114</v>
      </c>
      <c r="E538" s="18" t="s">
        <v>2062</v>
      </c>
      <c r="F538" s="18">
        <v>395</v>
      </c>
      <c r="G538" s="18">
        <v>151</v>
      </c>
      <c r="H538" s="18">
        <v>72</v>
      </c>
      <c r="I538" s="18">
        <v>172</v>
      </c>
    </row>
    <row r="539" spans="1:9" x14ac:dyDescent="0.3">
      <c r="A539" t="s">
        <v>1656</v>
      </c>
      <c r="B539" s="18" t="s">
        <v>492</v>
      </c>
      <c r="C539" s="18" t="s">
        <v>492</v>
      </c>
      <c r="D539" s="18" t="s">
        <v>501</v>
      </c>
      <c r="E539" s="18" t="s">
        <v>2062</v>
      </c>
      <c r="F539" s="18">
        <v>1279</v>
      </c>
      <c r="G539" s="18">
        <v>727</v>
      </c>
      <c r="H539" s="18">
        <v>138</v>
      </c>
      <c r="I539" s="18">
        <v>414</v>
      </c>
    </row>
    <row r="540" spans="1:9" x14ac:dyDescent="0.3">
      <c r="A540" t="s">
        <v>1436</v>
      </c>
      <c r="B540" s="18" t="s">
        <v>492</v>
      </c>
      <c r="C540" s="18" t="s">
        <v>492</v>
      </c>
      <c r="D540" s="18" t="s">
        <v>502</v>
      </c>
      <c r="E540" s="18" t="s">
        <v>2062</v>
      </c>
      <c r="F540" s="18">
        <v>2137</v>
      </c>
      <c r="G540" s="18">
        <v>1250</v>
      </c>
      <c r="H540" s="18">
        <v>176</v>
      </c>
      <c r="I540" s="18">
        <v>711</v>
      </c>
    </row>
    <row r="541" spans="1:9" x14ac:dyDescent="0.3">
      <c r="A541" t="s">
        <v>1657</v>
      </c>
      <c r="B541" s="18" t="s">
        <v>492</v>
      </c>
      <c r="C541" s="18" t="s">
        <v>492</v>
      </c>
      <c r="D541" s="18" t="s">
        <v>503</v>
      </c>
      <c r="E541" s="18" t="s">
        <v>2062</v>
      </c>
      <c r="F541" s="18">
        <v>580</v>
      </c>
      <c r="G541" s="18">
        <v>316</v>
      </c>
      <c r="H541" s="18">
        <v>54</v>
      </c>
      <c r="I541" s="18">
        <v>210</v>
      </c>
    </row>
    <row r="542" spans="1:9" x14ac:dyDescent="0.3">
      <c r="A542" t="s">
        <v>1680</v>
      </c>
      <c r="B542" s="18" t="s">
        <v>492</v>
      </c>
      <c r="C542" s="18" t="s">
        <v>532</v>
      </c>
      <c r="D542" s="18" t="s">
        <v>207</v>
      </c>
      <c r="E542" s="18" t="s">
        <v>2062</v>
      </c>
      <c r="F542" s="18">
        <v>538</v>
      </c>
      <c r="G542" s="18">
        <v>287</v>
      </c>
      <c r="H542" s="18">
        <v>15</v>
      </c>
      <c r="I542" s="18">
        <v>236</v>
      </c>
    </row>
    <row r="543" spans="1:9" x14ac:dyDescent="0.3">
      <c r="A543" t="s">
        <v>1679</v>
      </c>
      <c r="B543" s="18" t="s">
        <v>492</v>
      </c>
      <c r="C543" s="18" t="s">
        <v>532</v>
      </c>
      <c r="D543" s="18" t="s">
        <v>533</v>
      </c>
      <c r="E543" s="18" t="s">
        <v>2062</v>
      </c>
      <c r="F543" s="18">
        <v>378</v>
      </c>
      <c r="G543" s="18">
        <v>270</v>
      </c>
      <c r="H543" s="18">
        <v>12</v>
      </c>
      <c r="I543" s="18">
        <v>96</v>
      </c>
    </row>
    <row r="544" spans="1:9" x14ac:dyDescent="0.3">
      <c r="A544" t="s">
        <v>1346</v>
      </c>
      <c r="B544" s="18" t="s">
        <v>492</v>
      </c>
      <c r="C544" s="18" t="s">
        <v>532</v>
      </c>
      <c r="D544" s="18" t="s">
        <v>532</v>
      </c>
      <c r="E544" s="18" t="s">
        <v>2062</v>
      </c>
      <c r="F544" s="18">
        <v>5402</v>
      </c>
      <c r="G544" s="18">
        <v>3395</v>
      </c>
      <c r="H544" s="18">
        <v>465</v>
      </c>
      <c r="I544" s="18">
        <v>1542</v>
      </c>
    </row>
    <row r="545" spans="1:9" x14ac:dyDescent="0.3">
      <c r="A545" t="s">
        <v>1681</v>
      </c>
      <c r="B545" s="18" t="s">
        <v>492</v>
      </c>
      <c r="C545" s="18" t="s">
        <v>532</v>
      </c>
      <c r="D545" s="18" t="s">
        <v>534</v>
      </c>
      <c r="E545" s="18" t="s">
        <v>2062</v>
      </c>
      <c r="F545" s="18">
        <v>270</v>
      </c>
      <c r="G545" s="18">
        <v>172</v>
      </c>
      <c r="H545" s="18">
        <v>4</v>
      </c>
      <c r="I545" s="18">
        <v>94</v>
      </c>
    </row>
    <row r="546" spans="1:9" x14ac:dyDescent="0.3">
      <c r="A546" t="s">
        <v>1705</v>
      </c>
      <c r="B546" s="18" t="s">
        <v>492</v>
      </c>
      <c r="C546" s="18" t="s">
        <v>577</v>
      </c>
      <c r="D546" s="18" t="s">
        <v>578</v>
      </c>
      <c r="E546" s="18" t="s">
        <v>2062</v>
      </c>
      <c r="F546" s="18">
        <v>193</v>
      </c>
      <c r="G546" s="18">
        <v>101</v>
      </c>
      <c r="H546" s="18">
        <v>18</v>
      </c>
      <c r="I546" s="18">
        <v>74</v>
      </c>
    </row>
    <row r="547" spans="1:9" x14ac:dyDescent="0.3">
      <c r="A547" t="s">
        <v>1704</v>
      </c>
      <c r="B547" s="18" t="s">
        <v>492</v>
      </c>
      <c r="C547" s="18" t="s">
        <v>577</v>
      </c>
      <c r="D547" s="18" t="s">
        <v>577</v>
      </c>
      <c r="E547" s="18" t="s">
        <v>2062</v>
      </c>
      <c r="F547" s="18">
        <v>1444</v>
      </c>
      <c r="G547" s="18">
        <v>849</v>
      </c>
      <c r="H547" s="18">
        <v>84</v>
      </c>
      <c r="I547" s="18">
        <v>511</v>
      </c>
    </row>
    <row r="548" spans="1:9" x14ac:dyDescent="0.3">
      <c r="A548" t="s">
        <v>2001</v>
      </c>
      <c r="B548" s="18" t="s">
        <v>492</v>
      </c>
      <c r="C548" s="18" t="s">
        <v>535</v>
      </c>
      <c r="D548" s="18" t="s">
        <v>537</v>
      </c>
      <c r="E548" s="18" t="s">
        <v>2062</v>
      </c>
      <c r="F548" s="18">
        <v>404</v>
      </c>
      <c r="G548" s="18">
        <v>145</v>
      </c>
      <c r="H548" s="18">
        <v>59</v>
      </c>
      <c r="I548" s="18">
        <v>200</v>
      </c>
    </row>
    <row r="549" spans="1:9" x14ac:dyDescent="0.3">
      <c r="A549" t="s">
        <v>1686</v>
      </c>
      <c r="B549" s="18" t="s">
        <v>492</v>
      </c>
      <c r="C549" s="18" t="s">
        <v>535</v>
      </c>
      <c r="D549" s="18" t="s">
        <v>541</v>
      </c>
      <c r="E549" s="18" t="s">
        <v>2062</v>
      </c>
      <c r="F549" s="18">
        <v>696</v>
      </c>
      <c r="G549" s="18">
        <v>325</v>
      </c>
      <c r="H549" s="18">
        <v>117</v>
      </c>
      <c r="I549" s="18">
        <v>254</v>
      </c>
    </row>
    <row r="550" spans="1:9" x14ac:dyDescent="0.3">
      <c r="A550" t="s">
        <v>1682</v>
      </c>
      <c r="B550" s="18" t="s">
        <v>492</v>
      </c>
      <c r="C550" s="18" t="s">
        <v>535</v>
      </c>
      <c r="D550" s="18" t="s">
        <v>536</v>
      </c>
      <c r="E550" s="18" t="s">
        <v>2062</v>
      </c>
      <c r="F550" s="18">
        <v>4380</v>
      </c>
      <c r="G550" s="18">
        <v>2168</v>
      </c>
      <c r="H550" s="18">
        <v>688</v>
      </c>
      <c r="I550" s="18">
        <v>1524</v>
      </c>
    </row>
    <row r="551" spans="1:9" x14ac:dyDescent="0.3">
      <c r="A551" t="s">
        <v>1683</v>
      </c>
      <c r="B551" s="18" t="s">
        <v>492</v>
      </c>
      <c r="C551" s="18" t="s">
        <v>535</v>
      </c>
      <c r="D551" s="18" t="s">
        <v>538</v>
      </c>
      <c r="E551" s="18" t="s">
        <v>2062</v>
      </c>
      <c r="F551" s="18">
        <v>919</v>
      </c>
      <c r="G551" s="18">
        <v>685</v>
      </c>
      <c r="H551" s="18">
        <v>24</v>
      </c>
      <c r="I551" s="18">
        <v>210</v>
      </c>
    </row>
    <row r="552" spans="1:9" x14ac:dyDescent="0.3">
      <c r="A552" t="s">
        <v>1684</v>
      </c>
      <c r="B552" s="18" t="s">
        <v>492</v>
      </c>
      <c r="C552" s="18" t="s">
        <v>535</v>
      </c>
      <c r="D552" s="18" t="s">
        <v>539</v>
      </c>
      <c r="E552" s="18" t="s">
        <v>2062</v>
      </c>
      <c r="F552" s="18">
        <v>642</v>
      </c>
      <c r="G552" s="18">
        <v>335</v>
      </c>
      <c r="H552" s="18">
        <v>39</v>
      </c>
      <c r="I552" s="18">
        <v>268</v>
      </c>
    </row>
    <row r="553" spans="1:9" x14ac:dyDescent="0.3">
      <c r="A553" t="s">
        <v>2002</v>
      </c>
      <c r="B553" s="18" t="s">
        <v>492</v>
      </c>
      <c r="C553" s="18" t="s">
        <v>535</v>
      </c>
      <c r="D553" s="18" t="s">
        <v>540</v>
      </c>
      <c r="E553" s="18" t="s">
        <v>2062</v>
      </c>
      <c r="F553" s="18">
        <v>609</v>
      </c>
      <c r="G553" s="18">
        <v>408</v>
      </c>
      <c r="H553" s="18">
        <v>31</v>
      </c>
      <c r="I553" s="18">
        <v>170</v>
      </c>
    </row>
    <row r="554" spans="1:9" x14ac:dyDescent="0.3">
      <c r="A554" t="s">
        <v>1685</v>
      </c>
      <c r="B554" s="18" t="s">
        <v>492</v>
      </c>
      <c r="C554" s="18" t="s">
        <v>535</v>
      </c>
      <c r="D554" s="18" t="s">
        <v>138</v>
      </c>
      <c r="E554" s="18" t="s">
        <v>2062</v>
      </c>
      <c r="F554" s="18">
        <v>440</v>
      </c>
      <c r="G554" s="18">
        <v>160</v>
      </c>
      <c r="H554" s="18">
        <v>24</v>
      </c>
      <c r="I554" s="18">
        <v>256</v>
      </c>
    </row>
    <row r="555" spans="1:9" x14ac:dyDescent="0.3">
      <c r="A555" t="s">
        <v>1687</v>
      </c>
      <c r="B555" s="18" t="s">
        <v>492</v>
      </c>
      <c r="C555" s="18" t="s">
        <v>535</v>
      </c>
      <c r="D555" s="18" t="s">
        <v>542</v>
      </c>
      <c r="E555" s="18" t="s">
        <v>2062</v>
      </c>
      <c r="F555" s="18">
        <v>493</v>
      </c>
      <c r="G555" s="18">
        <v>209</v>
      </c>
      <c r="H555" s="18">
        <v>56</v>
      </c>
      <c r="I555" s="18">
        <v>228</v>
      </c>
    </row>
    <row r="556" spans="1:9" x14ac:dyDescent="0.3">
      <c r="A556" t="s">
        <v>1700</v>
      </c>
      <c r="B556" s="18" t="s">
        <v>492</v>
      </c>
      <c r="C556" s="18" t="s">
        <v>570</v>
      </c>
      <c r="D556" s="18" t="s">
        <v>572</v>
      </c>
      <c r="E556" s="18" t="s">
        <v>2062</v>
      </c>
      <c r="F556" s="18">
        <v>789</v>
      </c>
      <c r="G556" s="18">
        <v>554</v>
      </c>
      <c r="H556" s="18">
        <v>22</v>
      </c>
      <c r="I556" s="18">
        <v>213</v>
      </c>
    </row>
    <row r="557" spans="1:9" x14ac:dyDescent="0.3">
      <c r="A557" t="s">
        <v>2008</v>
      </c>
      <c r="B557" s="18" t="s">
        <v>492</v>
      </c>
      <c r="C557" s="18" t="s">
        <v>570</v>
      </c>
      <c r="D557" s="18" t="s">
        <v>571</v>
      </c>
      <c r="E557" s="18" t="s">
        <v>2062</v>
      </c>
      <c r="F557" s="18">
        <v>401</v>
      </c>
      <c r="G557" s="18">
        <v>270</v>
      </c>
      <c r="H557" s="18">
        <v>7</v>
      </c>
      <c r="I557" s="18">
        <v>124</v>
      </c>
    </row>
    <row r="558" spans="1:9" x14ac:dyDescent="0.3">
      <c r="A558" t="s">
        <v>1701</v>
      </c>
      <c r="B558" s="18" t="s">
        <v>492</v>
      </c>
      <c r="C558" s="18" t="s">
        <v>570</v>
      </c>
      <c r="D558" s="18" t="s">
        <v>573</v>
      </c>
      <c r="E558" s="18" t="s">
        <v>2062</v>
      </c>
      <c r="F558" s="18">
        <v>1129</v>
      </c>
      <c r="G558" s="18">
        <v>892</v>
      </c>
      <c r="H558" s="18">
        <v>41</v>
      </c>
      <c r="I558" s="18">
        <v>196</v>
      </c>
    </row>
    <row r="559" spans="1:9" x14ac:dyDescent="0.3">
      <c r="A559" t="s">
        <v>1282</v>
      </c>
      <c r="B559" s="18" t="s">
        <v>492</v>
      </c>
      <c r="C559" s="18" t="s">
        <v>570</v>
      </c>
      <c r="D559" s="18" t="s">
        <v>570</v>
      </c>
      <c r="E559" s="18" t="s">
        <v>2062</v>
      </c>
      <c r="F559" s="18">
        <v>1595</v>
      </c>
      <c r="G559" s="18">
        <v>1050</v>
      </c>
      <c r="H559" s="18">
        <v>165</v>
      </c>
      <c r="I559" s="18">
        <v>380</v>
      </c>
    </row>
    <row r="560" spans="1:9" x14ac:dyDescent="0.3">
      <c r="A560" t="s">
        <v>1225</v>
      </c>
      <c r="B560" s="18" t="s">
        <v>492</v>
      </c>
      <c r="C560" s="18" t="s">
        <v>543</v>
      </c>
      <c r="D560" s="18" t="s">
        <v>544</v>
      </c>
      <c r="E560" s="18" t="s">
        <v>2062</v>
      </c>
      <c r="F560" s="18">
        <v>3303</v>
      </c>
      <c r="G560" s="18">
        <v>2171</v>
      </c>
      <c r="H560" s="18">
        <v>309</v>
      </c>
      <c r="I560" s="18">
        <v>823</v>
      </c>
    </row>
    <row r="561" spans="1:9" x14ac:dyDescent="0.3">
      <c r="A561" t="s">
        <v>1688</v>
      </c>
      <c r="B561" s="18" t="s">
        <v>492</v>
      </c>
      <c r="C561" s="18" t="s">
        <v>543</v>
      </c>
      <c r="D561" s="18" t="s">
        <v>545</v>
      </c>
      <c r="E561" s="18" t="s">
        <v>2062</v>
      </c>
      <c r="F561" s="18">
        <v>536</v>
      </c>
      <c r="G561" s="18">
        <v>227</v>
      </c>
      <c r="H561" s="18">
        <v>96</v>
      </c>
      <c r="I561" s="18">
        <v>213</v>
      </c>
    </row>
    <row r="562" spans="1:9" x14ac:dyDescent="0.3">
      <c r="A562" t="s">
        <v>1689</v>
      </c>
      <c r="B562" s="18" t="s">
        <v>492</v>
      </c>
      <c r="C562" s="18" t="s">
        <v>543</v>
      </c>
      <c r="D562" s="18" t="s">
        <v>546</v>
      </c>
      <c r="E562" s="18" t="s">
        <v>2062</v>
      </c>
      <c r="F562" s="18">
        <v>464</v>
      </c>
      <c r="G562" s="18">
        <v>213</v>
      </c>
      <c r="H562" s="18">
        <v>76</v>
      </c>
      <c r="I562" s="18">
        <v>175</v>
      </c>
    </row>
    <row r="563" spans="1:9" x14ac:dyDescent="0.3">
      <c r="A563" t="s">
        <v>1690</v>
      </c>
      <c r="B563" s="18" t="s">
        <v>492</v>
      </c>
      <c r="C563" s="18" t="s">
        <v>543</v>
      </c>
      <c r="D563" s="18" t="s">
        <v>547</v>
      </c>
      <c r="E563" s="18" t="s">
        <v>2062</v>
      </c>
      <c r="F563" s="18">
        <v>939</v>
      </c>
      <c r="G563" s="18">
        <v>681</v>
      </c>
      <c r="H563" s="18">
        <v>40</v>
      </c>
      <c r="I563" s="18">
        <v>218</v>
      </c>
    </row>
    <row r="564" spans="1:9" x14ac:dyDescent="0.3">
      <c r="A564" t="s">
        <v>1691</v>
      </c>
      <c r="B564" s="18" t="s">
        <v>492</v>
      </c>
      <c r="C564" s="18" t="s">
        <v>543</v>
      </c>
      <c r="D564" s="18" t="s">
        <v>548</v>
      </c>
      <c r="E564" s="18" t="s">
        <v>2062</v>
      </c>
      <c r="F564" s="18">
        <v>483</v>
      </c>
      <c r="G564" s="18">
        <v>287</v>
      </c>
      <c r="H564" s="18">
        <v>27</v>
      </c>
      <c r="I564" s="18">
        <v>169</v>
      </c>
    </row>
    <row r="565" spans="1:9" x14ac:dyDescent="0.3">
      <c r="A565" t="s">
        <v>1692</v>
      </c>
      <c r="B565" s="18" t="s">
        <v>492</v>
      </c>
      <c r="C565" s="18" t="s">
        <v>543</v>
      </c>
      <c r="D565" s="18" t="s">
        <v>549</v>
      </c>
      <c r="E565" s="18" t="s">
        <v>2062</v>
      </c>
      <c r="F565" s="18">
        <v>395</v>
      </c>
      <c r="G565" s="18">
        <v>160</v>
      </c>
      <c r="H565" s="18">
        <v>81</v>
      </c>
      <c r="I565" s="18">
        <v>154</v>
      </c>
    </row>
    <row r="566" spans="1:9" x14ac:dyDescent="0.3">
      <c r="A566" t="s">
        <v>2009</v>
      </c>
      <c r="B566" s="18" t="s">
        <v>492</v>
      </c>
      <c r="C566" s="18" t="s">
        <v>574</v>
      </c>
      <c r="D566" s="18" t="s">
        <v>575</v>
      </c>
      <c r="E566" s="18" t="s">
        <v>2062</v>
      </c>
      <c r="F566" s="18">
        <v>124</v>
      </c>
      <c r="G566" s="18">
        <v>74</v>
      </c>
      <c r="H566" s="18">
        <v>10</v>
      </c>
      <c r="I566" s="18">
        <v>40</v>
      </c>
    </row>
    <row r="567" spans="1:9" x14ac:dyDescent="0.3">
      <c r="A567" t="s">
        <v>1702</v>
      </c>
      <c r="B567" s="18" t="s">
        <v>492</v>
      </c>
      <c r="C567" s="18" t="s">
        <v>574</v>
      </c>
      <c r="D567" s="18" t="s">
        <v>574</v>
      </c>
      <c r="E567" s="18" t="s">
        <v>2062</v>
      </c>
      <c r="F567" s="18">
        <v>987</v>
      </c>
      <c r="G567" s="18">
        <v>486</v>
      </c>
      <c r="H567" s="18">
        <v>165</v>
      </c>
      <c r="I567" s="18">
        <v>336</v>
      </c>
    </row>
    <row r="568" spans="1:9" x14ac:dyDescent="0.3">
      <c r="A568" t="s">
        <v>1703</v>
      </c>
      <c r="B568" s="18" t="s">
        <v>492</v>
      </c>
      <c r="C568" s="18" t="s">
        <v>574</v>
      </c>
      <c r="D568" s="18" t="s">
        <v>576</v>
      </c>
      <c r="E568" s="18" t="s">
        <v>2062</v>
      </c>
      <c r="F568" s="18">
        <v>425</v>
      </c>
      <c r="G568" s="18">
        <v>223</v>
      </c>
      <c r="H568" s="18">
        <v>64</v>
      </c>
      <c r="I568" s="18">
        <v>138</v>
      </c>
    </row>
    <row r="569" spans="1:9" x14ac:dyDescent="0.3">
      <c r="A569" t="s">
        <v>1082</v>
      </c>
      <c r="B569" s="18" t="s">
        <v>492</v>
      </c>
      <c r="C569" s="18" t="s">
        <v>550</v>
      </c>
      <c r="D569" s="18" t="s">
        <v>551</v>
      </c>
      <c r="E569" s="18" t="s">
        <v>2062</v>
      </c>
      <c r="F569" s="18">
        <v>731</v>
      </c>
      <c r="G569" s="18">
        <v>331</v>
      </c>
      <c r="H569" s="18">
        <v>74</v>
      </c>
      <c r="I569" s="18">
        <v>326</v>
      </c>
    </row>
    <row r="570" spans="1:9" x14ac:dyDescent="0.3">
      <c r="A570" t="s">
        <v>1094</v>
      </c>
      <c r="B570" s="18" t="s">
        <v>492</v>
      </c>
      <c r="C570" s="18" t="s">
        <v>550</v>
      </c>
      <c r="D570" s="18" t="s">
        <v>552</v>
      </c>
      <c r="E570" s="18" t="s">
        <v>2062</v>
      </c>
      <c r="F570" s="18">
        <v>344</v>
      </c>
      <c r="G570" s="18">
        <v>179</v>
      </c>
      <c r="H570" s="18">
        <v>41</v>
      </c>
      <c r="I570" s="18">
        <v>124</v>
      </c>
    </row>
    <row r="571" spans="1:9" x14ac:dyDescent="0.3">
      <c r="A571" t="s">
        <v>1032</v>
      </c>
      <c r="B571" s="18" t="s">
        <v>492</v>
      </c>
      <c r="C571" s="18" t="s">
        <v>550</v>
      </c>
      <c r="D571" s="18" t="s">
        <v>553</v>
      </c>
      <c r="E571" s="18" t="s">
        <v>2062</v>
      </c>
      <c r="F571" s="18">
        <v>552</v>
      </c>
      <c r="G571" s="18">
        <v>211</v>
      </c>
      <c r="H571" s="18">
        <v>74</v>
      </c>
      <c r="I571" s="18">
        <v>267</v>
      </c>
    </row>
    <row r="572" spans="1:9" x14ac:dyDescent="0.3">
      <c r="A572" t="s">
        <v>1130</v>
      </c>
      <c r="B572" s="18" t="s">
        <v>492</v>
      </c>
      <c r="C572" s="18" t="s">
        <v>550</v>
      </c>
      <c r="D572" s="18" t="s">
        <v>554</v>
      </c>
      <c r="E572" s="18" t="s">
        <v>2062</v>
      </c>
      <c r="F572" s="18">
        <v>740</v>
      </c>
      <c r="G572" s="18">
        <v>314</v>
      </c>
      <c r="H572" s="18">
        <v>24</v>
      </c>
      <c r="I572" s="18">
        <v>402</v>
      </c>
    </row>
    <row r="573" spans="1:9" x14ac:dyDescent="0.3">
      <c r="A573" t="s">
        <v>1096</v>
      </c>
      <c r="B573" s="18" t="s">
        <v>492</v>
      </c>
      <c r="C573" s="18" t="s">
        <v>550</v>
      </c>
      <c r="D573" s="18" t="s">
        <v>555</v>
      </c>
      <c r="E573" s="18" t="s">
        <v>2062</v>
      </c>
      <c r="F573" s="18">
        <v>387</v>
      </c>
      <c r="G573" s="18">
        <v>186</v>
      </c>
      <c r="H573" s="18">
        <v>54</v>
      </c>
      <c r="I573" s="18">
        <v>147</v>
      </c>
    </row>
    <row r="574" spans="1:9" x14ac:dyDescent="0.3">
      <c r="A574" t="s">
        <v>2003</v>
      </c>
      <c r="B574" s="18" t="s">
        <v>492</v>
      </c>
      <c r="C574" s="18" t="s">
        <v>550</v>
      </c>
      <c r="D574" s="18" t="s">
        <v>556</v>
      </c>
      <c r="E574" s="18" t="s">
        <v>2062</v>
      </c>
      <c r="F574" s="18">
        <v>1136</v>
      </c>
      <c r="G574" s="18">
        <v>394</v>
      </c>
      <c r="H574" s="18">
        <v>161</v>
      </c>
      <c r="I574" s="18">
        <v>581</v>
      </c>
    </row>
    <row r="575" spans="1:9" x14ac:dyDescent="0.3">
      <c r="A575" t="s">
        <v>1033</v>
      </c>
      <c r="B575" s="18" t="s">
        <v>492</v>
      </c>
      <c r="C575" s="18" t="s">
        <v>550</v>
      </c>
      <c r="D575" s="18" t="s">
        <v>557</v>
      </c>
      <c r="E575" s="18" t="s">
        <v>2062</v>
      </c>
      <c r="F575" s="18">
        <v>327</v>
      </c>
      <c r="G575" s="18">
        <v>253</v>
      </c>
      <c r="H575" s="18">
        <v>9</v>
      </c>
      <c r="I575" s="18">
        <v>65</v>
      </c>
    </row>
    <row r="576" spans="1:9" x14ac:dyDescent="0.3">
      <c r="A576" t="s">
        <v>1310</v>
      </c>
      <c r="B576" s="18" t="s">
        <v>492</v>
      </c>
      <c r="C576" s="18" t="s">
        <v>550</v>
      </c>
      <c r="D576" s="18" t="s">
        <v>550</v>
      </c>
      <c r="E576" s="18" t="s">
        <v>2062</v>
      </c>
      <c r="F576" s="18">
        <v>3140</v>
      </c>
      <c r="G576" s="18">
        <v>1769</v>
      </c>
      <c r="H576" s="18">
        <v>245</v>
      </c>
      <c r="I576" s="18">
        <v>1126</v>
      </c>
    </row>
    <row r="577" spans="1:9" x14ac:dyDescent="0.3">
      <c r="A577" t="s">
        <v>1693</v>
      </c>
      <c r="B577" s="18" t="s">
        <v>492</v>
      </c>
      <c r="C577" s="18" t="s">
        <v>550</v>
      </c>
      <c r="D577" s="18" t="s">
        <v>359</v>
      </c>
      <c r="E577" s="18" t="s">
        <v>2062</v>
      </c>
      <c r="F577" s="18">
        <v>492</v>
      </c>
      <c r="G577" s="18">
        <v>172</v>
      </c>
      <c r="H577" s="18">
        <v>67</v>
      </c>
      <c r="I577" s="18">
        <v>253</v>
      </c>
    </row>
    <row r="578" spans="1:9" x14ac:dyDescent="0.3">
      <c r="A578" t="s">
        <v>1034</v>
      </c>
      <c r="B578" s="18" t="s">
        <v>492</v>
      </c>
      <c r="C578" s="18" t="s">
        <v>550</v>
      </c>
      <c r="D578" s="18" t="s">
        <v>559</v>
      </c>
      <c r="E578" s="18" t="s">
        <v>2062</v>
      </c>
      <c r="F578" s="18">
        <v>509</v>
      </c>
      <c r="G578" s="18">
        <v>414</v>
      </c>
      <c r="H578" s="18">
        <v>7</v>
      </c>
      <c r="I578" s="18">
        <v>88</v>
      </c>
    </row>
    <row r="579" spans="1:9" x14ac:dyDescent="0.3">
      <c r="A579" t="s">
        <v>1694</v>
      </c>
      <c r="B579" s="18" t="s">
        <v>492</v>
      </c>
      <c r="C579" s="18" t="s">
        <v>550</v>
      </c>
      <c r="D579" s="18" t="s">
        <v>558</v>
      </c>
      <c r="E579" s="18" t="s">
        <v>2062</v>
      </c>
      <c r="F579" s="18">
        <v>1325</v>
      </c>
      <c r="G579" s="18">
        <v>691</v>
      </c>
      <c r="H579" s="18">
        <v>93</v>
      </c>
      <c r="I579" s="18">
        <v>541</v>
      </c>
    </row>
    <row r="580" spans="1:9" x14ac:dyDescent="0.3">
      <c r="A580" t="s">
        <v>2004</v>
      </c>
      <c r="B580" s="18" t="s">
        <v>492</v>
      </c>
      <c r="C580" s="18" t="s">
        <v>560</v>
      </c>
      <c r="D580" s="18" t="s">
        <v>561</v>
      </c>
      <c r="E580" s="18" t="s">
        <v>2062</v>
      </c>
      <c r="F580" s="18">
        <v>330</v>
      </c>
      <c r="G580" s="18">
        <v>162</v>
      </c>
      <c r="H580" s="18">
        <v>60</v>
      </c>
      <c r="I580" s="18">
        <v>108</v>
      </c>
    </row>
    <row r="581" spans="1:9" x14ac:dyDescent="0.3">
      <c r="A581" t="s">
        <v>1695</v>
      </c>
      <c r="B581" s="18" t="s">
        <v>492</v>
      </c>
      <c r="C581" s="18" t="s">
        <v>560</v>
      </c>
      <c r="D581" s="18" t="s">
        <v>560</v>
      </c>
      <c r="E581" s="18" t="s">
        <v>2062</v>
      </c>
      <c r="F581" s="18">
        <v>1369</v>
      </c>
      <c r="G581" s="18">
        <v>656</v>
      </c>
      <c r="H581" s="18">
        <v>180</v>
      </c>
      <c r="I581" s="18">
        <v>533</v>
      </c>
    </row>
    <row r="582" spans="1:9" x14ac:dyDescent="0.3">
      <c r="A582" t="s">
        <v>2005</v>
      </c>
      <c r="B582" s="18" t="s">
        <v>492</v>
      </c>
      <c r="C582" s="18" t="s">
        <v>560</v>
      </c>
      <c r="D582" s="18" t="s">
        <v>562</v>
      </c>
      <c r="E582" s="18" t="s">
        <v>2062</v>
      </c>
      <c r="F582" s="18">
        <v>865</v>
      </c>
      <c r="G582" s="18">
        <v>287</v>
      </c>
      <c r="H582" s="18">
        <v>201</v>
      </c>
      <c r="I582" s="18">
        <v>377</v>
      </c>
    </row>
    <row r="583" spans="1:9" x14ac:dyDescent="0.3">
      <c r="A583" t="s">
        <v>2006</v>
      </c>
      <c r="B583" s="18" t="s">
        <v>492</v>
      </c>
      <c r="C583" s="18" t="s">
        <v>563</v>
      </c>
      <c r="D583" s="18" t="s">
        <v>568</v>
      </c>
      <c r="E583" s="18" t="s">
        <v>2062</v>
      </c>
      <c r="F583" s="18">
        <v>484</v>
      </c>
      <c r="G583" s="18">
        <v>173</v>
      </c>
      <c r="H583" s="18">
        <v>174</v>
      </c>
      <c r="I583" s="18">
        <v>137</v>
      </c>
    </row>
    <row r="584" spans="1:9" x14ac:dyDescent="0.3">
      <c r="A584" t="s">
        <v>2007</v>
      </c>
      <c r="B584" s="18" t="s">
        <v>492</v>
      </c>
      <c r="C584" s="18" t="s">
        <v>563</v>
      </c>
      <c r="D584" s="18" t="s">
        <v>569</v>
      </c>
      <c r="E584" s="18" t="s">
        <v>2062</v>
      </c>
      <c r="F584" s="18">
        <v>202</v>
      </c>
      <c r="G584" s="18">
        <v>90</v>
      </c>
      <c r="H584" s="18">
        <v>40</v>
      </c>
      <c r="I584" s="18">
        <v>72</v>
      </c>
    </row>
    <row r="585" spans="1:9" x14ac:dyDescent="0.3">
      <c r="A585" t="s">
        <v>1697</v>
      </c>
      <c r="B585" s="18" t="s">
        <v>492</v>
      </c>
      <c r="C585" s="18" t="s">
        <v>563</v>
      </c>
      <c r="D585" s="18" t="s">
        <v>565</v>
      </c>
      <c r="E585" s="18" t="s">
        <v>2062</v>
      </c>
      <c r="F585" s="18">
        <v>709</v>
      </c>
      <c r="G585" s="18">
        <v>418</v>
      </c>
      <c r="H585" s="18">
        <v>112</v>
      </c>
      <c r="I585" s="18">
        <v>179</v>
      </c>
    </row>
    <row r="586" spans="1:9" x14ac:dyDescent="0.3">
      <c r="A586" t="s">
        <v>1698</v>
      </c>
      <c r="B586" s="18" t="s">
        <v>492</v>
      </c>
      <c r="C586" s="18" t="s">
        <v>563</v>
      </c>
      <c r="D586" s="18" t="s">
        <v>566</v>
      </c>
      <c r="E586" s="18" t="s">
        <v>2062</v>
      </c>
      <c r="F586" s="18">
        <v>678</v>
      </c>
      <c r="G586" s="18">
        <v>462</v>
      </c>
      <c r="H586" s="18">
        <v>68</v>
      </c>
      <c r="I586" s="18">
        <v>148</v>
      </c>
    </row>
    <row r="587" spans="1:9" x14ac:dyDescent="0.3">
      <c r="A587" t="s">
        <v>1696</v>
      </c>
      <c r="B587" s="18" t="s">
        <v>492</v>
      </c>
      <c r="C587" s="18" t="s">
        <v>563</v>
      </c>
      <c r="D587" s="18" t="s">
        <v>564</v>
      </c>
      <c r="E587" s="18" t="s">
        <v>2062</v>
      </c>
      <c r="F587" s="18">
        <v>344</v>
      </c>
      <c r="G587" s="18">
        <v>191</v>
      </c>
      <c r="H587" s="18">
        <v>56</v>
      </c>
      <c r="I587" s="18">
        <v>97</v>
      </c>
    </row>
    <row r="588" spans="1:9" x14ac:dyDescent="0.3">
      <c r="A588" t="s">
        <v>1699</v>
      </c>
      <c r="B588" s="18" t="s">
        <v>492</v>
      </c>
      <c r="C588" s="18" t="s">
        <v>563</v>
      </c>
      <c r="D588" s="18" t="s">
        <v>567</v>
      </c>
      <c r="E588" s="18" t="s">
        <v>2062</v>
      </c>
      <c r="F588" s="18">
        <v>993</v>
      </c>
      <c r="G588" s="18">
        <v>643</v>
      </c>
      <c r="H588" s="18">
        <v>136</v>
      </c>
      <c r="I588" s="18">
        <v>214</v>
      </c>
    </row>
    <row r="589" spans="1:9" x14ac:dyDescent="0.3">
      <c r="A589" t="s">
        <v>1328</v>
      </c>
      <c r="B589" s="18" t="s">
        <v>492</v>
      </c>
      <c r="C589" s="18" t="s">
        <v>563</v>
      </c>
      <c r="D589" s="18" t="s">
        <v>563</v>
      </c>
      <c r="E589" s="18" t="s">
        <v>2062</v>
      </c>
      <c r="F589" s="18">
        <v>2142</v>
      </c>
      <c r="G589" s="18">
        <v>1452</v>
      </c>
      <c r="H589" s="18">
        <v>177</v>
      </c>
      <c r="I589" s="18">
        <v>513</v>
      </c>
    </row>
    <row r="590" spans="1:9" x14ac:dyDescent="0.3">
      <c r="A590" t="s">
        <v>1109</v>
      </c>
      <c r="B590" s="18" t="s">
        <v>579</v>
      </c>
      <c r="C590" s="18" t="s">
        <v>584</v>
      </c>
      <c r="D590" s="18" t="s">
        <v>584</v>
      </c>
      <c r="E590" s="18" t="s">
        <v>2062</v>
      </c>
      <c r="F590" s="18">
        <v>7707</v>
      </c>
      <c r="G590" s="18">
        <v>4902</v>
      </c>
      <c r="H590" s="18">
        <v>893</v>
      </c>
      <c r="I590" s="18">
        <v>1912</v>
      </c>
    </row>
    <row r="591" spans="1:9" x14ac:dyDescent="0.3">
      <c r="A591" t="s">
        <v>1709</v>
      </c>
      <c r="B591" s="18" t="s">
        <v>579</v>
      </c>
      <c r="C591" s="18" t="s">
        <v>584</v>
      </c>
      <c r="D591" s="18" t="s">
        <v>585</v>
      </c>
      <c r="E591" s="18" t="s">
        <v>2062</v>
      </c>
      <c r="F591" s="18">
        <v>4977</v>
      </c>
      <c r="G591" s="18">
        <v>3173</v>
      </c>
      <c r="H591" s="18">
        <v>546</v>
      </c>
      <c r="I591" s="18">
        <v>1258</v>
      </c>
    </row>
    <row r="592" spans="1:9" x14ac:dyDescent="0.3">
      <c r="A592" t="s">
        <v>1710</v>
      </c>
      <c r="B592" s="18" t="s">
        <v>579</v>
      </c>
      <c r="C592" s="18" t="s">
        <v>584</v>
      </c>
      <c r="D592" s="18" t="s">
        <v>586</v>
      </c>
      <c r="E592" s="18" t="s">
        <v>2062</v>
      </c>
      <c r="F592" s="18">
        <v>3566</v>
      </c>
      <c r="G592" s="18">
        <v>2433</v>
      </c>
      <c r="H592" s="18">
        <v>265</v>
      </c>
      <c r="I592" s="18">
        <v>868</v>
      </c>
    </row>
    <row r="593" spans="1:9" x14ac:dyDescent="0.3">
      <c r="A593" t="s">
        <v>1291</v>
      </c>
      <c r="B593" s="18" t="s">
        <v>579</v>
      </c>
      <c r="C593" s="18" t="s">
        <v>580</v>
      </c>
      <c r="D593" s="18" t="s">
        <v>580</v>
      </c>
      <c r="E593" s="18" t="s">
        <v>2062</v>
      </c>
      <c r="F593" s="18">
        <v>39065</v>
      </c>
      <c r="G593" s="18">
        <v>23956</v>
      </c>
      <c r="H593" s="18">
        <v>4218</v>
      </c>
      <c r="I593" s="18">
        <v>10891</v>
      </c>
    </row>
    <row r="594" spans="1:9" x14ac:dyDescent="0.3">
      <c r="A594" t="s">
        <v>1706</v>
      </c>
      <c r="B594" s="18" t="s">
        <v>579</v>
      </c>
      <c r="C594" s="18" t="s">
        <v>580</v>
      </c>
      <c r="D594" s="18" t="s">
        <v>581</v>
      </c>
      <c r="E594" s="18" t="s">
        <v>2062</v>
      </c>
      <c r="F594" s="18">
        <v>1845</v>
      </c>
      <c r="G594" s="18">
        <v>1181</v>
      </c>
      <c r="H594" s="18">
        <v>250</v>
      </c>
      <c r="I594" s="18">
        <v>414</v>
      </c>
    </row>
    <row r="595" spans="1:9" x14ac:dyDescent="0.3">
      <c r="A595" t="s">
        <v>1707</v>
      </c>
      <c r="B595" s="18" t="s">
        <v>579</v>
      </c>
      <c r="C595" s="18" t="s">
        <v>580</v>
      </c>
      <c r="D595" s="18" t="s">
        <v>582</v>
      </c>
      <c r="E595" s="18" t="s">
        <v>2062</v>
      </c>
      <c r="F595" s="18">
        <v>6900</v>
      </c>
      <c r="G595" s="18">
        <v>4585</v>
      </c>
      <c r="H595" s="18">
        <v>540</v>
      </c>
      <c r="I595" s="18">
        <v>1775</v>
      </c>
    </row>
    <row r="596" spans="1:9" x14ac:dyDescent="0.3">
      <c r="A596" t="s">
        <v>1708</v>
      </c>
      <c r="B596" s="18" t="s">
        <v>579</v>
      </c>
      <c r="C596" s="18" t="s">
        <v>580</v>
      </c>
      <c r="D596" s="18" t="s">
        <v>80</v>
      </c>
      <c r="E596" s="18" t="s">
        <v>2062</v>
      </c>
      <c r="F596" s="18">
        <v>5147</v>
      </c>
      <c r="G596" s="18">
        <v>3407</v>
      </c>
      <c r="H596" s="18">
        <v>493</v>
      </c>
      <c r="I596" s="18">
        <v>1247</v>
      </c>
    </row>
    <row r="597" spans="1:9" x14ac:dyDescent="0.3">
      <c r="A597" t="s">
        <v>1423</v>
      </c>
      <c r="B597" s="18" t="s">
        <v>579</v>
      </c>
      <c r="C597" s="18" t="s">
        <v>580</v>
      </c>
      <c r="D597" s="18" t="s">
        <v>583</v>
      </c>
      <c r="E597" s="18" t="s">
        <v>2062</v>
      </c>
      <c r="F597" s="18">
        <v>9713</v>
      </c>
      <c r="G597" s="18">
        <v>6240</v>
      </c>
      <c r="H597" s="18">
        <v>752</v>
      </c>
      <c r="I597" s="18">
        <v>2721</v>
      </c>
    </row>
    <row r="598" spans="1:9" x14ac:dyDescent="0.3">
      <c r="A598" t="s">
        <v>1249</v>
      </c>
      <c r="B598" s="18" t="s">
        <v>579</v>
      </c>
      <c r="C598" s="18" t="s">
        <v>599</v>
      </c>
      <c r="D598" s="18" t="s">
        <v>601</v>
      </c>
      <c r="E598" s="18" t="s">
        <v>2062</v>
      </c>
      <c r="F598" s="18">
        <v>4942</v>
      </c>
      <c r="G598" s="18">
        <v>3518</v>
      </c>
      <c r="H598" s="18">
        <v>316</v>
      </c>
      <c r="I598" s="18">
        <v>1108</v>
      </c>
    </row>
    <row r="599" spans="1:9" x14ac:dyDescent="0.3">
      <c r="A599" t="s">
        <v>1406</v>
      </c>
      <c r="B599" s="18" t="s">
        <v>579</v>
      </c>
      <c r="C599" s="18" t="s">
        <v>599</v>
      </c>
      <c r="D599" s="18" t="s">
        <v>600</v>
      </c>
      <c r="E599" s="18" t="s">
        <v>2062</v>
      </c>
      <c r="F599" s="18">
        <v>20060</v>
      </c>
      <c r="G599" s="18">
        <v>12693</v>
      </c>
      <c r="H599" s="18">
        <v>2231</v>
      </c>
      <c r="I599" s="18">
        <v>5136</v>
      </c>
    </row>
    <row r="600" spans="1:9" x14ac:dyDescent="0.3">
      <c r="A600" t="s">
        <v>1416</v>
      </c>
      <c r="B600" s="18" t="s">
        <v>579</v>
      </c>
      <c r="C600" s="18" t="s">
        <v>603</v>
      </c>
      <c r="D600" s="18" t="s">
        <v>603</v>
      </c>
      <c r="E600" s="18" t="s">
        <v>2062</v>
      </c>
      <c r="F600" s="18">
        <v>15270</v>
      </c>
      <c r="G600" s="18">
        <v>10248</v>
      </c>
      <c r="H600" s="18">
        <v>1274</v>
      </c>
      <c r="I600" s="18">
        <v>3748</v>
      </c>
    </row>
    <row r="601" spans="1:9" x14ac:dyDescent="0.3">
      <c r="A601" t="s">
        <v>2010</v>
      </c>
      <c r="B601" s="18" t="s">
        <v>579</v>
      </c>
      <c r="C601" s="18" t="s">
        <v>397</v>
      </c>
      <c r="D601" s="18" t="s">
        <v>587</v>
      </c>
      <c r="E601" s="18" t="s">
        <v>2062</v>
      </c>
      <c r="F601" s="18">
        <v>978</v>
      </c>
      <c r="G601" s="18">
        <v>688</v>
      </c>
      <c r="H601" s="18">
        <v>53</v>
      </c>
      <c r="I601" s="18">
        <v>237</v>
      </c>
    </row>
    <row r="602" spans="1:9" x14ac:dyDescent="0.3">
      <c r="A602" t="s">
        <v>1711</v>
      </c>
      <c r="B602" s="18" t="s">
        <v>579</v>
      </c>
      <c r="C602" s="18" t="s">
        <v>397</v>
      </c>
      <c r="D602" s="18" t="s">
        <v>397</v>
      </c>
      <c r="E602" s="18" t="s">
        <v>2062</v>
      </c>
      <c r="F602" s="18">
        <v>9367</v>
      </c>
      <c r="G602" s="18">
        <v>5855</v>
      </c>
      <c r="H602" s="18">
        <v>1021</v>
      </c>
      <c r="I602" s="18">
        <v>2491</v>
      </c>
    </row>
    <row r="603" spans="1:9" x14ac:dyDescent="0.3">
      <c r="A603" t="s">
        <v>1717</v>
      </c>
      <c r="B603" s="18" t="s">
        <v>579</v>
      </c>
      <c r="C603" s="18" t="s">
        <v>598</v>
      </c>
      <c r="D603" s="18" t="s">
        <v>598</v>
      </c>
      <c r="E603" s="18" t="s">
        <v>2062</v>
      </c>
      <c r="F603" s="18">
        <v>9033</v>
      </c>
      <c r="G603" s="18">
        <v>6026</v>
      </c>
      <c r="H603" s="18">
        <v>963</v>
      </c>
      <c r="I603" s="18">
        <v>2044</v>
      </c>
    </row>
    <row r="604" spans="1:9" x14ac:dyDescent="0.3">
      <c r="A604" t="s">
        <v>1345</v>
      </c>
      <c r="B604" s="18" t="s">
        <v>579</v>
      </c>
      <c r="C604" s="18" t="s">
        <v>588</v>
      </c>
      <c r="D604" s="18" t="s">
        <v>588</v>
      </c>
      <c r="E604" s="18" t="s">
        <v>2062</v>
      </c>
      <c r="F604" s="18">
        <v>5038</v>
      </c>
      <c r="G604" s="18">
        <v>3439</v>
      </c>
      <c r="H604" s="18">
        <v>330</v>
      </c>
      <c r="I604" s="18">
        <v>1269</v>
      </c>
    </row>
    <row r="605" spans="1:9" x14ac:dyDescent="0.3">
      <c r="A605" t="s">
        <v>2011</v>
      </c>
      <c r="B605" s="18" t="s">
        <v>579</v>
      </c>
      <c r="C605" s="18" t="s">
        <v>588</v>
      </c>
      <c r="D605" s="18" t="s">
        <v>589</v>
      </c>
      <c r="E605" s="18" t="s">
        <v>2062</v>
      </c>
      <c r="F605" s="18">
        <v>1802</v>
      </c>
      <c r="G605" s="18">
        <v>1174</v>
      </c>
      <c r="H605" s="18">
        <v>177</v>
      </c>
      <c r="I605" s="18">
        <v>451</v>
      </c>
    </row>
    <row r="606" spans="1:9" x14ac:dyDescent="0.3">
      <c r="A606" t="s">
        <v>1283</v>
      </c>
      <c r="B606" s="18" t="s">
        <v>579</v>
      </c>
      <c r="C606" s="18" t="s">
        <v>588</v>
      </c>
      <c r="D606" s="18" t="s">
        <v>44</v>
      </c>
      <c r="E606" s="18" t="s">
        <v>2062</v>
      </c>
      <c r="F606" s="18">
        <v>6955</v>
      </c>
      <c r="G606" s="18">
        <v>4811</v>
      </c>
      <c r="H606" s="18">
        <v>485</v>
      </c>
      <c r="I606" s="18">
        <v>1659</v>
      </c>
    </row>
    <row r="607" spans="1:9" x14ac:dyDescent="0.3">
      <c r="A607" t="s">
        <v>1156</v>
      </c>
      <c r="B607" s="18" t="s">
        <v>579</v>
      </c>
      <c r="C607" s="18" t="s">
        <v>590</v>
      </c>
      <c r="D607" s="18" t="s">
        <v>459</v>
      </c>
      <c r="E607" s="18" t="s">
        <v>2062</v>
      </c>
      <c r="F607" s="18">
        <v>2291</v>
      </c>
      <c r="G607" s="18">
        <v>1541</v>
      </c>
      <c r="H607" s="18">
        <v>185</v>
      </c>
      <c r="I607" s="18">
        <v>565</v>
      </c>
    </row>
    <row r="608" spans="1:9" x14ac:dyDescent="0.3">
      <c r="A608" t="s">
        <v>1430</v>
      </c>
      <c r="B608" s="18" t="s">
        <v>579</v>
      </c>
      <c r="C608" s="18" t="s">
        <v>590</v>
      </c>
      <c r="D608" s="18" t="s">
        <v>590</v>
      </c>
      <c r="E608" s="18" t="s">
        <v>2062</v>
      </c>
      <c r="F608" s="18">
        <v>64126</v>
      </c>
      <c r="G608" s="18">
        <v>38837</v>
      </c>
      <c r="H608" s="18">
        <v>7329</v>
      </c>
      <c r="I608" s="18">
        <v>17960</v>
      </c>
    </row>
    <row r="609" spans="1:9" x14ac:dyDescent="0.3">
      <c r="A609" t="s">
        <v>1300</v>
      </c>
      <c r="B609" s="18" t="s">
        <v>579</v>
      </c>
      <c r="C609" s="18" t="s">
        <v>590</v>
      </c>
      <c r="D609" s="18" t="s">
        <v>424</v>
      </c>
      <c r="E609" s="18" t="s">
        <v>2062</v>
      </c>
      <c r="F609" s="18">
        <v>4114</v>
      </c>
      <c r="G609" s="18">
        <v>2528</v>
      </c>
      <c r="H609" s="18">
        <v>489</v>
      </c>
      <c r="I609" s="18">
        <v>1097</v>
      </c>
    </row>
    <row r="610" spans="1:9" x14ac:dyDescent="0.3">
      <c r="A610" t="s">
        <v>1718</v>
      </c>
      <c r="B610" s="18" t="s">
        <v>579</v>
      </c>
      <c r="C610" s="18" t="s">
        <v>604</v>
      </c>
      <c r="D610" s="18" t="s">
        <v>604</v>
      </c>
      <c r="E610" s="18" t="s">
        <v>2062</v>
      </c>
      <c r="F610" s="18">
        <v>7068</v>
      </c>
      <c r="G610" s="18">
        <v>4881</v>
      </c>
      <c r="H610" s="18">
        <v>569</v>
      </c>
      <c r="I610" s="18">
        <v>1618</v>
      </c>
    </row>
    <row r="611" spans="1:9" x14ac:dyDescent="0.3">
      <c r="A611" t="s">
        <v>1712</v>
      </c>
      <c r="B611" s="18" t="s">
        <v>579</v>
      </c>
      <c r="C611" s="18" t="s">
        <v>558</v>
      </c>
      <c r="D611" s="18" t="s">
        <v>591</v>
      </c>
      <c r="E611" s="18" t="s">
        <v>2062</v>
      </c>
      <c r="F611" s="18">
        <v>3441</v>
      </c>
      <c r="G611" s="18">
        <v>2239</v>
      </c>
      <c r="H611" s="18">
        <v>321</v>
      </c>
      <c r="I611" s="18">
        <v>881</v>
      </c>
    </row>
    <row r="612" spans="1:9" x14ac:dyDescent="0.3">
      <c r="A612" t="s">
        <v>1713</v>
      </c>
      <c r="B612" s="18" t="s">
        <v>579</v>
      </c>
      <c r="C612" s="18" t="s">
        <v>558</v>
      </c>
      <c r="D612" s="18" t="s">
        <v>26</v>
      </c>
      <c r="E612" s="18" t="s">
        <v>2062</v>
      </c>
      <c r="F612" s="18">
        <v>8444</v>
      </c>
      <c r="G612" s="18">
        <v>5741</v>
      </c>
      <c r="H612" s="18">
        <v>567</v>
      </c>
      <c r="I612" s="18">
        <v>2136</v>
      </c>
    </row>
    <row r="613" spans="1:9" x14ac:dyDescent="0.3">
      <c r="A613" t="s">
        <v>1468</v>
      </c>
      <c r="B613" s="18" t="s">
        <v>579</v>
      </c>
      <c r="C613" s="18" t="s">
        <v>602</v>
      </c>
      <c r="D613" s="18" t="s">
        <v>602</v>
      </c>
      <c r="E613" s="18" t="s">
        <v>2062</v>
      </c>
      <c r="F613" s="18">
        <v>17923</v>
      </c>
      <c r="G613" s="18">
        <v>12737</v>
      </c>
      <c r="H613" s="18">
        <v>1251</v>
      </c>
      <c r="I613" s="18">
        <v>3935</v>
      </c>
    </row>
    <row r="614" spans="1:9" x14ac:dyDescent="0.3">
      <c r="A614" t="s">
        <v>1716</v>
      </c>
      <c r="B614" s="18" t="s">
        <v>579</v>
      </c>
      <c r="C614" s="18" t="s">
        <v>592</v>
      </c>
      <c r="D614" s="18" t="s">
        <v>594</v>
      </c>
      <c r="E614" s="18" t="s">
        <v>2062</v>
      </c>
      <c r="F614" s="18">
        <v>1145</v>
      </c>
      <c r="G614" s="18">
        <v>572</v>
      </c>
      <c r="H614" s="18">
        <v>262</v>
      </c>
      <c r="I614" s="18">
        <v>311</v>
      </c>
    </row>
    <row r="615" spans="1:9" x14ac:dyDescent="0.3">
      <c r="A615" t="s">
        <v>2012</v>
      </c>
      <c r="B615" s="18" t="s">
        <v>579</v>
      </c>
      <c r="C615" s="18" t="s">
        <v>592</v>
      </c>
      <c r="D615" s="18" t="s">
        <v>595</v>
      </c>
      <c r="E615" s="18" t="s">
        <v>2062</v>
      </c>
      <c r="F615" s="18">
        <v>957</v>
      </c>
      <c r="G615" s="18">
        <v>567</v>
      </c>
      <c r="H615" s="18">
        <v>153</v>
      </c>
      <c r="I615" s="18">
        <v>237</v>
      </c>
    </row>
    <row r="616" spans="1:9" x14ac:dyDescent="0.3">
      <c r="A616" t="s">
        <v>1714</v>
      </c>
      <c r="B616" s="18" t="s">
        <v>579</v>
      </c>
      <c r="C616" s="18" t="s">
        <v>592</v>
      </c>
      <c r="D616" s="18" t="s">
        <v>592</v>
      </c>
      <c r="E616" s="18" t="s">
        <v>2062</v>
      </c>
      <c r="F616" s="18">
        <v>16644</v>
      </c>
      <c r="G616" s="18">
        <v>10351</v>
      </c>
      <c r="H616" s="18">
        <v>1982</v>
      </c>
      <c r="I616" s="18">
        <v>4311</v>
      </c>
    </row>
    <row r="617" spans="1:9" x14ac:dyDescent="0.3">
      <c r="A617" t="s">
        <v>1715</v>
      </c>
      <c r="B617" s="18" t="s">
        <v>579</v>
      </c>
      <c r="C617" s="18" t="s">
        <v>592</v>
      </c>
      <c r="D617" s="18" t="s">
        <v>593</v>
      </c>
      <c r="E617" s="18" t="s">
        <v>2062</v>
      </c>
      <c r="F617" s="18">
        <v>6674</v>
      </c>
      <c r="G617" s="18">
        <v>4482</v>
      </c>
      <c r="H617" s="18">
        <v>621</v>
      </c>
      <c r="I617" s="18">
        <v>1571</v>
      </c>
    </row>
    <row r="618" spans="1:9" x14ac:dyDescent="0.3">
      <c r="A618" t="s">
        <v>1364</v>
      </c>
      <c r="B618" s="18" t="s">
        <v>579</v>
      </c>
      <c r="C618" s="18" t="s">
        <v>596</v>
      </c>
      <c r="D618" s="18" t="s">
        <v>597</v>
      </c>
      <c r="E618" s="18" t="s">
        <v>2062</v>
      </c>
      <c r="F618" s="18">
        <v>6799</v>
      </c>
      <c r="G618" s="18">
        <v>4417</v>
      </c>
      <c r="H618" s="18">
        <v>879</v>
      </c>
      <c r="I618" s="18">
        <v>1503</v>
      </c>
    </row>
    <row r="619" spans="1:9" x14ac:dyDescent="0.3">
      <c r="A619" t="s">
        <v>1270</v>
      </c>
      <c r="B619" s="18" t="s">
        <v>579</v>
      </c>
      <c r="C619" s="18" t="s">
        <v>596</v>
      </c>
      <c r="D619" s="18" t="s">
        <v>596</v>
      </c>
      <c r="E619" s="18" t="s">
        <v>2062</v>
      </c>
      <c r="F619" s="18">
        <v>22578</v>
      </c>
      <c r="G619" s="18">
        <v>14689</v>
      </c>
      <c r="H619" s="18">
        <v>2280</v>
      </c>
      <c r="I619" s="18">
        <v>5609</v>
      </c>
    </row>
    <row r="620" spans="1:9" x14ac:dyDescent="0.3">
      <c r="A620" t="s">
        <v>2016</v>
      </c>
      <c r="B620" s="18" t="s">
        <v>605</v>
      </c>
      <c r="C620" s="18" t="s">
        <v>655</v>
      </c>
      <c r="D620" s="18" t="s">
        <v>657</v>
      </c>
      <c r="E620" s="18" t="s">
        <v>2062</v>
      </c>
      <c r="F620" s="18">
        <v>1198</v>
      </c>
      <c r="G620" s="18">
        <v>535</v>
      </c>
      <c r="H620" s="18">
        <v>182</v>
      </c>
      <c r="I620" s="18">
        <v>481</v>
      </c>
    </row>
    <row r="621" spans="1:9" x14ac:dyDescent="0.3">
      <c r="A621" t="s">
        <v>1744</v>
      </c>
      <c r="B621" s="18" t="s">
        <v>605</v>
      </c>
      <c r="C621" s="18" t="s">
        <v>655</v>
      </c>
      <c r="D621" s="18" t="s">
        <v>324</v>
      </c>
      <c r="E621" s="18" t="s">
        <v>2062</v>
      </c>
      <c r="F621" s="18">
        <v>2170</v>
      </c>
      <c r="G621" s="18">
        <v>1200</v>
      </c>
      <c r="H621" s="18">
        <v>249</v>
      </c>
      <c r="I621" s="18">
        <v>721</v>
      </c>
    </row>
    <row r="622" spans="1:9" x14ac:dyDescent="0.3">
      <c r="A622" t="s">
        <v>1038</v>
      </c>
      <c r="B622" s="18" t="s">
        <v>605</v>
      </c>
      <c r="C622" s="18" t="s">
        <v>655</v>
      </c>
      <c r="D622" s="18" t="s">
        <v>656</v>
      </c>
      <c r="E622" s="18" t="s">
        <v>2062</v>
      </c>
      <c r="F622" s="18">
        <v>2832</v>
      </c>
      <c r="G622" s="18">
        <v>1160</v>
      </c>
      <c r="H622" s="18">
        <v>881</v>
      </c>
      <c r="I622" s="18">
        <v>791</v>
      </c>
    </row>
    <row r="623" spans="1:9" x14ac:dyDescent="0.3">
      <c r="A623" t="s">
        <v>1316</v>
      </c>
      <c r="B623" s="18" t="s">
        <v>605</v>
      </c>
      <c r="C623" s="18" t="s">
        <v>655</v>
      </c>
      <c r="D623" s="18" t="s">
        <v>649</v>
      </c>
      <c r="E623" s="18" t="s">
        <v>2062</v>
      </c>
      <c r="F623" s="18">
        <v>5902</v>
      </c>
      <c r="G623" s="18">
        <v>3513</v>
      </c>
      <c r="H623" s="18">
        <v>576</v>
      </c>
      <c r="I623" s="18">
        <v>1813</v>
      </c>
    </row>
    <row r="624" spans="1:9" x14ac:dyDescent="0.3">
      <c r="A624" t="s">
        <v>1438</v>
      </c>
      <c r="B624" s="18" t="s">
        <v>605</v>
      </c>
      <c r="C624" s="18" t="s">
        <v>90</v>
      </c>
      <c r="D624" s="18" t="s">
        <v>613</v>
      </c>
      <c r="E624" s="18" t="s">
        <v>2062</v>
      </c>
      <c r="F624" s="18">
        <v>12591</v>
      </c>
      <c r="G624" s="18">
        <v>7588</v>
      </c>
      <c r="H624" s="18">
        <v>1454</v>
      </c>
      <c r="I624" s="18">
        <v>3549</v>
      </c>
    </row>
    <row r="625" spans="1:9" x14ac:dyDescent="0.3">
      <c r="A625" t="s">
        <v>1723</v>
      </c>
      <c r="B625" s="18" t="s">
        <v>605</v>
      </c>
      <c r="C625" s="18" t="s">
        <v>90</v>
      </c>
      <c r="D625" s="18" t="s">
        <v>614</v>
      </c>
      <c r="E625" s="18" t="s">
        <v>2062</v>
      </c>
      <c r="F625" s="18">
        <v>1371</v>
      </c>
      <c r="G625" s="18">
        <v>823</v>
      </c>
      <c r="H625" s="18">
        <v>167</v>
      </c>
      <c r="I625" s="18">
        <v>381</v>
      </c>
    </row>
    <row r="626" spans="1:9" x14ac:dyDescent="0.3">
      <c r="A626" t="s">
        <v>1384</v>
      </c>
      <c r="B626" s="18" t="s">
        <v>605</v>
      </c>
      <c r="C626" s="18" t="s">
        <v>90</v>
      </c>
      <c r="D626" s="18" t="s">
        <v>471</v>
      </c>
      <c r="E626" s="18" t="s">
        <v>2062</v>
      </c>
      <c r="F626" s="18">
        <v>1340</v>
      </c>
      <c r="G626" s="18">
        <v>768</v>
      </c>
      <c r="H626" s="18">
        <v>197</v>
      </c>
      <c r="I626" s="18">
        <v>375</v>
      </c>
    </row>
    <row r="627" spans="1:9" x14ac:dyDescent="0.3">
      <c r="A627" t="s">
        <v>1724</v>
      </c>
      <c r="B627" s="18" t="s">
        <v>605</v>
      </c>
      <c r="C627" s="18" t="s">
        <v>615</v>
      </c>
      <c r="D627" s="18" t="s">
        <v>616</v>
      </c>
      <c r="E627" s="18" t="s">
        <v>2062</v>
      </c>
      <c r="F627" s="18">
        <v>1750</v>
      </c>
      <c r="G627" s="18">
        <v>998</v>
      </c>
      <c r="H627" s="18">
        <v>266</v>
      </c>
      <c r="I627" s="18">
        <v>486</v>
      </c>
    </row>
    <row r="628" spans="1:9" x14ac:dyDescent="0.3">
      <c r="A628" t="s">
        <v>1462</v>
      </c>
      <c r="B628" s="18" t="s">
        <v>605</v>
      </c>
      <c r="C628" s="18" t="s">
        <v>615</v>
      </c>
      <c r="D628" s="18" t="s">
        <v>617</v>
      </c>
      <c r="E628" s="18" t="s">
        <v>2062</v>
      </c>
      <c r="F628" s="18">
        <v>4155</v>
      </c>
      <c r="G628" s="18">
        <v>2842</v>
      </c>
      <c r="H628" s="18">
        <v>212</v>
      </c>
      <c r="I628" s="18">
        <v>1101</v>
      </c>
    </row>
    <row r="629" spans="1:9" x14ac:dyDescent="0.3">
      <c r="A629" t="s">
        <v>1726</v>
      </c>
      <c r="B629" s="18" t="s">
        <v>605</v>
      </c>
      <c r="C629" s="18" t="s">
        <v>615</v>
      </c>
      <c r="D629" s="18" t="s">
        <v>619</v>
      </c>
      <c r="E629" s="18" t="s">
        <v>2062</v>
      </c>
      <c r="F629" s="18">
        <v>2087</v>
      </c>
      <c r="G629" s="18">
        <v>1267</v>
      </c>
      <c r="H629" s="18">
        <v>268</v>
      </c>
      <c r="I629" s="18">
        <v>552</v>
      </c>
    </row>
    <row r="630" spans="1:9" x14ac:dyDescent="0.3">
      <c r="A630" t="s">
        <v>1470</v>
      </c>
      <c r="B630" s="18" t="s">
        <v>605</v>
      </c>
      <c r="C630" s="18" t="s">
        <v>615</v>
      </c>
      <c r="D630" s="18" t="s">
        <v>615</v>
      </c>
      <c r="E630" s="18" t="s">
        <v>2062</v>
      </c>
      <c r="F630" s="18">
        <v>26542</v>
      </c>
      <c r="G630" s="18">
        <v>16216</v>
      </c>
      <c r="H630" s="18">
        <v>2476</v>
      </c>
      <c r="I630" s="18">
        <v>7850</v>
      </c>
    </row>
    <row r="631" spans="1:9" x14ac:dyDescent="0.3">
      <c r="A631" t="s">
        <v>1725</v>
      </c>
      <c r="B631" s="18" t="s">
        <v>605</v>
      </c>
      <c r="C631" s="18" t="s">
        <v>615</v>
      </c>
      <c r="D631" s="18" t="s">
        <v>618</v>
      </c>
      <c r="E631" s="18" t="s">
        <v>2062</v>
      </c>
      <c r="F631" s="18">
        <v>2317</v>
      </c>
      <c r="G631" s="18">
        <v>1448</v>
      </c>
      <c r="H631" s="18">
        <v>314</v>
      </c>
      <c r="I631" s="18">
        <v>555</v>
      </c>
    </row>
    <row r="632" spans="1:9" x14ac:dyDescent="0.3">
      <c r="A632" t="s">
        <v>1469</v>
      </c>
      <c r="B632" s="18" t="s">
        <v>605</v>
      </c>
      <c r="C632" s="18" t="s">
        <v>615</v>
      </c>
      <c r="D632" s="18" t="s">
        <v>350</v>
      </c>
      <c r="E632" s="18" t="s">
        <v>2062</v>
      </c>
      <c r="F632" s="18">
        <v>2484</v>
      </c>
      <c r="G632" s="18">
        <v>1426</v>
      </c>
      <c r="H632" s="18">
        <v>382</v>
      </c>
      <c r="I632" s="18">
        <v>676</v>
      </c>
    </row>
    <row r="633" spans="1:9" x14ac:dyDescent="0.3">
      <c r="A633" t="s">
        <v>1727</v>
      </c>
      <c r="B633" s="18" t="s">
        <v>605</v>
      </c>
      <c r="C633" s="18" t="s">
        <v>615</v>
      </c>
      <c r="D633" s="18" t="s">
        <v>26</v>
      </c>
      <c r="E633" s="18" t="s">
        <v>2062</v>
      </c>
      <c r="F633" s="18">
        <v>2927</v>
      </c>
      <c r="G633" s="18">
        <v>2005</v>
      </c>
      <c r="H633" s="18">
        <v>163</v>
      </c>
      <c r="I633" s="18">
        <v>759</v>
      </c>
    </row>
    <row r="634" spans="1:9" x14ac:dyDescent="0.3">
      <c r="A634" t="s">
        <v>1728</v>
      </c>
      <c r="B634" s="18" t="s">
        <v>605</v>
      </c>
      <c r="C634" s="18" t="s">
        <v>615</v>
      </c>
      <c r="D634" s="18" t="s">
        <v>138</v>
      </c>
      <c r="E634" s="18" t="s">
        <v>2062</v>
      </c>
      <c r="F634" s="18">
        <v>3386</v>
      </c>
      <c r="G634" s="18">
        <v>2276</v>
      </c>
      <c r="H634" s="18">
        <v>226</v>
      </c>
      <c r="I634" s="18">
        <v>884</v>
      </c>
    </row>
    <row r="635" spans="1:9" x14ac:dyDescent="0.3">
      <c r="A635" t="s">
        <v>1433</v>
      </c>
      <c r="B635" s="18" t="s">
        <v>605</v>
      </c>
      <c r="C635" s="18" t="s">
        <v>620</v>
      </c>
      <c r="D635" s="18" t="s">
        <v>620</v>
      </c>
      <c r="E635" s="18" t="s">
        <v>2062</v>
      </c>
      <c r="F635" s="18">
        <v>28743</v>
      </c>
      <c r="G635" s="18">
        <v>19388</v>
      </c>
      <c r="H635" s="18">
        <v>2430</v>
      </c>
      <c r="I635" s="18">
        <v>6925</v>
      </c>
    </row>
    <row r="636" spans="1:9" x14ac:dyDescent="0.3">
      <c r="A636" t="s">
        <v>1229</v>
      </c>
      <c r="B636" s="18" t="s">
        <v>605</v>
      </c>
      <c r="C636" s="18" t="s">
        <v>620</v>
      </c>
      <c r="D636" s="18" t="s">
        <v>624</v>
      </c>
      <c r="E636" s="18" t="s">
        <v>2062</v>
      </c>
      <c r="F636" s="18">
        <v>4343</v>
      </c>
      <c r="G636" s="18">
        <v>3030</v>
      </c>
      <c r="H636" s="18">
        <v>392</v>
      </c>
      <c r="I636" s="18">
        <v>921</v>
      </c>
    </row>
    <row r="637" spans="1:9" x14ac:dyDescent="0.3">
      <c r="A637" t="s">
        <v>1730</v>
      </c>
      <c r="B637" s="18" t="s">
        <v>605</v>
      </c>
      <c r="C637" s="18" t="s">
        <v>620</v>
      </c>
      <c r="D637" s="18" t="s">
        <v>622</v>
      </c>
      <c r="E637" s="18" t="s">
        <v>2062</v>
      </c>
      <c r="F637" s="18">
        <v>2634</v>
      </c>
      <c r="G637" s="18">
        <v>1934</v>
      </c>
      <c r="H637" s="18">
        <v>115</v>
      </c>
      <c r="I637" s="18">
        <v>585</v>
      </c>
    </row>
    <row r="638" spans="1:9" x14ac:dyDescent="0.3">
      <c r="A638" t="s">
        <v>1731</v>
      </c>
      <c r="B638" s="18" t="s">
        <v>605</v>
      </c>
      <c r="C638" s="18" t="s">
        <v>620</v>
      </c>
      <c r="D638" s="18" t="s">
        <v>623</v>
      </c>
      <c r="E638" s="18" t="s">
        <v>2062</v>
      </c>
      <c r="F638" s="18">
        <v>5020</v>
      </c>
      <c r="G638" s="18">
        <v>3287</v>
      </c>
      <c r="H638" s="18">
        <v>627</v>
      </c>
      <c r="I638" s="18">
        <v>1106</v>
      </c>
    </row>
    <row r="639" spans="1:9" x14ac:dyDescent="0.3">
      <c r="A639" t="s">
        <v>1729</v>
      </c>
      <c r="B639" s="18" t="s">
        <v>605</v>
      </c>
      <c r="C639" s="18" t="s">
        <v>620</v>
      </c>
      <c r="D639" s="18" t="s">
        <v>621</v>
      </c>
      <c r="E639" s="18" t="s">
        <v>2062</v>
      </c>
      <c r="F639" s="18">
        <v>1401</v>
      </c>
      <c r="G639" s="18">
        <v>960</v>
      </c>
      <c r="H639" s="18">
        <v>136</v>
      </c>
      <c r="I639" s="18">
        <v>305</v>
      </c>
    </row>
    <row r="640" spans="1:9" x14ac:dyDescent="0.3">
      <c r="A640" t="s">
        <v>1452</v>
      </c>
      <c r="B640" s="18" t="s">
        <v>605</v>
      </c>
      <c r="C640" s="18" t="s">
        <v>625</v>
      </c>
      <c r="D640" s="18" t="s">
        <v>625</v>
      </c>
      <c r="E640" s="18" t="s">
        <v>2062</v>
      </c>
      <c r="F640" s="18">
        <v>7035</v>
      </c>
      <c r="G640" s="18">
        <v>4782</v>
      </c>
      <c r="H640" s="18">
        <v>541</v>
      </c>
      <c r="I640" s="18">
        <v>1712</v>
      </c>
    </row>
    <row r="641" spans="1:9" x14ac:dyDescent="0.3">
      <c r="A641" t="s">
        <v>1732</v>
      </c>
      <c r="B641" s="18" t="s">
        <v>605</v>
      </c>
      <c r="C641" s="18" t="s">
        <v>625</v>
      </c>
      <c r="D641" s="18" t="s">
        <v>626</v>
      </c>
      <c r="E641" s="18" t="s">
        <v>2062</v>
      </c>
      <c r="F641" s="18">
        <v>957</v>
      </c>
      <c r="G641" s="18">
        <v>655</v>
      </c>
      <c r="H641" s="18">
        <v>84</v>
      </c>
      <c r="I641" s="18">
        <v>218</v>
      </c>
    </row>
    <row r="642" spans="1:9" x14ac:dyDescent="0.3">
      <c r="A642" t="s">
        <v>1733</v>
      </c>
      <c r="B642" s="18" t="s">
        <v>605</v>
      </c>
      <c r="C642" s="18" t="s">
        <v>625</v>
      </c>
      <c r="D642" s="18" t="s">
        <v>627</v>
      </c>
      <c r="E642" s="18" t="s">
        <v>2062</v>
      </c>
      <c r="F642" s="18">
        <v>1309</v>
      </c>
      <c r="G642" s="18">
        <v>763</v>
      </c>
      <c r="H642" s="18">
        <v>183</v>
      </c>
      <c r="I642" s="18">
        <v>363</v>
      </c>
    </row>
    <row r="643" spans="1:9" x14ac:dyDescent="0.3">
      <c r="A643" t="s">
        <v>1461</v>
      </c>
      <c r="B643" s="18" t="s">
        <v>605</v>
      </c>
      <c r="C643" s="18" t="s">
        <v>664</v>
      </c>
      <c r="D643" s="18" t="s">
        <v>664</v>
      </c>
      <c r="E643" s="18" t="s">
        <v>2062</v>
      </c>
      <c r="F643" s="18">
        <v>5821</v>
      </c>
      <c r="G643" s="18">
        <v>3583</v>
      </c>
      <c r="H643" s="18">
        <v>754</v>
      </c>
      <c r="I643" s="18">
        <v>1484</v>
      </c>
    </row>
    <row r="644" spans="1:9" x14ac:dyDescent="0.3">
      <c r="A644" t="s">
        <v>1385</v>
      </c>
      <c r="B644" s="18" t="s">
        <v>605</v>
      </c>
      <c r="C644" s="18" t="s">
        <v>665</v>
      </c>
      <c r="D644" s="18" t="s">
        <v>665</v>
      </c>
      <c r="E644" s="18" t="s">
        <v>2062</v>
      </c>
      <c r="F644" s="18">
        <v>10061</v>
      </c>
      <c r="G644" s="18">
        <v>6440</v>
      </c>
      <c r="H644" s="18">
        <v>1179</v>
      </c>
      <c r="I644" s="18">
        <v>2442</v>
      </c>
    </row>
    <row r="645" spans="1:9" x14ac:dyDescent="0.3">
      <c r="A645" t="s">
        <v>1734</v>
      </c>
      <c r="B645" s="18" t="s">
        <v>605</v>
      </c>
      <c r="C645" s="18" t="s">
        <v>628</v>
      </c>
      <c r="D645" s="18" t="s">
        <v>629</v>
      </c>
      <c r="E645" s="18" t="s">
        <v>2062</v>
      </c>
      <c r="F645" s="18">
        <v>1422</v>
      </c>
      <c r="G645" s="18">
        <v>735</v>
      </c>
      <c r="H645" s="18">
        <v>94</v>
      </c>
      <c r="I645" s="18">
        <v>593</v>
      </c>
    </row>
    <row r="646" spans="1:9" x14ac:dyDescent="0.3">
      <c r="A646" t="s">
        <v>1735</v>
      </c>
      <c r="B646" s="18" t="s">
        <v>605</v>
      </c>
      <c r="C646" s="18" t="s">
        <v>628</v>
      </c>
      <c r="D646" s="18" t="s">
        <v>630</v>
      </c>
      <c r="E646" s="18" t="s">
        <v>2062</v>
      </c>
      <c r="F646" s="18">
        <v>2854</v>
      </c>
      <c r="G646" s="18">
        <v>1594</v>
      </c>
      <c r="H646" s="18">
        <v>293</v>
      </c>
      <c r="I646" s="18">
        <v>967</v>
      </c>
    </row>
    <row r="647" spans="1:9" x14ac:dyDescent="0.3">
      <c r="A647" t="s">
        <v>1361</v>
      </c>
      <c r="B647" s="18" t="s">
        <v>605</v>
      </c>
      <c r="C647" s="18" t="s">
        <v>628</v>
      </c>
      <c r="D647" s="18" t="s">
        <v>628</v>
      </c>
      <c r="E647" s="18" t="s">
        <v>2062</v>
      </c>
      <c r="F647" s="18">
        <v>19918</v>
      </c>
      <c r="G647" s="18">
        <v>11532</v>
      </c>
      <c r="H647" s="18">
        <v>2115</v>
      </c>
      <c r="I647" s="18">
        <v>6271</v>
      </c>
    </row>
    <row r="648" spans="1:9" x14ac:dyDescent="0.3">
      <c r="A648" t="s">
        <v>1736</v>
      </c>
      <c r="B648" s="18" t="s">
        <v>605</v>
      </c>
      <c r="C648" s="18" t="s">
        <v>628</v>
      </c>
      <c r="D648" s="18" t="s">
        <v>631</v>
      </c>
      <c r="E648" s="18" t="s">
        <v>2062</v>
      </c>
      <c r="F648" s="18">
        <v>723</v>
      </c>
      <c r="G648" s="18">
        <v>338</v>
      </c>
      <c r="H648" s="18">
        <v>62</v>
      </c>
      <c r="I648" s="18">
        <v>323</v>
      </c>
    </row>
    <row r="649" spans="1:9" x14ac:dyDescent="0.3">
      <c r="A649" t="s">
        <v>2013</v>
      </c>
      <c r="B649" s="18" t="s">
        <v>605</v>
      </c>
      <c r="C649" s="18" t="s">
        <v>628</v>
      </c>
      <c r="D649" s="18" t="s">
        <v>80</v>
      </c>
      <c r="E649" s="18" t="s">
        <v>2062</v>
      </c>
      <c r="F649" s="18">
        <v>725</v>
      </c>
      <c r="G649" s="18">
        <v>371</v>
      </c>
      <c r="H649" s="18">
        <v>31</v>
      </c>
      <c r="I649" s="18">
        <v>323</v>
      </c>
    </row>
    <row r="650" spans="1:9" x14ac:dyDescent="0.3">
      <c r="A650" t="s">
        <v>1211</v>
      </c>
      <c r="B650" s="18" t="s">
        <v>605</v>
      </c>
      <c r="C650" s="18" t="s">
        <v>628</v>
      </c>
      <c r="D650" s="18" t="s">
        <v>632</v>
      </c>
      <c r="E650" s="18" t="s">
        <v>2062</v>
      </c>
      <c r="F650" s="18">
        <v>423</v>
      </c>
      <c r="G650" s="18">
        <v>286</v>
      </c>
      <c r="H650" s="18">
        <v>11</v>
      </c>
      <c r="I650" s="18">
        <v>126</v>
      </c>
    </row>
    <row r="651" spans="1:9" x14ac:dyDescent="0.3">
      <c r="A651" t="s">
        <v>1264</v>
      </c>
      <c r="B651" s="18" t="s">
        <v>605</v>
      </c>
      <c r="C651" s="18" t="s">
        <v>628</v>
      </c>
      <c r="D651" s="18" t="s">
        <v>633</v>
      </c>
      <c r="E651" s="18" t="s">
        <v>2062</v>
      </c>
      <c r="F651" s="18">
        <v>1615</v>
      </c>
      <c r="G651" s="18">
        <v>780</v>
      </c>
      <c r="H651" s="18">
        <v>272</v>
      </c>
      <c r="I651" s="18">
        <v>563</v>
      </c>
    </row>
    <row r="652" spans="1:9" x14ac:dyDescent="0.3">
      <c r="A652" t="s">
        <v>1425</v>
      </c>
      <c r="B652" s="18" t="s">
        <v>605</v>
      </c>
      <c r="C652" s="18" t="s">
        <v>628</v>
      </c>
      <c r="D652" s="18" t="s">
        <v>634</v>
      </c>
      <c r="E652" s="18" t="s">
        <v>2062</v>
      </c>
      <c r="F652" s="18">
        <v>1750</v>
      </c>
      <c r="G652" s="18">
        <v>1265</v>
      </c>
      <c r="H652" s="18">
        <v>82</v>
      </c>
      <c r="I652" s="18">
        <v>403</v>
      </c>
    </row>
    <row r="653" spans="1:9" x14ac:dyDescent="0.3">
      <c r="A653" t="s">
        <v>1467</v>
      </c>
      <c r="B653" s="18" t="s">
        <v>605</v>
      </c>
      <c r="C653" s="18" t="s">
        <v>635</v>
      </c>
      <c r="D653" s="18" t="s">
        <v>635</v>
      </c>
      <c r="E653" s="18" t="s">
        <v>2062</v>
      </c>
      <c r="F653" s="18">
        <v>8407</v>
      </c>
      <c r="G653" s="18">
        <v>5276</v>
      </c>
      <c r="H653" s="18">
        <v>745</v>
      </c>
      <c r="I653" s="18">
        <v>2386</v>
      </c>
    </row>
    <row r="654" spans="1:9" x14ac:dyDescent="0.3">
      <c r="A654" t="s">
        <v>1434</v>
      </c>
      <c r="B654" s="18" t="s">
        <v>605</v>
      </c>
      <c r="C654" s="18" t="s">
        <v>636</v>
      </c>
      <c r="D654" s="18" t="s">
        <v>636</v>
      </c>
      <c r="E654" s="18" t="s">
        <v>2062</v>
      </c>
      <c r="F654" s="18">
        <v>94388</v>
      </c>
      <c r="G654" s="18">
        <v>61209</v>
      </c>
      <c r="H654" s="18">
        <v>9570</v>
      </c>
      <c r="I654" s="18">
        <v>23609</v>
      </c>
    </row>
    <row r="655" spans="1:9" x14ac:dyDescent="0.3">
      <c r="A655" t="s">
        <v>1399</v>
      </c>
      <c r="B655" s="18" t="s">
        <v>605</v>
      </c>
      <c r="C655" s="18" t="s">
        <v>636</v>
      </c>
      <c r="D655" s="18" t="s">
        <v>95</v>
      </c>
      <c r="E655" s="18" t="s">
        <v>2062</v>
      </c>
      <c r="F655" s="18">
        <v>1987</v>
      </c>
      <c r="G655" s="18">
        <v>1229</v>
      </c>
      <c r="H655" s="18">
        <v>292</v>
      </c>
      <c r="I655" s="18">
        <v>466</v>
      </c>
    </row>
    <row r="656" spans="1:9" x14ac:dyDescent="0.3">
      <c r="A656" t="s">
        <v>1349</v>
      </c>
      <c r="B656" s="18" t="s">
        <v>605</v>
      </c>
      <c r="C656" s="18" t="s">
        <v>636</v>
      </c>
      <c r="D656" s="18" t="s">
        <v>637</v>
      </c>
      <c r="E656" s="18" t="s">
        <v>2062</v>
      </c>
      <c r="F656" s="18">
        <v>1396</v>
      </c>
      <c r="G656" s="18">
        <v>993</v>
      </c>
      <c r="H656" s="18">
        <v>100</v>
      </c>
      <c r="I656" s="18">
        <v>303</v>
      </c>
    </row>
    <row r="657" spans="1:9" x14ac:dyDescent="0.3">
      <c r="A657" t="s">
        <v>1388</v>
      </c>
      <c r="B657" s="18" t="s">
        <v>605</v>
      </c>
      <c r="C657" s="18" t="s">
        <v>638</v>
      </c>
      <c r="D657" s="18" t="s">
        <v>639</v>
      </c>
      <c r="E657" s="18" t="s">
        <v>2062</v>
      </c>
      <c r="F657" s="18">
        <v>1185</v>
      </c>
      <c r="G657" s="18">
        <v>810</v>
      </c>
      <c r="H657" s="18">
        <v>138</v>
      </c>
      <c r="I657" s="18">
        <v>237</v>
      </c>
    </row>
    <row r="658" spans="1:9" x14ac:dyDescent="0.3">
      <c r="A658" t="s">
        <v>1451</v>
      </c>
      <c r="B658" s="18" t="s">
        <v>605</v>
      </c>
      <c r="C658" s="18" t="s">
        <v>638</v>
      </c>
      <c r="D658" s="18" t="s">
        <v>638</v>
      </c>
      <c r="E658" s="18" t="s">
        <v>2062</v>
      </c>
      <c r="F658" s="18">
        <v>33974</v>
      </c>
      <c r="G658" s="18">
        <v>21841</v>
      </c>
      <c r="H658" s="18">
        <v>3671</v>
      </c>
      <c r="I658" s="18">
        <v>8462</v>
      </c>
    </row>
    <row r="659" spans="1:9" x14ac:dyDescent="0.3">
      <c r="A659" t="s">
        <v>1442</v>
      </c>
      <c r="B659" s="18" t="s">
        <v>605</v>
      </c>
      <c r="C659" s="18" t="s">
        <v>577</v>
      </c>
      <c r="D659" s="18" t="s">
        <v>577</v>
      </c>
      <c r="E659" s="18" t="s">
        <v>2062</v>
      </c>
      <c r="F659" s="18">
        <v>3832</v>
      </c>
      <c r="G659" s="18">
        <v>2211</v>
      </c>
      <c r="H659" s="18">
        <v>452</v>
      </c>
      <c r="I659" s="18">
        <v>1169</v>
      </c>
    </row>
    <row r="660" spans="1:9" x14ac:dyDescent="0.3">
      <c r="A660" t="s">
        <v>2014</v>
      </c>
      <c r="B660" s="18" t="s">
        <v>605</v>
      </c>
      <c r="C660" s="18" t="s">
        <v>640</v>
      </c>
      <c r="D660" s="18" t="s">
        <v>641</v>
      </c>
      <c r="E660" s="18" t="s">
        <v>2062</v>
      </c>
      <c r="F660" s="18">
        <v>3391</v>
      </c>
      <c r="G660" s="18">
        <v>2137</v>
      </c>
      <c r="H660" s="18">
        <v>149</v>
      </c>
      <c r="I660" s="18">
        <v>1105</v>
      </c>
    </row>
    <row r="661" spans="1:9" x14ac:dyDescent="0.3">
      <c r="A661" t="s">
        <v>2015</v>
      </c>
      <c r="B661" s="18" t="s">
        <v>605</v>
      </c>
      <c r="C661" s="18" t="s">
        <v>640</v>
      </c>
      <c r="D661" s="18" t="s">
        <v>642</v>
      </c>
      <c r="E661" s="18" t="s">
        <v>2062</v>
      </c>
      <c r="F661" s="18">
        <v>3400</v>
      </c>
      <c r="G661" s="18">
        <v>2111</v>
      </c>
      <c r="H661" s="18">
        <v>412</v>
      </c>
      <c r="I661" s="18">
        <v>877</v>
      </c>
    </row>
    <row r="662" spans="1:9" x14ac:dyDescent="0.3">
      <c r="A662" t="s">
        <v>1036</v>
      </c>
      <c r="B662" s="18" t="s">
        <v>605</v>
      </c>
      <c r="C662" s="18" t="s">
        <v>640</v>
      </c>
      <c r="D662" s="18" t="s">
        <v>643</v>
      </c>
      <c r="E662" s="18" t="s">
        <v>2062</v>
      </c>
      <c r="F662" s="18">
        <v>1808</v>
      </c>
      <c r="G662" s="18">
        <v>1035</v>
      </c>
      <c r="H662" s="18">
        <v>295</v>
      </c>
      <c r="I662" s="18">
        <v>478</v>
      </c>
    </row>
    <row r="663" spans="1:9" x14ac:dyDescent="0.3">
      <c r="A663" t="s">
        <v>1037</v>
      </c>
      <c r="B663" s="18" t="s">
        <v>605</v>
      </c>
      <c r="C663" s="18" t="s">
        <v>640</v>
      </c>
      <c r="D663" s="18" t="s">
        <v>644</v>
      </c>
      <c r="E663" s="18" t="s">
        <v>2062</v>
      </c>
      <c r="F663" s="18">
        <v>1984</v>
      </c>
      <c r="G663" s="18">
        <v>1397</v>
      </c>
      <c r="H663" s="18">
        <v>63</v>
      </c>
      <c r="I663" s="18">
        <v>524</v>
      </c>
    </row>
    <row r="664" spans="1:9" x14ac:dyDescent="0.3">
      <c r="A664" t="s">
        <v>1035</v>
      </c>
      <c r="B664" s="18" t="s">
        <v>605</v>
      </c>
      <c r="C664" s="18" t="s">
        <v>640</v>
      </c>
      <c r="D664" s="18" t="s">
        <v>640</v>
      </c>
      <c r="E664" s="18" t="s">
        <v>2062</v>
      </c>
      <c r="F664" s="18">
        <v>5238</v>
      </c>
      <c r="G664" s="18">
        <v>3280</v>
      </c>
      <c r="H664" s="18">
        <v>398</v>
      </c>
      <c r="I664" s="18">
        <v>1560</v>
      </c>
    </row>
    <row r="665" spans="1:9" x14ac:dyDescent="0.3">
      <c r="A665" t="s">
        <v>1746</v>
      </c>
      <c r="B665" s="18" t="s">
        <v>605</v>
      </c>
      <c r="C665" s="18" t="s">
        <v>658</v>
      </c>
      <c r="D665" s="18" t="s">
        <v>288</v>
      </c>
      <c r="E665" s="18" t="s">
        <v>2062</v>
      </c>
      <c r="F665" s="18">
        <v>862</v>
      </c>
      <c r="G665" s="18">
        <v>319</v>
      </c>
      <c r="H665" s="18">
        <v>250</v>
      </c>
      <c r="I665" s="18">
        <v>293</v>
      </c>
    </row>
    <row r="666" spans="1:9" x14ac:dyDescent="0.3">
      <c r="A666" t="s">
        <v>1745</v>
      </c>
      <c r="B666" s="18" t="s">
        <v>605</v>
      </c>
      <c r="C666" s="18" t="s">
        <v>658</v>
      </c>
      <c r="D666" s="18" t="s">
        <v>659</v>
      </c>
      <c r="E666" s="18" t="s">
        <v>2062</v>
      </c>
      <c r="F666" s="18">
        <v>6273</v>
      </c>
      <c r="G666" s="18">
        <v>3239</v>
      </c>
      <c r="H666" s="18">
        <v>1458</v>
      </c>
      <c r="I666" s="18">
        <v>1576</v>
      </c>
    </row>
    <row r="667" spans="1:9" x14ac:dyDescent="0.3">
      <c r="A667" t="s">
        <v>1463</v>
      </c>
      <c r="B667" s="18" t="s">
        <v>605</v>
      </c>
      <c r="C667" s="18" t="s">
        <v>658</v>
      </c>
      <c r="D667" s="18" t="s">
        <v>660</v>
      </c>
      <c r="E667" s="18" t="s">
        <v>2062</v>
      </c>
      <c r="F667" s="18">
        <v>2062</v>
      </c>
      <c r="G667" s="18">
        <v>1220</v>
      </c>
      <c r="H667" s="18">
        <v>242</v>
      </c>
      <c r="I667" s="18">
        <v>600</v>
      </c>
    </row>
    <row r="668" spans="1:9" x14ac:dyDescent="0.3">
      <c r="A668" t="s">
        <v>1472</v>
      </c>
      <c r="B668" s="18" t="s">
        <v>605</v>
      </c>
      <c r="C668" s="18" t="s">
        <v>658</v>
      </c>
      <c r="D668" s="18" t="s">
        <v>658</v>
      </c>
      <c r="E668" s="18" t="s">
        <v>2062</v>
      </c>
      <c r="F668" s="18">
        <v>13921</v>
      </c>
      <c r="G668" s="18">
        <v>8116</v>
      </c>
      <c r="H668" s="18">
        <v>2146</v>
      </c>
      <c r="I668" s="18">
        <v>3659</v>
      </c>
    </row>
    <row r="669" spans="1:9" x14ac:dyDescent="0.3">
      <c r="A669" t="s">
        <v>1737</v>
      </c>
      <c r="B669" s="18" t="s">
        <v>605</v>
      </c>
      <c r="C669" s="18" t="s">
        <v>645</v>
      </c>
      <c r="D669" s="18" t="s">
        <v>646</v>
      </c>
      <c r="E669" s="18" t="s">
        <v>2062</v>
      </c>
      <c r="F669" s="18">
        <v>3015</v>
      </c>
      <c r="G669" s="18">
        <v>1662</v>
      </c>
      <c r="H669" s="18">
        <v>576</v>
      </c>
      <c r="I669" s="18">
        <v>777</v>
      </c>
    </row>
    <row r="670" spans="1:9" x14ac:dyDescent="0.3">
      <c r="A670" t="s">
        <v>1427</v>
      </c>
      <c r="B670" s="18" t="s">
        <v>605</v>
      </c>
      <c r="C670" s="18" t="s">
        <v>645</v>
      </c>
      <c r="D670" s="18" t="s">
        <v>645</v>
      </c>
      <c r="E670" s="18" t="s">
        <v>2062</v>
      </c>
      <c r="F670" s="18">
        <v>6362</v>
      </c>
      <c r="G670" s="18">
        <v>3750</v>
      </c>
      <c r="H670" s="18">
        <v>766</v>
      </c>
      <c r="I670" s="18">
        <v>1846</v>
      </c>
    </row>
    <row r="671" spans="1:9" x14ac:dyDescent="0.3">
      <c r="A671" t="s">
        <v>1738</v>
      </c>
      <c r="B671" s="18" t="s">
        <v>605</v>
      </c>
      <c r="C671" s="18" t="s">
        <v>645</v>
      </c>
      <c r="D671" s="18" t="s">
        <v>106</v>
      </c>
      <c r="E671" s="18" t="s">
        <v>2062</v>
      </c>
      <c r="F671" s="18">
        <v>1772</v>
      </c>
      <c r="G671" s="18">
        <v>1120</v>
      </c>
      <c r="H671" s="18">
        <v>237</v>
      </c>
      <c r="I671" s="18">
        <v>415</v>
      </c>
    </row>
    <row r="672" spans="1:9" x14ac:dyDescent="0.3">
      <c r="A672" t="s">
        <v>1457</v>
      </c>
      <c r="B672" s="18" t="s">
        <v>605</v>
      </c>
      <c r="C672" s="18" t="s">
        <v>606</v>
      </c>
      <c r="D672" s="18" t="s">
        <v>65</v>
      </c>
      <c r="E672" s="18" t="s">
        <v>2062</v>
      </c>
      <c r="F672" s="18">
        <v>6282</v>
      </c>
      <c r="G672" s="18">
        <v>4273</v>
      </c>
      <c r="H672" s="18">
        <v>608</v>
      </c>
      <c r="I672" s="18">
        <v>1401</v>
      </c>
    </row>
    <row r="673" spans="1:9" x14ac:dyDescent="0.3">
      <c r="A673" t="s">
        <v>1719</v>
      </c>
      <c r="B673" s="18" t="s">
        <v>605</v>
      </c>
      <c r="C673" s="18" t="s">
        <v>606</v>
      </c>
      <c r="D673" s="18" t="s">
        <v>607</v>
      </c>
      <c r="E673" s="18" t="s">
        <v>2062</v>
      </c>
      <c r="F673" s="18">
        <v>1787</v>
      </c>
      <c r="G673" s="18">
        <v>1094</v>
      </c>
      <c r="H673" s="18">
        <v>265</v>
      </c>
      <c r="I673" s="18">
        <v>428</v>
      </c>
    </row>
    <row r="674" spans="1:9" x14ac:dyDescent="0.3">
      <c r="A674" t="s">
        <v>1722</v>
      </c>
      <c r="B674" s="18" t="s">
        <v>605</v>
      </c>
      <c r="C674" s="18" t="s">
        <v>606</v>
      </c>
      <c r="D674" s="18" t="s">
        <v>612</v>
      </c>
      <c r="E674" s="18" t="s">
        <v>2062</v>
      </c>
      <c r="F674" s="18">
        <v>1034</v>
      </c>
      <c r="G674" s="18">
        <v>648</v>
      </c>
      <c r="H674" s="18">
        <v>125</v>
      </c>
      <c r="I674" s="18">
        <v>261</v>
      </c>
    </row>
    <row r="675" spans="1:9" x14ac:dyDescent="0.3">
      <c r="A675" t="s">
        <v>1418</v>
      </c>
      <c r="B675" s="18" t="s">
        <v>605</v>
      </c>
      <c r="C675" s="18" t="s">
        <v>606</v>
      </c>
      <c r="D675" s="18" t="s">
        <v>608</v>
      </c>
      <c r="E675" s="18" t="s">
        <v>2062</v>
      </c>
      <c r="F675" s="18">
        <v>6264</v>
      </c>
      <c r="G675" s="18">
        <v>3712</v>
      </c>
      <c r="H675" s="18">
        <v>1128</v>
      </c>
      <c r="I675" s="18">
        <v>1424</v>
      </c>
    </row>
    <row r="676" spans="1:9" x14ac:dyDescent="0.3">
      <c r="A676" t="s">
        <v>1456</v>
      </c>
      <c r="B676" s="18" t="s">
        <v>605</v>
      </c>
      <c r="C676" s="18" t="s">
        <v>606</v>
      </c>
      <c r="D676" s="18" t="s">
        <v>606</v>
      </c>
      <c r="E676" s="18" t="s">
        <v>2062</v>
      </c>
      <c r="F676" s="18">
        <v>91042</v>
      </c>
      <c r="G676" s="18">
        <v>57406</v>
      </c>
      <c r="H676" s="18">
        <v>10173</v>
      </c>
      <c r="I676" s="18">
        <v>23463</v>
      </c>
    </row>
    <row r="677" spans="1:9" x14ac:dyDescent="0.3">
      <c r="A677" t="s">
        <v>1720</v>
      </c>
      <c r="B677" s="18" t="s">
        <v>605</v>
      </c>
      <c r="C677" s="18" t="s">
        <v>606</v>
      </c>
      <c r="D677" s="18" t="s">
        <v>609</v>
      </c>
      <c r="E677" s="18" t="s">
        <v>2062</v>
      </c>
      <c r="F677" s="18">
        <v>1607</v>
      </c>
      <c r="G677" s="18">
        <v>1084</v>
      </c>
      <c r="H677" s="18">
        <v>139</v>
      </c>
      <c r="I677" s="18">
        <v>384</v>
      </c>
    </row>
    <row r="678" spans="1:9" x14ac:dyDescent="0.3">
      <c r="A678" t="s">
        <v>1721</v>
      </c>
      <c r="B678" s="18" t="s">
        <v>605</v>
      </c>
      <c r="C678" s="18" t="s">
        <v>606</v>
      </c>
      <c r="D678" s="18" t="s">
        <v>610</v>
      </c>
      <c r="E678" s="18" t="s">
        <v>2062</v>
      </c>
      <c r="F678" s="18">
        <v>7817</v>
      </c>
      <c r="G678" s="18">
        <v>4341</v>
      </c>
      <c r="H678" s="18">
        <v>1120</v>
      </c>
      <c r="I678" s="18">
        <v>2356</v>
      </c>
    </row>
    <row r="679" spans="1:9" x14ac:dyDescent="0.3">
      <c r="A679" t="s">
        <v>1458</v>
      </c>
      <c r="B679" s="18" t="s">
        <v>605</v>
      </c>
      <c r="C679" s="18" t="s">
        <v>606</v>
      </c>
      <c r="D679" s="18" t="s">
        <v>611</v>
      </c>
      <c r="E679" s="18" t="s">
        <v>2062</v>
      </c>
      <c r="F679" s="18">
        <v>3103</v>
      </c>
      <c r="G679" s="18">
        <v>1938</v>
      </c>
      <c r="H679" s="18">
        <v>296</v>
      </c>
      <c r="I679" s="18">
        <v>869</v>
      </c>
    </row>
    <row r="680" spans="1:9" x14ac:dyDescent="0.3">
      <c r="A680" t="s">
        <v>1218</v>
      </c>
      <c r="B680" s="18" t="s">
        <v>605</v>
      </c>
      <c r="C680" s="18" t="s">
        <v>661</v>
      </c>
      <c r="D680" s="18" t="s">
        <v>662</v>
      </c>
      <c r="E680" s="18" t="s">
        <v>2062</v>
      </c>
      <c r="F680" s="18">
        <v>2264</v>
      </c>
      <c r="G680" s="18">
        <v>1354</v>
      </c>
      <c r="H680" s="18">
        <v>265</v>
      </c>
      <c r="I680" s="18">
        <v>645</v>
      </c>
    </row>
    <row r="681" spans="1:9" x14ac:dyDescent="0.3">
      <c r="A681" t="s">
        <v>1277</v>
      </c>
      <c r="B681" s="18" t="s">
        <v>605</v>
      </c>
      <c r="C681" s="18" t="s">
        <v>661</v>
      </c>
      <c r="D681" s="18" t="s">
        <v>661</v>
      </c>
      <c r="E681" s="18" t="s">
        <v>2062</v>
      </c>
      <c r="F681" s="18">
        <v>4779</v>
      </c>
      <c r="G681" s="18">
        <v>3225</v>
      </c>
      <c r="H681" s="18">
        <v>436</v>
      </c>
      <c r="I681" s="18">
        <v>1118</v>
      </c>
    </row>
    <row r="682" spans="1:9" x14ac:dyDescent="0.3">
      <c r="A682" t="s">
        <v>1329</v>
      </c>
      <c r="B682" s="18" t="s">
        <v>605</v>
      </c>
      <c r="C682" s="18" t="s">
        <v>661</v>
      </c>
      <c r="D682" s="18" t="s">
        <v>663</v>
      </c>
      <c r="E682" s="18" t="s">
        <v>2062</v>
      </c>
      <c r="F682" s="18">
        <v>2117</v>
      </c>
      <c r="G682" s="18">
        <v>1318</v>
      </c>
      <c r="H682" s="18">
        <v>257</v>
      </c>
      <c r="I682" s="18">
        <v>542</v>
      </c>
    </row>
    <row r="683" spans="1:9" x14ac:dyDescent="0.3">
      <c r="A683" t="s">
        <v>1454</v>
      </c>
      <c r="B683" s="18" t="s">
        <v>605</v>
      </c>
      <c r="C683" s="18" t="s">
        <v>398</v>
      </c>
      <c r="D683" s="18" t="s">
        <v>398</v>
      </c>
      <c r="E683" s="18" t="s">
        <v>2062</v>
      </c>
      <c r="F683" s="18">
        <v>15966</v>
      </c>
      <c r="G683" s="18">
        <v>11404</v>
      </c>
      <c r="H683" s="18">
        <v>1213</v>
      </c>
      <c r="I683" s="18">
        <v>3349</v>
      </c>
    </row>
    <row r="684" spans="1:9" x14ac:dyDescent="0.3">
      <c r="A684" t="s">
        <v>1747</v>
      </c>
      <c r="B684" s="18" t="s">
        <v>605</v>
      </c>
      <c r="C684" s="18" t="s">
        <v>84</v>
      </c>
      <c r="D684" s="18" t="s">
        <v>666</v>
      </c>
      <c r="E684" s="18" t="s">
        <v>2062</v>
      </c>
      <c r="F684" s="18">
        <v>2974</v>
      </c>
      <c r="G684" s="18">
        <v>1690</v>
      </c>
      <c r="H684" s="18">
        <v>353</v>
      </c>
      <c r="I684" s="18">
        <v>931</v>
      </c>
    </row>
    <row r="685" spans="1:9" x14ac:dyDescent="0.3">
      <c r="A685" t="s">
        <v>1471</v>
      </c>
      <c r="B685" s="18" t="s">
        <v>605</v>
      </c>
      <c r="C685" s="18" t="s">
        <v>84</v>
      </c>
      <c r="D685" s="18" t="s">
        <v>84</v>
      </c>
      <c r="E685" s="18" t="s">
        <v>2062</v>
      </c>
      <c r="F685" s="18">
        <v>5950</v>
      </c>
      <c r="G685" s="18">
        <v>3465</v>
      </c>
      <c r="H685" s="18">
        <v>847</v>
      </c>
      <c r="I685" s="18">
        <v>1638</v>
      </c>
    </row>
    <row r="686" spans="1:9" x14ac:dyDescent="0.3">
      <c r="A686" t="s">
        <v>1739</v>
      </c>
      <c r="B686" s="18" t="s">
        <v>605</v>
      </c>
      <c r="C686" s="18" t="s">
        <v>28</v>
      </c>
      <c r="D686" s="18" t="s">
        <v>648</v>
      </c>
      <c r="E686" s="18" t="s">
        <v>2062</v>
      </c>
      <c r="F686" s="18">
        <v>2957</v>
      </c>
      <c r="G686" s="18">
        <v>2024</v>
      </c>
      <c r="H686" s="18">
        <v>279</v>
      </c>
      <c r="I686" s="18">
        <v>654</v>
      </c>
    </row>
    <row r="687" spans="1:9" x14ac:dyDescent="0.3">
      <c r="A687" t="s">
        <v>1432</v>
      </c>
      <c r="B687" s="18" t="s">
        <v>605</v>
      </c>
      <c r="C687" s="18" t="s">
        <v>28</v>
      </c>
      <c r="D687" s="18" t="s">
        <v>135</v>
      </c>
      <c r="E687" s="18" t="s">
        <v>2062</v>
      </c>
      <c r="F687" s="18">
        <v>2172</v>
      </c>
      <c r="G687" s="18">
        <v>1285</v>
      </c>
      <c r="H687" s="18">
        <v>291</v>
      </c>
      <c r="I687" s="18">
        <v>596</v>
      </c>
    </row>
    <row r="688" spans="1:9" x14ac:dyDescent="0.3">
      <c r="A688" t="s">
        <v>1740</v>
      </c>
      <c r="B688" s="18" t="s">
        <v>605</v>
      </c>
      <c r="C688" s="18" t="s">
        <v>28</v>
      </c>
      <c r="D688" s="18" t="s">
        <v>80</v>
      </c>
      <c r="E688" s="18" t="s">
        <v>2062</v>
      </c>
      <c r="F688" s="18">
        <v>2779</v>
      </c>
      <c r="G688" s="18">
        <v>1864</v>
      </c>
      <c r="H688" s="18">
        <v>307</v>
      </c>
      <c r="I688" s="18">
        <v>608</v>
      </c>
    </row>
    <row r="689" spans="1:9" x14ac:dyDescent="0.3">
      <c r="A689" t="s">
        <v>1741</v>
      </c>
      <c r="B689" s="18" t="s">
        <v>605</v>
      </c>
      <c r="C689" s="18" t="s">
        <v>28</v>
      </c>
      <c r="D689" s="18" t="s">
        <v>113</v>
      </c>
      <c r="E689" s="18" t="s">
        <v>2062</v>
      </c>
      <c r="F689" s="18">
        <v>2159</v>
      </c>
      <c r="G689" s="18">
        <v>1240</v>
      </c>
      <c r="H689" s="18">
        <v>389</v>
      </c>
      <c r="I689" s="18">
        <v>530</v>
      </c>
    </row>
    <row r="690" spans="1:9" x14ac:dyDescent="0.3">
      <c r="A690" t="s">
        <v>1397</v>
      </c>
      <c r="B690" s="18" t="s">
        <v>605</v>
      </c>
      <c r="C690" s="18" t="s">
        <v>28</v>
      </c>
      <c r="D690" s="18" t="s">
        <v>647</v>
      </c>
      <c r="E690" s="18" t="s">
        <v>2062</v>
      </c>
      <c r="F690" s="18">
        <v>9206</v>
      </c>
      <c r="G690" s="18">
        <v>6050</v>
      </c>
      <c r="H690" s="18">
        <v>809</v>
      </c>
      <c r="I690" s="18">
        <v>2347</v>
      </c>
    </row>
    <row r="691" spans="1:9" x14ac:dyDescent="0.3">
      <c r="A691" t="s">
        <v>1448</v>
      </c>
      <c r="B691" s="18" t="s">
        <v>605</v>
      </c>
      <c r="C691" s="18" t="s">
        <v>649</v>
      </c>
      <c r="D691" s="18" t="s">
        <v>2066</v>
      </c>
      <c r="E691" s="18" t="s">
        <v>2062</v>
      </c>
      <c r="F691" s="18">
        <v>10022</v>
      </c>
      <c r="G691" s="18">
        <v>6036</v>
      </c>
      <c r="H691" s="18">
        <v>1145</v>
      </c>
      <c r="I691" s="18">
        <v>2841</v>
      </c>
    </row>
    <row r="692" spans="1:9" x14ac:dyDescent="0.3">
      <c r="A692" t="s">
        <v>1447</v>
      </c>
      <c r="B692" s="18" t="s">
        <v>605</v>
      </c>
      <c r="C692" s="18" t="s">
        <v>649</v>
      </c>
      <c r="D692" s="18" t="s">
        <v>651</v>
      </c>
      <c r="E692" s="18" t="s">
        <v>2062</v>
      </c>
      <c r="F692" s="18">
        <v>8687</v>
      </c>
      <c r="G692" s="18">
        <v>5853</v>
      </c>
      <c r="H692" s="18">
        <v>996</v>
      </c>
      <c r="I692" s="18">
        <v>1838</v>
      </c>
    </row>
    <row r="693" spans="1:9" x14ac:dyDescent="0.3">
      <c r="A693" t="s">
        <v>1466</v>
      </c>
      <c r="B693" s="18" t="s">
        <v>605</v>
      </c>
      <c r="C693" s="18" t="s">
        <v>649</v>
      </c>
      <c r="D693" s="18" t="s">
        <v>169</v>
      </c>
      <c r="E693" s="18" t="s">
        <v>2062</v>
      </c>
      <c r="F693" s="18">
        <v>4480</v>
      </c>
      <c r="G693" s="18">
        <v>2744</v>
      </c>
      <c r="H693" s="18">
        <v>553</v>
      </c>
      <c r="I693" s="18">
        <v>1183</v>
      </c>
    </row>
    <row r="694" spans="1:9" x14ac:dyDescent="0.3">
      <c r="A694" t="s">
        <v>1743</v>
      </c>
      <c r="B694" s="18" t="s">
        <v>605</v>
      </c>
      <c r="C694" s="18" t="s">
        <v>652</v>
      </c>
      <c r="D694" s="18" t="s">
        <v>654</v>
      </c>
      <c r="E694" s="18" t="s">
        <v>2062</v>
      </c>
      <c r="F694" s="18">
        <v>2776</v>
      </c>
      <c r="G694" s="18">
        <v>1644</v>
      </c>
      <c r="H694" s="18">
        <v>459</v>
      </c>
      <c r="I694" s="18">
        <v>673</v>
      </c>
    </row>
    <row r="695" spans="1:9" x14ac:dyDescent="0.3">
      <c r="A695" t="s">
        <v>1742</v>
      </c>
      <c r="B695" s="18" t="s">
        <v>605</v>
      </c>
      <c r="C695" s="18" t="s">
        <v>652</v>
      </c>
      <c r="D695" s="18" t="s">
        <v>653</v>
      </c>
      <c r="E695" s="18" t="s">
        <v>2062</v>
      </c>
      <c r="F695" s="18">
        <v>1631</v>
      </c>
      <c r="G695" s="18">
        <v>1068</v>
      </c>
      <c r="H695" s="18">
        <v>121</v>
      </c>
      <c r="I695" s="18">
        <v>442</v>
      </c>
    </row>
    <row r="696" spans="1:9" x14ac:dyDescent="0.3">
      <c r="A696" t="s">
        <v>1464</v>
      </c>
      <c r="B696" s="18" t="s">
        <v>605</v>
      </c>
      <c r="C696" s="18" t="s">
        <v>652</v>
      </c>
      <c r="D696" s="18" t="s">
        <v>652</v>
      </c>
      <c r="E696" s="18" t="s">
        <v>2062</v>
      </c>
      <c r="F696" s="18">
        <v>11363</v>
      </c>
      <c r="G696" s="18">
        <v>6744</v>
      </c>
      <c r="H696" s="18">
        <v>1183</v>
      </c>
      <c r="I696" s="18">
        <v>3436</v>
      </c>
    </row>
    <row r="697" spans="1:9" x14ac:dyDescent="0.3">
      <c r="A697" t="s">
        <v>1756</v>
      </c>
      <c r="B697" s="18" t="s">
        <v>667</v>
      </c>
      <c r="C697" s="18" t="s">
        <v>677</v>
      </c>
      <c r="D697" s="18" t="s">
        <v>678</v>
      </c>
      <c r="E697" s="18" t="s">
        <v>2062</v>
      </c>
      <c r="F697" s="18">
        <v>56</v>
      </c>
      <c r="G697" s="18">
        <v>30</v>
      </c>
      <c r="H697" s="18">
        <v>7</v>
      </c>
      <c r="I697" s="18">
        <v>19</v>
      </c>
    </row>
    <row r="698" spans="1:9" x14ac:dyDescent="0.3">
      <c r="A698" t="s">
        <v>2017</v>
      </c>
      <c r="B698" s="18" t="s">
        <v>667</v>
      </c>
      <c r="C698" s="18" t="s">
        <v>677</v>
      </c>
      <c r="D698" s="18" t="s">
        <v>679</v>
      </c>
      <c r="E698" s="18" t="s">
        <v>2062</v>
      </c>
      <c r="F698" s="18">
        <v>81</v>
      </c>
      <c r="G698" s="18">
        <v>45</v>
      </c>
      <c r="H698" s="18">
        <v>10</v>
      </c>
      <c r="I698" s="18">
        <v>26</v>
      </c>
    </row>
    <row r="699" spans="1:9" x14ac:dyDescent="0.3">
      <c r="A699" t="s">
        <v>1757</v>
      </c>
      <c r="B699" s="18" t="s">
        <v>667</v>
      </c>
      <c r="C699" s="18" t="s">
        <v>677</v>
      </c>
      <c r="D699" s="18" t="s">
        <v>680</v>
      </c>
      <c r="E699" s="18" t="s">
        <v>2062</v>
      </c>
      <c r="F699" s="18">
        <v>1878</v>
      </c>
      <c r="G699" s="18">
        <v>706</v>
      </c>
      <c r="H699" s="18">
        <v>345</v>
      </c>
      <c r="I699" s="18">
        <v>827</v>
      </c>
    </row>
    <row r="700" spans="1:9" x14ac:dyDescent="0.3">
      <c r="A700" t="s">
        <v>2018</v>
      </c>
      <c r="B700" s="18" t="s">
        <v>667</v>
      </c>
      <c r="C700" s="18" t="s">
        <v>677</v>
      </c>
      <c r="D700" s="18" t="s">
        <v>681</v>
      </c>
      <c r="E700" s="18" t="s">
        <v>2062</v>
      </c>
      <c r="F700" s="18">
        <v>188</v>
      </c>
      <c r="G700" s="18">
        <v>81</v>
      </c>
      <c r="H700" s="18">
        <v>16</v>
      </c>
      <c r="I700" s="18">
        <v>91</v>
      </c>
    </row>
    <row r="701" spans="1:9" x14ac:dyDescent="0.3">
      <c r="A701" t="s">
        <v>2019</v>
      </c>
      <c r="B701" s="18" t="s">
        <v>667</v>
      </c>
      <c r="C701" s="18" t="s">
        <v>677</v>
      </c>
      <c r="D701" s="18" t="s">
        <v>684</v>
      </c>
      <c r="E701" s="18" t="s">
        <v>2062</v>
      </c>
      <c r="F701" s="18">
        <v>249</v>
      </c>
      <c r="G701" s="18">
        <v>148</v>
      </c>
      <c r="H701" s="18">
        <v>40</v>
      </c>
      <c r="I701" s="18">
        <v>61</v>
      </c>
    </row>
    <row r="702" spans="1:9" x14ac:dyDescent="0.3">
      <c r="A702" t="s">
        <v>1758</v>
      </c>
      <c r="B702" s="18" t="s">
        <v>667</v>
      </c>
      <c r="C702" s="18" t="s">
        <v>677</v>
      </c>
      <c r="D702" s="18" t="s">
        <v>418</v>
      </c>
      <c r="E702" s="18" t="s">
        <v>2062</v>
      </c>
      <c r="F702" s="18">
        <v>195</v>
      </c>
      <c r="G702" s="18">
        <v>83</v>
      </c>
      <c r="H702" s="18"/>
      <c r="I702" s="18">
        <v>112</v>
      </c>
    </row>
    <row r="703" spans="1:9" x14ac:dyDescent="0.3">
      <c r="A703" t="s">
        <v>1314</v>
      </c>
      <c r="B703" s="18" t="s">
        <v>667</v>
      </c>
      <c r="C703" s="18" t="s">
        <v>677</v>
      </c>
      <c r="D703" s="18" t="s">
        <v>677</v>
      </c>
      <c r="E703" s="18" t="s">
        <v>2062</v>
      </c>
      <c r="F703" s="18">
        <v>3988</v>
      </c>
      <c r="G703" s="18">
        <v>2616</v>
      </c>
      <c r="H703" s="18">
        <v>384</v>
      </c>
      <c r="I703" s="18">
        <v>988</v>
      </c>
    </row>
    <row r="704" spans="1:9" x14ac:dyDescent="0.3">
      <c r="A704" t="s">
        <v>1759</v>
      </c>
      <c r="B704" s="18" t="s">
        <v>667</v>
      </c>
      <c r="C704" s="18" t="s">
        <v>677</v>
      </c>
      <c r="D704" s="18" t="s">
        <v>682</v>
      </c>
      <c r="E704" s="18" t="s">
        <v>2062</v>
      </c>
      <c r="F704" s="18">
        <v>224</v>
      </c>
      <c r="G704" s="18">
        <v>164</v>
      </c>
      <c r="H704" s="18">
        <v>10</v>
      </c>
      <c r="I704" s="18">
        <v>50</v>
      </c>
    </row>
    <row r="705" spans="1:9" x14ac:dyDescent="0.3">
      <c r="A705" t="s">
        <v>1760</v>
      </c>
      <c r="B705" s="18" t="s">
        <v>667</v>
      </c>
      <c r="C705" s="18" t="s">
        <v>677</v>
      </c>
      <c r="D705" s="18" t="s">
        <v>683</v>
      </c>
      <c r="E705" s="18" t="s">
        <v>2062</v>
      </c>
      <c r="F705" s="18">
        <v>44</v>
      </c>
      <c r="G705" s="18">
        <v>27</v>
      </c>
      <c r="H705" s="18">
        <v>3</v>
      </c>
      <c r="I705" s="18">
        <v>14</v>
      </c>
    </row>
    <row r="706" spans="1:9" x14ac:dyDescent="0.3">
      <c r="A706" t="s">
        <v>1773</v>
      </c>
      <c r="B706" s="18" t="s">
        <v>667</v>
      </c>
      <c r="C706" s="18" t="s">
        <v>705</v>
      </c>
      <c r="D706" s="18" t="s">
        <v>706</v>
      </c>
      <c r="E706" s="18" t="s">
        <v>2062</v>
      </c>
      <c r="F706" s="18">
        <v>1904</v>
      </c>
      <c r="G706" s="18">
        <v>484</v>
      </c>
      <c r="H706" s="18">
        <v>294</v>
      </c>
      <c r="I706" s="18">
        <v>1126</v>
      </c>
    </row>
    <row r="707" spans="1:9" x14ac:dyDescent="0.3">
      <c r="A707" t="s">
        <v>1292</v>
      </c>
      <c r="B707" s="18" t="s">
        <v>667</v>
      </c>
      <c r="C707" s="18" t="s">
        <v>705</v>
      </c>
      <c r="D707" s="18" t="s">
        <v>705</v>
      </c>
      <c r="E707" s="18" t="s">
        <v>2062</v>
      </c>
      <c r="F707" s="18">
        <v>1152</v>
      </c>
      <c r="G707" s="18">
        <v>483</v>
      </c>
      <c r="H707" s="18">
        <v>246</v>
      </c>
      <c r="I707" s="18">
        <v>423</v>
      </c>
    </row>
    <row r="708" spans="1:9" x14ac:dyDescent="0.3">
      <c r="A708" t="s">
        <v>1039</v>
      </c>
      <c r="B708" s="18" t="s">
        <v>667</v>
      </c>
      <c r="C708" s="18" t="s">
        <v>685</v>
      </c>
      <c r="D708" s="18" t="s">
        <v>2067</v>
      </c>
      <c r="E708" s="18" t="s">
        <v>2062</v>
      </c>
      <c r="F708" s="18">
        <v>1526</v>
      </c>
      <c r="G708" s="18">
        <v>1021</v>
      </c>
      <c r="H708" s="18">
        <v>104</v>
      </c>
      <c r="I708" s="18">
        <v>401</v>
      </c>
    </row>
    <row r="709" spans="1:9" x14ac:dyDescent="0.3">
      <c r="A709" t="s">
        <v>1761</v>
      </c>
      <c r="B709" s="18" t="s">
        <v>667</v>
      </c>
      <c r="C709" s="18" t="s">
        <v>685</v>
      </c>
      <c r="D709" s="18" t="s">
        <v>687</v>
      </c>
      <c r="E709" s="18" t="s">
        <v>2062</v>
      </c>
      <c r="F709" s="18">
        <v>359</v>
      </c>
      <c r="G709" s="18">
        <v>225</v>
      </c>
      <c r="H709" s="18">
        <v>33</v>
      </c>
      <c r="I709" s="18">
        <v>101</v>
      </c>
    </row>
    <row r="710" spans="1:9" x14ac:dyDescent="0.3">
      <c r="A710" t="s">
        <v>2020</v>
      </c>
      <c r="B710" s="18" t="s">
        <v>667</v>
      </c>
      <c r="C710" s="18" t="s">
        <v>685</v>
      </c>
      <c r="D710" s="18" t="s">
        <v>138</v>
      </c>
      <c r="E710" s="18" t="s">
        <v>2062</v>
      </c>
      <c r="F710" s="18">
        <v>407</v>
      </c>
      <c r="G710" s="18">
        <v>221</v>
      </c>
      <c r="H710" s="18">
        <v>24</v>
      </c>
      <c r="I710" s="18">
        <v>162</v>
      </c>
    </row>
    <row r="711" spans="1:9" x14ac:dyDescent="0.3">
      <c r="A711" t="s">
        <v>2021</v>
      </c>
      <c r="B711" s="18" t="s">
        <v>667</v>
      </c>
      <c r="C711" s="18" t="s">
        <v>685</v>
      </c>
      <c r="D711" s="18" t="s">
        <v>688</v>
      </c>
      <c r="E711" s="18" t="s">
        <v>2062</v>
      </c>
      <c r="F711" s="18">
        <v>126</v>
      </c>
      <c r="G711" s="18">
        <v>84</v>
      </c>
      <c r="H711" s="18">
        <v>19</v>
      </c>
      <c r="I711" s="18">
        <v>23</v>
      </c>
    </row>
    <row r="712" spans="1:9" x14ac:dyDescent="0.3">
      <c r="A712" t="s">
        <v>1762</v>
      </c>
      <c r="B712" s="18" t="s">
        <v>667</v>
      </c>
      <c r="C712" s="18" t="s">
        <v>685</v>
      </c>
      <c r="D712" s="18" t="s">
        <v>689</v>
      </c>
      <c r="E712" s="18" t="s">
        <v>2062</v>
      </c>
      <c r="F712" s="18">
        <v>246</v>
      </c>
      <c r="G712" s="18">
        <v>90</v>
      </c>
      <c r="H712" s="18">
        <v>31</v>
      </c>
      <c r="I712" s="18">
        <v>125</v>
      </c>
    </row>
    <row r="713" spans="1:9" x14ac:dyDescent="0.3">
      <c r="A713" t="s">
        <v>1763</v>
      </c>
      <c r="B713" s="18" t="s">
        <v>667</v>
      </c>
      <c r="C713" s="18" t="s">
        <v>685</v>
      </c>
      <c r="D713" s="18" t="s">
        <v>690</v>
      </c>
      <c r="E713" s="18" t="s">
        <v>2062</v>
      </c>
      <c r="F713" s="18">
        <v>323</v>
      </c>
      <c r="G713" s="18">
        <v>71</v>
      </c>
      <c r="H713" s="18">
        <v>57</v>
      </c>
      <c r="I713" s="18">
        <v>195</v>
      </c>
    </row>
    <row r="714" spans="1:9" x14ac:dyDescent="0.3">
      <c r="A714" t="s">
        <v>1778</v>
      </c>
      <c r="B714" s="18" t="s">
        <v>667</v>
      </c>
      <c r="C714" s="18" t="s">
        <v>717</v>
      </c>
      <c r="D714" s="18" t="s">
        <v>717</v>
      </c>
      <c r="E714" s="18" t="s">
        <v>2062</v>
      </c>
      <c r="F714" s="18">
        <v>816</v>
      </c>
      <c r="G714" s="18">
        <v>323</v>
      </c>
      <c r="H714" s="18">
        <v>155</v>
      </c>
      <c r="I714" s="18">
        <v>338</v>
      </c>
    </row>
    <row r="715" spans="1:9" x14ac:dyDescent="0.3">
      <c r="A715" t="s">
        <v>1779</v>
      </c>
      <c r="B715" s="18" t="s">
        <v>667</v>
      </c>
      <c r="C715" s="18" t="s">
        <v>717</v>
      </c>
      <c r="D715" s="18" t="s">
        <v>719</v>
      </c>
      <c r="E715" s="18" t="s">
        <v>2062</v>
      </c>
      <c r="F715" s="18">
        <v>791</v>
      </c>
      <c r="G715" s="18">
        <v>265</v>
      </c>
      <c r="H715" s="18">
        <v>245</v>
      </c>
      <c r="I715" s="18">
        <v>281</v>
      </c>
    </row>
    <row r="716" spans="1:9" x14ac:dyDescent="0.3">
      <c r="A716" t="s">
        <v>2026</v>
      </c>
      <c r="B716" s="18" t="s">
        <v>667</v>
      </c>
      <c r="C716" s="18" t="s">
        <v>717</v>
      </c>
      <c r="D716" s="18" t="s">
        <v>718</v>
      </c>
      <c r="E716" s="18" t="s">
        <v>2062</v>
      </c>
      <c r="F716" s="18">
        <v>578</v>
      </c>
      <c r="G716" s="18">
        <v>71</v>
      </c>
      <c r="H716" s="18">
        <v>245</v>
      </c>
      <c r="I716" s="18">
        <v>262</v>
      </c>
    </row>
    <row r="717" spans="1:9" x14ac:dyDescent="0.3">
      <c r="A717" t="s">
        <v>1748</v>
      </c>
      <c r="B717" s="18" t="s">
        <v>667</v>
      </c>
      <c r="C717" s="18" t="s">
        <v>668</v>
      </c>
      <c r="D717" s="18" t="s">
        <v>670</v>
      </c>
      <c r="E717" s="18" t="s">
        <v>2062</v>
      </c>
      <c r="F717" s="18">
        <v>153</v>
      </c>
      <c r="G717" s="18">
        <v>73</v>
      </c>
      <c r="H717" s="18">
        <v>34</v>
      </c>
      <c r="I717" s="18">
        <v>46</v>
      </c>
    </row>
    <row r="718" spans="1:9" x14ac:dyDescent="0.3">
      <c r="A718" t="s">
        <v>1754</v>
      </c>
      <c r="B718" s="18" t="s">
        <v>667</v>
      </c>
      <c r="C718" s="18" t="s">
        <v>668</v>
      </c>
      <c r="D718" s="18" t="s">
        <v>675</v>
      </c>
      <c r="E718" s="18" t="s">
        <v>2062</v>
      </c>
      <c r="F718" s="18">
        <v>820</v>
      </c>
      <c r="G718" s="18">
        <v>122</v>
      </c>
      <c r="H718" s="18">
        <v>146</v>
      </c>
      <c r="I718" s="18">
        <v>552</v>
      </c>
    </row>
    <row r="719" spans="1:9" x14ac:dyDescent="0.3">
      <c r="A719" t="s">
        <v>1749</v>
      </c>
      <c r="B719" s="18" t="s">
        <v>667</v>
      </c>
      <c r="C719" s="18" t="s">
        <v>668</v>
      </c>
      <c r="D719" s="18" t="s">
        <v>671</v>
      </c>
      <c r="E719" s="18" t="s">
        <v>2062</v>
      </c>
      <c r="F719" s="18">
        <v>1588</v>
      </c>
      <c r="G719" s="18">
        <v>995</v>
      </c>
      <c r="H719" s="18">
        <v>192</v>
      </c>
      <c r="I719" s="18">
        <v>401</v>
      </c>
    </row>
    <row r="720" spans="1:9" x14ac:dyDescent="0.3">
      <c r="A720" t="s">
        <v>1350</v>
      </c>
      <c r="B720" s="18" t="s">
        <v>667</v>
      </c>
      <c r="C720" s="18" t="s">
        <v>668</v>
      </c>
      <c r="D720" s="18" t="s">
        <v>669</v>
      </c>
      <c r="E720" s="18" t="s">
        <v>2062</v>
      </c>
      <c r="F720" s="18">
        <v>7646</v>
      </c>
      <c r="G720" s="18">
        <v>4952</v>
      </c>
      <c r="H720" s="18">
        <v>617</v>
      </c>
      <c r="I720" s="18">
        <v>2077</v>
      </c>
    </row>
    <row r="721" spans="1:9" x14ac:dyDescent="0.3">
      <c r="A721" t="s">
        <v>1755</v>
      </c>
      <c r="B721" s="18" t="s">
        <v>667</v>
      </c>
      <c r="C721" s="18" t="s">
        <v>668</v>
      </c>
      <c r="D721" s="18" t="s">
        <v>676</v>
      </c>
      <c r="E721" s="18" t="s">
        <v>2062</v>
      </c>
      <c r="F721" s="18">
        <v>951</v>
      </c>
      <c r="G721" s="18">
        <v>545</v>
      </c>
      <c r="H721" s="18">
        <v>150</v>
      </c>
      <c r="I721" s="18">
        <v>256</v>
      </c>
    </row>
    <row r="722" spans="1:9" x14ac:dyDescent="0.3">
      <c r="A722" t="s">
        <v>1750</v>
      </c>
      <c r="B722" s="18" t="s">
        <v>667</v>
      </c>
      <c r="C722" s="18" t="s">
        <v>668</v>
      </c>
      <c r="D722" s="18" t="s">
        <v>169</v>
      </c>
      <c r="E722" s="18" t="s">
        <v>2062</v>
      </c>
      <c r="F722" s="18">
        <v>419</v>
      </c>
      <c r="G722" s="18">
        <v>197</v>
      </c>
      <c r="H722" s="18">
        <v>110</v>
      </c>
      <c r="I722" s="18">
        <v>112</v>
      </c>
    </row>
    <row r="723" spans="1:9" x14ac:dyDescent="0.3">
      <c r="A723" t="s">
        <v>1751</v>
      </c>
      <c r="B723" s="18" t="s">
        <v>667</v>
      </c>
      <c r="C723" s="18" t="s">
        <v>668</v>
      </c>
      <c r="D723" s="18" t="s">
        <v>672</v>
      </c>
      <c r="E723" s="18" t="s">
        <v>2062</v>
      </c>
      <c r="F723" s="18">
        <v>5316</v>
      </c>
      <c r="G723" s="18">
        <v>1863</v>
      </c>
      <c r="H723" s="18">
        <v>1090</v>
      </c>
      <c r="I723" s="18">
        <v>2363</v>
      </c>
    </row>
    <row r="724" spans="1:9" x14ac:dyDescent="0.3">
      <c r="A724" t="s">
        <v>1752</v>
      </c>
      <c r="B724" s="18" t="s">
        <v>667</v>
      </c>
      <c r="C724" s="18" t="s">
        <v>668</v>
      </c>
      <c r="D724" s="18" t="s">
        <v>673</v>
      </c>
      <c r="E724" s="18" t="s">
        <v>2062</v>
      </c>
      <c r="F724" s="18">
        <v>319</v>
      </c>
      <c r="G724" s="18">
        <v>127</v>
      </c>
      <c r="H724" s="18">
        <v>46</v>
      </c>
      <c r="I724" s="18">
        <v>146</v>
      </c>
    </row>
    <row r="725" spans="1:9" x14ac:dyDescent="0.3">
      <c r="A725" t="s">
        <v>1753</v>
      </c>
      <c r="B725" s="18" t="s">
        <v>667</v>
      </c>
      <c r="C725" s="18" t="s">
        <v>668</v>
      </c>
      <c r="D725" s="18" t="s">
        <v>674</v>
      </c>
      <c r="E725" s="18" t="s">
        <v>2062</v>
      </c>
      <c r="F725" s="18">
        <v>71</v>
      </c>
      <c r="G725" s="18">
        <v>51</v>
      </c>
      <c r="H725" s="18">
        <v>3</v>
      </c>
      <c r="I725" s="18">
        <v>17</v>
      </c>
    </row>
    <row r="726" spans="1:9" x14ac:dyDescent="0.3">
      <c r="A726" t="s">
        <v>1060</v>
      </c>
      <c r="B726" s="18" t="s">
        <v>667</v>
      </c>
      <c r="C726" s="18" t="s">
        <v>720</v>
      </c>
      <c r="D726" s="18" t="s">
        <v>720</v>
      </c>
      <c r="E726" s="18" t="s">
        <v>2062</v>
      </c>
      <c r="F726" s="18">
        <v>704</v>
      </c>
      <c r="G726" s="18">
        <v>294</v>
      </c>
      <c r="H726" s="18">
        <v>136</v>
      </c>
      <c r="I726" s="18">
        <v>274</v>
      </c>
    </row>
    <row r="727" spans="1:9" x14ac:dyDescent="0.3">
      <c r="A727" t="s">
        <v>1764</v>
      </c>
      <c r="B727" s="18" t="s">
        <v>667</v>
      </c>
      <c r="C727" s="18" t="s">
        <v>691</v>
      </c>
      <c r="D727" s="18" t="s">
        <v>694</v>
      </c>
      <c r="E727" s="18" t="s">
        <v>2062</v>
      </c>
      <c r="F727" s="18">
        <v>406</v>
      </c>
      <c r="G727" s="18">
        <v>213</v>
      </c>
      <c r="H727" s="18">
        <v>34</v>
      </c>
      <c r="I727" s="18">
        <v>159</v>
      </c>
    </row>
    <row r="728" spans="1:9" x14ac:dyDescent="0.3">
      <c r="A728" t="s">
        <v>1239</v>
      </c>
      <c r="B728" s="18" t="s">
        <v>667</v>
      </c>
      <c r="C728" s="18" t="s">
        <v>691</v>
      </c>
      <c r="D728" s="18" t="s">
        <v>692</v>
      </c>
      <c r="E728" s="18" t="s">
        <v>2062</v>
      </c>
      <c r="F728" s="18">
        <v>303</v>
      </c>
      <c r="G728" s="18">
        <v>168</v>
      </c>
      <c r="H728" s="18">
        <v>42</v>
      </c>
      <c r="I728" s="18">
        <v>93</v>
      </c>
    </row>
    <row r="729" spans="1:9" x14ac:dyDescent="0.3">
      <c r="A729" t="s">
        <v>1051</v>
      </c>
      <c r="B729" s="18" t="s">
        <v>667</v>
      </c>
      <c r="C729" s="18" t="s">
        <v>691</v>
      </c>
      <c r="D729" s="18" t="s">
        <v>279</v>
      </c>
      <c r="E729" s="18" t="s">
        <v>2062</v>
      </c>
      <c r="F729" s="18">
        <v>133</v>
      </c>
      <c r="G729" s="18">
        <v>67</v>
      </c>
      <c r="H729" s="18">
        <v>40</v>
      </c>
      <c r="I729" s="18">
        <v>26</v>
      </c>
    </row>
    <row r="730" spans="1:9" x14ac:dyDescent="0.3">
      <c r="A730" t="s">
        <v>1152</v>
      </c>
      <c r="B730" s="18" t="s">
        <v>667</v>
      </c>
      <c r="C730" s="18" t="s">
        <v>691</v>
      </c>
      <c r="D730" s="18" t="s">
        <v>691</v>
      </c>
      <c r="E730" s="18" t="s">
        <v>2062</v>
      </c>
      <c r="F730" s="18">
        <v>2328</v>
      </c>
      <c r="G730" s="18">
        <v>1763</v>
      </c>
      <c r="H730" s="18">
        <v>156</v>
      </c>
      <c r="I730" s="18">
        <v>409</v>
      </c>
    </row>
    <row r="731" spans="1:9" x14ac:dyDescent="0.3">
      <c r="A731" t="s">
        <v>1165</v>
      </c>
      <c r="B731" s="18" t="s">
        <v>667</v>
      </c>
      <c r="C731" s="18" t="s">
        <v>691</v>
      </c>
      <c r="D731" s="18" t="s">
        <v>693</v>
      </c>
      <c r="E731" s="18" t="s">
        <v>2062</v>
      </c>
      <c r="F731" s="18">
        <v>768</v>
      </c>
      <c r="G731" s="18">
        <v>536</v>
      </c>
      <c r="H731" s="18">
        <v>54</v>
      </c>
      <c r="I731" s="18">
        <v>178</v>
      </c>
    </row>
    <row r="732" spans="1:9" x14ac:dyDescent="0.3">
      <c r="A732" t="s">
        <v>2022</v>
      </c>
      <c r="B732" s="18" t="s">
        <v>667</v>
      </c>
      <c r="C732" s="18" t="s">
        <v>707</v>
      </c>
      <c r="D732" s="18" t="s">
        <v>708</v>
      </c>
      <c r="E732" s="18" t="s">
        <v>2062</v>
      </c>
      <c r="F732" s="18">
        <v>67</v>
      </c>
      <c r="G732" s="18">
        <v>32</v>
      </c>
      <c r="H732" s="18">
        <v>10</v>
      </c>
      <c r="I732" s="18">
        <v>25</v>
      </c>
    </row>
    <row r="733" spans="1:9" x14ac:dyDescent="0.3">
      <c r="A733" t="s">
        <v>2023</v>
      </c>
      <c r="B733" s="18" t="s">
        <v>667</v>
      </c>
      <c r="C733" s="18" t="s">
        <v>707</v>
      </c>
      <c r="D733" s="18" t="s">
        <v>709</v>
      </c>
      <c r="E733" s="18" t="s">
        <v>2062</v>
      </c>
      <c r="F733" s="18">
        <v>248</v>
      </c>
      <c r="G733" s="18">
        <v>38</v>
      </c>
      <c r="H733" s="18">
        <v>46</v>
      </c>
      <c r="I733" s="18">
        <v>164</v>
      </c>
    </row>
    <row r="734" spans="1:9" x14ac:dyDescent="0.3">
      <c r="A734" t="s">
        <v>2024</v>
      </c>
      <c r="B734" s="18" t="s">
        <v>667</v>
      </c>
      <c r="C734" s="18" t="s">
        <v>707</v>
      </c>
      <c r="D734" s="18" t="s">
        <v>710</v>
      </c>
      <c r="E734" s="18" t="s">
        <v>2062</v>
      </c>
      <c r="F734" s="18">
        <v>80</v>
      </c>
      <c r="G734" s="18">
        <v>35</v>
      </c>
      <c r="H734" s="18">
        <v>12</v>
      </c>
      <c r="I734" s="18">
        <v>33</v>
      </c>
    </row>
    <row r="735" spans="1:9" x14ac:dyDescent="0.3">
      <c r="A735" t="s">
        <v>1348</v>
      </c>
      <c r="B735" s="18" t="s">
        <v>667</v>
      </c>
      <c r="C735" s="18" t="s">
        <v>707</v>
      </c>
      <c r="D735" s="18" t="s">
        <v>707</v>
      </c>
      <c r="E735" s="18" t="s">
        <v>2062</v>
      </c>
      <c r="F735" s="18">
        <v>808</v>
      </c>
      <c r="G735" s="18">
        <v>499</v>
      </c>
      <c r="H735" s="18">
        <v>76</v>
      </c>
      <c r="I735" s="18">
        <v>233</v>
      </c>
    </row>
    <row r="736" spans="1:9" x14ac:dyDescent="0.3">
      <c r="A736" t="s">
        <v>2025</v>
      </c>
      <c r="B736" s="18" t="s">
        <v>667</v>
      </c>
      <c r="C736" s="18" t="s">
        <v>707</v>
      </c>
      <c r="D736" s="18" t="s">
        <v>711</v>
      </c>
      <c r="E736" s="18" t="s">
        <v>2062</v>
      </c>
      <c r="F736" s="18">
        <v>163</v>
      </c>
      <c r="G736" s="18">
        <v>69</v>
      </c>
      <c r="H736" s="18">
        <v>21</v>
      </c>
      <c r="I736" s="18">
        <v>73</v>
      </c>
    </row>
    <row r="737" spans="1:9" x14ac:dyDescent="0.3">
      <c r="A737" t="s">
        <v>1131</v>
      </c>
      <c r="B737" s="18" t="s">
        <v>667</v>
      </c>
      <c r="C737" s="18" t="s">
        <v>114</v>
      </c>
      <c r="D737" s="18" t="s">
        <v>697</v>
      </c>
      <c r="E737" s="18" t="s">
        <v>2062</v>
      </c>
      <c r="F737" s="18">
        <v>226</v>
      </c>
      <c r="G737" s="18">
        <v>104</v>
      </c>
      <c r="H737" s="18">
        <v>33</v>
      </c>
      <c r="I737" s="18">
        <v>89</v>
      </c>
    </row>
    <row r="738" spans="1:9" x14ac:dyDescent="0.3">
      <c r="A738" t="s">
        <v>1765</v>
      </c>
      <c r="B738" s="18" t="s">
        <v>667</v>
      </c>
      <c r="C738" s="18" t="s">
        <v>114</v>
      </c>
      <c r="D738" s="18" t="s">
        <v>696</v>
      </c>
      <c r="E738" s="18" t="s">
        <v>2062</v>
      </c>
      <c r="F738" s="18">
        <v>167</v>
      </c>
      <c r="G738" s="18">
        <v>128</v>
      </c>
      <c r="H738" s="18">
        <v>3</v>
      </c>
      <c r="I738" s="18">
        <v>36</v>
      </c>
    </row>
    <row r="739" spans="1:9" x14ac:dyDescent="0.3">
      <c r="A739" t="s">
        <v>1766</v>
      </c>
      <c r="B739" s="18" t="s">
        <v>667</v>
      </c>
      <c r="C739" s="18" t="s">
        <v>114</v>
      </c>
      <c r="D739" s="18" t="s">
        <v>698</v>
      </c>
      <c r="E739" s="18" t="s">
        <v>2062</v>
      </c>
      <c r="F739" s="18">
        <v>671</v>
      </c>
      <c r="G739" s="18">
        <v>255</v>
      </c>
      <c r="H739" s="18">
        <v>84</v>
      </c>
      <c r="I739" s="18">
        <v>332</v>
      </c>
    </row>
    <row r="740" spans="1:9" x14ac:dyDescent="0.3">
      <c r="A740" t="s">
        <v>1769</v>
      </c>
      <c r="B740" s="18" t="s">
        <v>667</v>
      </c>
      <c r="C740" s="18" t="s">
        <v>114</v>
      </c>
      <c r="D740" s="18" t="s">
        <v>701</v>
      </c>
      <c r="E740" s="18" t="s">
        <v>2062</v>
      </c>
      <c r="F740" s="18">
        <v>309</v>
      </c>
      <c r="G740" s="18">
        <v>104</v>
      </c>
      <c r="H740" s="18">
        <v>65</v>
      </c>
      <c r="I740" s="18">
        <v>140</v>
      </c>
    </row>
    <row r="741" spans="1:9" x14ac:dyDescent="0.3">
      <c r="A741" t="s">
        <v>1767</v>
      </c>
      <c r="B741" s="18" t="s">
        <v>667</v>
      </c>
      <c r="C741" s="18" t="s">
        <v>114</v>
      </c>
      <c r="D741" s="18" t="s">
        <v>699</v>
      </c>
      <c r="E741" s="18" t="s">
        <v>2062</v>
      </c>
      <c r="F741" s="18">
        <v>220</v>
      </c>
      <c r="G741" s="18">
        <v>100</v>
      </c>
      <c r="H741" s="18">
        <v>44</v>
      </c>
      <c r="I741" s="18">
        <v>76</v>
      </c>
    </row>
    <row r="742" spans="1:9" x14ac:dyDescent="0.3">
      <c r="A742" t="s">
        <v>1110</v>
      </c>
      <c r="B742" s="18" t="s">
        <v>667</v>
      </c>
      <c r="C742" s="18" t="s">
        <v>114</v>
      </c>
      <c r="D742" s="18" t="s">
        <v>695</v>
      </c>
      <c r="E742" s="18" t="s">
        <v>2062</v>
      </c>
      <c r="F742" s="18">
        <v>1150</v>
      </c>
      <c r="G742" s="18">
        <v>691</v>
      </c>
      <c r="H742" s="18">
        <v>93</v>
      </c>
      <c r="I742" s="18">
        <v>366</v>
      </c>
    </row>
    <row r="743" spans="1:9" x14ac:dyDescent="0.3">
      <c r="A743" t="s">
        <v>1768</v>
      </c>
      <c r="B743" s="18" t="s">
        <v>667</v>
      </c>
      <c r="C743" s="18" t="s">
        <v>114</v>
      </c>
      <c r="D743" s="18" t="s">
        <v>700</v>
      </c>
      <c r="E743" s="18" t="s">
        <v>2062</v>
      </c>
      <c r="F743" s="18">
        <v>494</v>
      </c>
      <c r="G743" s="18">
        <v>201</v>
      </c>
      <c r="H743" s="18">
        <v>162</v>
      </c>
      <c r="I743" s="18">
        <v>131</v>
      </c>
    </row>
    <row r="744" spans="1:9" x14ac:dyDescent="0.3">
      <c r="A744" t="s">
        <v>1770</v>
      </c>
      <c r="B744" s="18" t="s">
        <v>667</v>
      </c>
      <c r="C744" s="18" t="s">
        <v>702</v>
      </c>
      <c r="D744" s="18" t="s">
        <v>104</v>
      </c>
      <c r="E744" s="18" t="s">
        <v>2062</v>
      </c>
      <c r="F744" s="18">
        <v>638</v>
      </c>
      <c r="G744" s="18">
        <v>233</v>
      </c>
      <c r="H744" s="18">
        <v>113</v>
      </c>
      <c r="I744" s="18">
        <v>292</v>
      </c>
    </row>
    <row r="745" spans="1:9" x14ac:dyDescent="0.3">
      <c r="A745" t="s">
        <v>1771</v>
      </c>
      <c r="B745" s="18" t="s">
        <v>667</v>
      </c>
      <c r="C745" s="18" t="s">
        <v>702</v>
      </c>
      <c r="D745" s="18" t="s">
        <v>703</v>
      </c>
      <c r="E745" s="18" t="s">
        <v>2062</v>
      </c>
      <c r="F745" s="18">
        <v>1076</v>
      </c>
      <c r="G745" s="18">
        <v>426</v>
      </c>
      <c r="H745" s="18">
        <v>289</v>
      </c>
      <c r="I745" s="18">
        <v>361</v>
      </c>
    </row>
    <row r="746" spans="1:9" x14ac:dyDescent="0.3">
      <c r="A746" t="s">
        <v>1772</v>
      </c>
      <c r="B746" s="18" t="s">
        <v>667</v>
      </c>
      <c r="C746" s="18" t="s">
        <v>702</v>
      </c>
      <c r="D746" s="18" t="s">
        <v>704</v>
      </c>
      <c r="E746" s="18" t="s">
        <v>2062</v>
      </c>
      <c r="F746" s="18">
        <v>458</v>
      </c>
      <c r="G746" s="18">
        <v>260</v>
      </c>
      <c r="H746" s="18">
        <v>45</v>
      </c>
      <c r="I746" s="18">
        <v>153</v>
      </c>
    </row>
    <row r="747" spans="1:9" x14ac:dyDescent="0.3">
      <c r="A747" t="s">
        <v>1394</v>
      </c>
      <c r="B747" s="18" t="s">
        <v>667</v>
      </c>
      <c r="C747" s="18" t="s">
        <v>702</v>
      </c>
      <c r="D747" s="18" t="s">
        <v>702</v>
      </c>
      <c r="E747" s="18" t="s">
        <v>2062</v>
      </c>
      <c r="F747" s="18">
        <v>5173</v>
      </c>
      <c r="G747" s="18">
        <v>2951</v>
      </c>
      <c r="H747" s="18">
        <v>566</v>
      </c>
      <c r="I747" s="18">
        <v>1656</v>
      </c>
    </row>
    <row r="748" spans="1:9" x14ac:dyDescent="0.3">
      <c r="A748" t="s">
        <v>1774</v>
      </c>
      <c r="B748" s="18" t="s">
        <v>667</v>
      </c>
      <c r="C748" s="18" t="s">
        <v>712</v>
      </c>
      <c r="D748" s="18" t="s">
        <v>713</v>
      </c>
      <c r="E748" s="18" t="s">
        <v>2062</v>
      </c>
      <c r="F748" s="18">
        <v>471</v>
      </c>
      <c r="G748" s="18">
        <v>35</v>
      </c>
      <c r="H748" s="18">
        <v>119</v>
      </c>
      <c r="I748" s="18">
        <v>317</v>
      </c>
    </row>
    <row r="749" spans="1:9" x14ac:dyDescent="0.3">
      <c r="A749" t="s">
        <v>1775</v>
      </c>
      <c r="B749" s="18" t="s">
        <v>667</v>
      </c>
      <c r="C749" s="18" t="s">
        <v>712</v>
      </c>
      <c r="D749" s="18" t="s">
        <v>714</v>
      </c>
      <c r="E749" s="18" t="s">
        <v>2062</v>
      </c>
      <c r="F749" s="18">
        <v>1949</v>
      </c>
      <c r="G749" s="18">
        <v>292</v>
      </c>
      <c r="H749" s="18">
        <v>265</v>
      </c>
      <c r="I749" s="18">
        <v>1392</v>
      </c>
    </row>
    <row r="750" spans="1:9" x14ac:dyDescent="0.3">
      <c r="A750" t="s">
        <v>1777</v>
      </c>
      <c r="B750" s="18" t="s">
        <v>667</v>
      </c>
      <c r="C750" s="18" t="s">
        <v>712</v>
      </c>
      <c r="D750" s="18" t="s">
        <v>716</v>
      </c>
      <c r="E750" s="18" t="s">
        <v>2062</v>
      </c>
      <c r="F750" s="18">
        <v>1006</v>
      </c>
      <c r="G750" s="18">
        <v>176</v>
      </c>
      <c r="H750" s="18">
        <v>156</v>
      </c>
      <c r="I750" s="18">
        <v>674</v>
      </c>
    </row>
    <row r="751" spans="1:9" x14ac:dyDescent="0.3">
      <c r="A751" t="s">
        <v>1465</v>
      </c>
      <c r="B751" s="18" t="s">
        <v>667</v>
      </c>
      <c r="C751" s="18" t="s">
        <v>712</v>
      </c>
      <c r="D751" s="18" t="s">
        <v>712</v>
      </c>
      <c r="E751" s="18" t="s">
        <v>2062</v>
      </c>
      <c r="F751" s="18">
        <v>2047</v>
      </c>
      <c r="G751" s="18">
        <v>555</v>
      </c>
      <c r="H751" s="18">
        <v>228</v>
      </c>
      <c r="I751" s="18">
        <v>1264</v>
      </c>
    </row>
    <row r="752" spans="1:9" x14ac:dyDescent="0.3">
      <c r="A752" t="s">
        <v>1776</v>
      </c>
      <c r="B752" s="18" t="s">
        <v>667</v>
      </c>
      <c r="C752" s="18" t="s">
        <v>712</v>
      </c>
      <c r="D752" s="18" t="s">
        <v>715</v>
      </c>
      <c r="E752" s="18" t="s">
        <v>2062</v>
      </c>
      <c r="F752" s="18">
        <v>1296</v>
      </c>
      <c r="G752" s="18">
        <v>186</v>
      </c>
      <c r="H752" s="18">
        <v>241</v>
      </c>
      <c r="I752" s="18">
        <v>869</v>
      </c>
    </row>
    <row r="753" spans="1:9" x14ac:dyDescent="0.3">
      <c r="A753" t="s">
        <v>1781</v>
      </c>
      <c r="B753" s="18" t="s">
        <v>667</v>
      </c>
      <c r="C753" s="18" t="s">
        <v>721</v>
      </c>
      <c r="D753" s="18" t="s">
        <v>722</v>
      </c>
      <c r="E753" s="18" t="s">
        <v>2062</v>
      </c>
      <c r="F753" s="18">
        <v>1066</v>
      </c>
      <c r="G753" s="18">
        <v>349</v>
      </c>
      <c r="H753" s="18">
        <v>301</v>
      </c>
      <c r="I753" s="18">
        <v>416</v>
      </c>
    </row>
    <row r="754" spans="1:9" x14ac:dyDescent="0.3">
      <c r="A754" t="s">
        <v>1780</v>
      </c>
      <c r="B754" s="18" t="s">
        <v>667</v>
      </c>
      <c r="C754" s="18" t="s">
        <v>721</v>
      </c>
      <c r="D754" s="18" t="s">
        <v>114</v>
      </c>
      <c r="E754" s="18" t="s">
        <v>2062</v>
      </c>
      <c r="F754" s="18">
        <v>1538</v>
      </c>
      <c r="G754" s="18">
        <v>493</v>
      </c>
      <c r="H754" s="18">
        <v>114</v>
      </c>
      <c r="I754" s="18">
        <v>931</v>
      </c>
    </row>
    <row r="755" spans="1:9" x14ac:dyDescent="0.3">
      <c r="A755" t="s">
        <v>1367</v>
      </c>
      <c r="B755" s="18" t="s">
        <v>723</v>
      </c>
      <c r="C755" s="18" t="s">
        <v>732</v>
      </c>
      <c r="D755" s="18" t="s">
        <v>732</v>
      </c>
      <c r="E755" s="18" t="s">
        <v>2062</v>
      </c>
      <c r="F755" s="18">
        <v>5148</v>
      </c>
      <c r="G755" s="18">
        <v>2270</v>
      </c>
      <c r="H755" s="18">
        <v>856</v>
      </c>
      <c r="I755" s="18">
        <v>2022</v>
      </c>
    </row>
    <row r="756" spans="1:9" x14ac:dyDescent="0.3">
      <c r="A756" t="s">
        <v>1787</v>
      </c>
      <c r="B756" s="18" t="s">
        <v>723</v>
      </c>
      <c r="C756" s="18" t="s">
        <v>732</v>
      </c>
      <c r="D756" s="18" t="s">
        <v>733</v>
      </c>
      <c r="E756" s="18" t="s">
        <v>2062</v>
      </c>
      <c r="F756" s="18">
        <v>2288</v>
      </c>
      <c r="G756" s="18">
        <v>879</v>
      </c>
      <c r="H756" s="18">
        <v>460</v>
      </c>
      <c r="I756" s="18">
        <v>949</v>
      </c>
    </row>
    <row r="757" spans="1:9" x14ac:dyDescent="0.3">
      <c r="A757" t="s">
        <v>1788</v>
      </c>
      <c r="B757" s="18" t="s">
        <v>723</v>
      </c>
      <c r="C757" s="18" t="s">
        <v>732</v>
      </c>
      <c r="D757" s="18" t="s">
        <v>735</v>
      </c>
      <c r="E757" s="18" t="s">
        <v>2062</v>
      </c>
      <c r="F757" s="18">
        <v>881</v>
      </c>
      <c r="G757" s="18">
        <v>488</v>
      </c>
      <c r="H757" s="18">
        <v>122</v>
      </c>
      <c r="I757" s="18">
        <v>271</v>
      </c>
    </row>
    <row r="758" spans="1:9" x14ac:dyDescent="0.3">
      <c r="A758" t="s">
        <v>2027</v>
      </c>
      <c r="B758" s="18" t="s">
        <v>723</v>
      </c>
      <c r="C758" s="18" t="s">
        <v>732</v>
      </c>
      <c r="D758" s="18" t="s">
        <v>734</v>
      </c>
      <c r="E758" s="18" t="s">
        <v>2062</v>
      </c>
      <c r="F758" s="18">
        <v>1815</v>
      </c>
      <c r="G758" s="18">
        <v>503</v>
      </c>
      <c r="H758" s="18">
        <v>387</v>
      </c>
      <c r="I758" s="18">
        <v>925</v>
      </c>
    </row>
    <row r="759" spans="1:9" x14ac:dyDescent="0.3">
      <c r="A759" t="s">
        <v>1281</v>
      </c>
      <c r="B759" s="18" t="s">
        <v>723</v>
      </c>
      <c r="C759" s="18" t="s">
        <v>748</v>
      </c>
      <c r="D759" s="18" t="s">
        <v>748</v>
      </c>
      <c r="E759" s="18" t="s">
        <v>2062</v>
      </c>
      <c r="F759" s="18">
        <v>1607</v>
      </c>
      <c r="G759" s="18">
        <v>944</v>
      </c>
      <c r="H759" s="18">
        <v>172</v>
      </c>
      <c r="I759" s="18">
        <v>491</v>
      </c>
    </row>
    <row r="760" spans="1:9" x14ac:dyDescent="0.3">
      <c r="A760" t="s">
        <v>1084</v>
      </c>
      <c r="B760" s="18" t="s">
        <v>723</v>
      </c>
      <c r="C760" s="18" t="s">
        <v>736</v>
      </c>
      <c r="D760" s="18" t="s">
        <v>736</v>
      </c>
      <c r="E760" s="18" t="s">
        <v>2062</v>
      </c>
      <c r="F760" s="18">
        <v>2022</v>
      </c>
      <c r="G760" s="18">
        <v>1366</v>
      </c>
      <c r="H760" s="18">
        <v>241</v>
      </c>
      <c r="I760" s="18">
        <v>415</v>
      </c>
    </row>
    <row r="761" spans="1:9" x14ac:dyDescent="0.3">
      <c r="A761" t="s">
        <v>1398</v>
      </c>
      <c r="B761" s="18" t="s">
        <v>723</v>
      </c>
      <c r="C761" s="18" t="s">
        <v>736</v>
      </c>
      <c r="D761" s="18" t="s">
        <v>737</v>
      </c>
      <c r="E761" s="18" t="s">
        <v>2062</v>
      </c>
      <c r="F761" s="18">
        <v>205</v>
      </c>
      <c r="G761" s="18">
        <v>146</v>
      </c>
      <c r="H761" s="18">
        <v>21</v>
      </c>
      <c r="I761" s="18">
        <v>38</v>
      </c>
    </row>
    <row r="762" spans="1:9" x14ac:dyDescent="0.3">
      <c r="A762" t="s">
        <v>1102</v>
      </c>
      <c r="B762" s="18" t="s">
        <v>723</v>
      </c>
      <c r="C762" s="18" t="s">
        <v>736</v>
      </c>
      <c r="D762" s="18" t="s">
        <v>738</v>
      </c>
      <c r="E762" s="18" t="s">
        <v>2062</v>
      </c>
      <c r="F762" s="18">
        <v>63</v>
      </c>
      <c r="G762" s="18">
        <v>37</v>
      </c>
      <c r="H762" s="18">
        <v>9</v>
      </c>
      <c r="I762" s="18">
        <v>17</v>
      </c>
    </row>
    <row r="763" spans="1:9" x14ac:dyDescent="0.3">
      <c r="A763" t="s">
        <v>1789</v>
      </c>
      <c r="B763" s="18" t="s">
        <v>723</v>
      </c>
      <c r="C763" s="18" t="s">
        <v>736</v>
      </c>
      <c r="D763" s="18" t="s">
        <v>739</v>
      </c>
      <c r="E763" s="18" t="s">
        <v>2062</v>
      </c>
      <c r="F763" s="18">
        <v>271</v>
      </c>
      <c r="G763" s="18">
        <v>182</v>
      </c>
      <c r="H763" s="18">
        <v>21</v>
      </c>
      <c r="I763" s="18">
        <v>68</v>
      </c>
    </row>
    <row r="764" spans="1:9" x14ac:dyDescent="0.3">
      <c r="A764" t="s">
        <v>1435</v>
      </c>
      <c r="B764" s="18" t="s">
        <v>723</v>
      </c>
      <c r="C764" s="18" t="s">
        <v>736</v>
      </c>
      <c r="D764" s="18" t="s">
        <v>323</v>
      </c>
      <c r="E764" s="18" t="s">
        <v>2062</v>
      </c>
      <c r="F764" s="18">
        <v>607</v>
      </c>
      <c r="G764" s="18">
        <v>375</v>
      </c>
      <c r="H764" s="18">
        <v>79</v>
      </c>
      <c r="I764" s="18">
        <v>153</v>
      </c>
    </row>
    <row r="765" spans="1:9" x14ac:dyDescent="0.3">
      <c r="A765" t="s">
        <v>1790</v>
      </c>
      <c r="B765" s="18" t="s">
        <v>723</v>
      </c>
      <c r="C765" s="18" t="s">
        <v>736</v>
      </c>
      <c r="D765" s="18" t="s">
        <v>740</v>
      </c>
      <c r="E765" s="18" t="s">
        <v>2062</v>
      </c>
      <c r="F765" s="18">
        <v>237</v>
      </c>
      <c r="G765" s="18">
        <v>163</v>
      </c>
      <c r="H765" s="18">
        <v>18</v>
      </c>
      <c r="I765" s="18">
        <v>56</v>
      </c>
    </row>
    <row r="766" spans="1:9" x14ac:dyDescent="0.3">
      <c r="A766" t="s">
        <v>1159</v>
      </c>
      <c r="B766" s="18" t="s">
        <v>723</v>
      </c>
      <c r="C766" s="18" t="s">
        <v>741</v>
      </c>
      <c r="D766" s="18" t="s">
        <v>742</v>
      </c>
      <c r="E766" s="18" t="s">
        <v>2062</v>
      </c>
      <c r="F766" s="18">
        <v>811</v>
      </c>
      <c r="G766" s="18">
        <v>560</v>
      </c>
      <c r="H766" s="18">
        <v>33</v>
      </c>
      <c r="I766" s="18">
        <v>218</v>
      </c>
    </row>
    <row r="767" spans="1:9" x14ac:dyDescent="0.3">
      <c r="A767" t="s">
        <v>1791</v>
      </c>
      <c r="B767" s="18" t="s">
        <v>723</v>
      </c>
      <c r="C767" s="18" t="s">
        <v>741</v>
      </c>
      <c r="D767" s="18" t="s">
        <v>743</v>
      </c>
      <c r="E767" s="18" t="s">
        <v>2062</v>
      </c>
      <c r="F767" s="18">
        <v>183</v>
      </c>
      <c r="G767" s="18">
        <v>131</v>
      </c>
      <c r="H767" s="18">
        <v>17</v>
      </c>
      <c r="I767" s="18">
        <v>35</v>
      </c>
    </row>
    <row r="768" spans="1:9" x14ac:dyDescent="0.3">
      <c r="A768" t="s">
        <v>2028</v>
      </c>
      <c r="B768" s="18" t="s">
        <v>723</v>
      </c>
      <c r="C768" s="18" t="s">
        <v>741</v>
      </c>
      <c r="D768" s="18" t="s">
        <v>744</v>
      </c>
      <c r="E768" s="18" t="s">
        <v>2062</v>
      </c>
      <c r="F768" s="18">
        <v>201</v>
      </c>
      <c r="G768" s="18">
        <v>129</v>
      </c>
      <c r="H768" s="18">
        <v>19</v>
      </c>
      <c r="I768" s="18">
        <v>53</v>
      </c>
    </row>
    <row r="769" spans="1:9" x14ac:dyDescent="0.3">
      <c r="A769" t="s">
        <v>1792</v>
      </c>
      <c r="B769" s="18" t="s">
        <v>723</v>
      </c>
      <c r="C769" s="18" t="s">
        <v>741</v>
      </c>
      <c r="D769" s="18" t="s">
        <v>745</v>
      </c>
      <c r="E769" s="18" t="s">
        <v>2062</v>
      </c>
      <c r="F769" s="18">
        <v>239</v>
      </c>
      <c r="G769" s="18">
        <v>162</v>
      </c>
      <c r="H769" s="18">
        <v>15</v>
      </c>
      <c r="I769" s="18">
        <v>62</v>
      </c>
    </row>
    <row r="770" spans="1:9" x14ac:dyDescent="0.3">
      <c r="A770" t="s">
        <v>1105</v>
      </c>
      <c r="B770" s="18" t="s">
        <v>723</v>
      </c>
      <c r="C770" s="18" t="s">
        <v>741</v>
      </c>
      <c r="D770" s="18" t="s">
        <v>746</v>
      </c>
      <c r="E770" s="18" t="s">
        <v>2062</v>
      </c>
      <c r="F770" s="18">
        <v>887</v>
      </c>
      <c r="G770" s="18">
        <v>593</v>
      </c>
      <c r="H770" s="18">
        <v>111</v>
      </c>
      <c r="I770" s="18">
        <v>183</v>
      </c>
    </row>
    <row r="771" spans="1:9" x14ac:dyDescent="0.3">
      <c r="A771" t="s">
        <v>1793</v>
      </c>
      <c r="B771" s="18" t="s">
        <v>723</v>
      </c>
      <c r="C771" s="18" t="s">
        <v>741</v>
      </c>
      <c r="D771" s="18" t="s">
        <v>747</v>
      </c>
      <c r="E771" s="18" t="s">
        <v>2062</v>
      </c>
      <c r="F771" s="18">
        <v>51</v>
      </c>
      <c r="G771" s="18">
        <v>26</v>
      </c>
      <c r="H771" s="18">
        <v>9</v>
      </c>
      <c r="I771" s="18">
        <v>16</v>
      </c>
    </row>
    <row r="772" spans="1:9" x14ac:dyDescent="0.3">
      <c r="A772" t="s">
        <v>1782</v>
      </c>
      <c r="B772" s="18" t="s">
        <v>723</v>
      </c>
      <c r="C772" s="18" t="s">
        <v>724</v>
      </c>
      <c r="D772" s="18" t="s">
        <v>725</v>
      </c>
      <c r="E772" s="18" t="s">
        <v>2062</v>
      </c>
      <c r="F772" s="18">
        <v>2371</v>
      </c>
      <c r="G772" s="18">
        <v>887</v>
      </c>
      <c r="H772" s="18">
        <v>536</v>
      </c>
      <c r="I772" s="18">
        <v>948</v>
      </c>
    </row>
    <row r="773" spans="1:9" x14ac:dyDescent="0.3">
      <c r="A773" t="s">
        <v>1783</v>
      </c>
      <c r="B773" s="18" t="s">
        <v>723</v>
      </c>
      <c r="C773" s="18" t="s">
        <v>724</v>
      </c>
      <c r="D773" s="18" t="s">
        <v>726</v>
      </c>
      <c r="E773" s="18" t="s">
        <v>2062</v>
      </c>
      <c r="F773" s="18">
        <v>2716</v>
      </c>
      <c r="G773" s="18">
        <v>1244</v>
      </c>
      <c r="H773" s="18">
        <v>292</v>
      </c>
      <c r="I773" s="18">
        <v>1180</v>
      </c>
    </row>
    <row r="774" spans="1:9" x14ac:dyDescent="0.3">
      <c r="A774" t="s">
        <v>1784</v>
      </c>
      <c r="B774" s="18" t="s">
        <v>723</v>
      </c>
      <c r="C774" s="18" t="s">
        <v>724</v>
      </c>
      <c r="D774" s="18" t="s">
        <v>727</v>
      </c>
      <c r="E774" s="18" t="s">
        <v>2062</v>
      </c>
      <c r="F774" s="18">
        <v>698</v>
      </c>
      <c r="G774" s="18">
        <v>319</v>
      </c>
      <c r="H774" s="18">
        <v>135</v>
      </c>
      <c r="I774" s="18">
        <v>244</v>
      </c>
    </row>
    <row r="775" spans="1:9" x14ac:dyDescent="0.3">
      <c r="A775" t="s">
        <v>1242</v>
      </c>
      <c r="B775" s="18" t="s">
        <v>723</v>
      </c>
      <c r="C775" s="18" t="s">
        <v>724</v>
      </c>
      <c r="D775" s="18" t="s">
        <v>728</v>
      </c>
      <c r="E775" s="18" t="s">
        <v>2062</v>
      </c>
      <c r="F775" s="18">
        <v>1583</v>
      </c>
      <c r="G775" s="18">
        <v>494</v>
      </c>
      <c r="H775" s="18">
        <v>321</v>
      </c>
      <c r="I775" s="18">
        <v>768</v>
      </c>
    </row>
    <row r="776" spans="1:9" x14ac:dyDescent="0.3">
      <c r="A776" t="s">
        <v>1424</v>
      </c>
      <c r="B776" s="18" t="s">
        <v>723</v>
      </c>
      <c r="C776" s="18" t="s">
        <v>724</v>
      </c>
      <c r="D776" s="18" t="s">
        <v>729</v>
      </c>
      <c r="E776" s="18" t="s">
        <v>2062</v>
      </c>
      <c r="F776" s="18">
        <v>2397</v>
      </c>
      <c r="G776" s="18">
        <v>1073</v>
      </c>
      <c r="H776" s="18">
        <v>444</v>
      </c>
      <c r="I776" s="18">
        <v>880</v>
      </c>
    </row>
    <row r="777" spans="1:9" x14ac:dyDescent="0.3">
      <c r="A777" t="s">
        <v>1786</v>
      </c>
      <c r="B777" s="18" t="s">
        <v>723</v>
      </c>
      <c r="C777" s="18" t="s">
        <v>724</v>
      </c>
      <c r="D777" s="18" t="s">
        <v>731</v>
      </c>
      <c r="E777" s="18" t="s">
        <v>2062</v>
      </c>
      <c r="F777" s="18">
        <v>2373</v>
      </c>
      <c r="G777" s="18">
        <v>1100</v>
      </c>
      <c r="H777" s="18">
        <v>303</v>
      </c>
      <c r="I777" s="18">
        <v>970</v>
      </c>
    </row>
    <row r="778" spans="1:9" x14ac:dyDescent="0.3">
      <c r="A778" t="s">
        <v>1785</v>
      </c>
      <c r="B778" s="18" t="s">
        <v>723</v>
      </c>
      <c r="C778" s="18" t="s">
        <v>724</v>
      </c>
      <c r="D778" s="18" t="s">
        <v>730</v>
      </c>
      <c r="E778" s="18" t="s">
        <v>2062</v>
      </c>
      <c r="F778" s="18">
        <v>1129</v>
      </c>
      <c r="G778" s="18">
        <v>416</v>
      </c>
      <c r="H778" s="18">
        <v>343</v>
      </c>
      <c r="I778" s="18">
        <v>370</v>
      </c>
    </row>
    <row r="779" spans="1:9" x14ac:dyDescent="0.3">
      <c r="A779" t="s">
        <v>1265</v>
      </c>
      <c r="B779" s="18" t="s">
        <v>723</v>
      </c>
      <c r="C779" s="18" t="s">
        <v>724</v>
      </c>
      <c r="D779" s="18" t="s">
        <v>724</v>
      </c>
      <c r="E779" s="18" t="s">
        <v>2062</v>
      </c>
      <c r="F779" s="18">
        <v>13384</v>
      </c>
      <c r="G779" s="18">
        <v>8206</v>
      </c>
      <c r="H779" s="18">
        <v>1695</v>
      </c>
      <c r="I779" s="18">
        <v>3483</v>
      </c>
    </row>
    <row r="780" spans="1:9" x14ac:dyDescent="0.3">
      <c r="A780" t="s">
        <v>1891</v>
      </c>
      <c r="B780" s="18" t="s">
        <v>952</v>
      </c>
      <c r="C780" s="18" t="s">
        <v>964</v>
      </c>
      <c r="D780" s="18" t="s">
        <v>966</v>
      </c>
      <c r="E780" s="18" t="s">
        <v>2062</v>
      </c>
      <c r="F780" s="18">
        <v>330</v>
      </c>
      <c r="G780" s="18">
        <v>78</v>
      </c>
      <c r="H780" s="18">
        <v>25</v>
      </c>
      <c r="I780" s="18">
        <v>227</v>
      </c>
    </row>
    <row r="781" spans="1:9" x14ac:dyDescent="0.3">
      <c r="A781" t="s">
        <v>1892</v>
      </c>
      <c r="B781" s="18" t="s">
        <v>952</v>
      </c>
      <c r="C781" s="18" t="s">
        <v>964</v>
      </c>
      <c r="D781" s="18" t="s">
        <v>967</v>
      </c>
      <c r="E781" s="18" t="s">
        <v>2062</v>
      </c>
      <c r="F781" s="18">
        <v>224</v>
      </c>
      <c r="G781" s="18">
        <v>77</v>
      </c>
      <c r="H781" s="18">
        <v>27</v>
      </c>
      <c r="I781" s="18">
        <v>120</v>
      </c>
    </row>
    <row r="782" spans="1:9" x14ac:dyDescent="0.3">
      <c r="A782" t="s">
        <v>1409</v>
      </c>
      <c r="B782" s="18" t="s">
        <v>952</v>
      </c>
      <c r="C782" s="18" t="s">
        <v>964</v>
      </c>
      <c r="D782" s="18" t="s">
        <v>965</v>
      </c>
      <c r="E782" s="18" t="s">
        <v>2062</v>
      </c>
      <c r="F782" s="18">
        <v>1170</v>
      </c>
      <c r="G782" s="18">
        <v>551</v>
      </c>
      <c r="H782" s="18">
        <v>190</v>
      </c>
      <c r="I782" s="18">
        <v>429</v>
      </c>
    </row>
    <row r="783" spans="1:9" x14ac:dyDescent="0.3">
      <c r="A783" t="s">
        <v>1893</v>
      </c>
      <c r="B783" s="18" t="s">
        <v>952</v>
      </c>
      <c r="C783" s="18" t="s">
        <v>964</v>
      </c>
      <c r="D783" s="18" t="s">
        <v>968</v>
      </c>
      <c r="E783" s="18" t="s">
        <v>2062</v>
      </c>
      <c r="F783" s="18">
        <v>295</v>
      </c>
      <c r="G783" s="18">
        <v>64</v>
      </c>
      <c r="H783" s="18">
        <v>40</v>
      </c>
      <c r="I783" s="18">
        <v>191</v>
      </c>
    </row>
    <row r="784" spans="1:9" x14ac:dyDescent="0.3">
      <c r="A784" t="s">
        <v>1117</v>
      </c>
      <c r="B784" s="18" t="s">
        <v>952</v>
      </c>
      <c r="C784" s="18" t="s">
        <v>964</v>
      </c>
      <c r="D784" s="18" t="s">
        <v>969</v>
      </c>
      <c r="E784" s="18" t="s">
        <v>2062</v>
      </c>
      <c r="F784" s="18">
        <v>141</v>
      </c>
      <c r="G784" s="18">
        <v>37</v>
      </c>
      <c r="H784" s="18">
        <v>53</v>
      </c>
      <c r="I784" s="18">
        <v>51</v>
      </c>
    </row>
    <row r="785" spans="1:9" x14ac:dyDescent="0.3">
      <c r="A785" t="s">
        <v>1883</v>
      </c>
      <c r="B785" s="18" t="s">
        <v>952</v>
      </c>
      <c r="C785" s="18" t="s">
        <v>953</v>
      </c>
      <c r="D785" s="18" t="s">
        <v>957</v>
      </c>
      <c r="E785" s="18" t="s">
        <v>2062</v>
      </c>
      <c r="F785" s="18">
        <v>469</v>
      </c>
      <c r="G785" s="18">
        <v>156</v>
      </c>
      <c r="H785" s="18">
        <v>110</v>
      </c>
      <c r="I785" s="18">
        <v>203</v>
      </c>
    </row>
    <row r="786" spans="1:9" x14ac:dyDescent="0.3">
      <c r="A786" t="s">
        <v>1881</v>
      </c>
      <c r="B786" s="18" t="s">
        <v>952</v>
      </c>
      <c r="C786" s="18" t="s">
        <v>953</v>
      </c>
      <c r="D786" s="18" t="s">
        <v>955</v>
      </c>
      <c r="E786" s="18" t="s">
        <v>2062</v>
      </c>
      <c r="F786" s="18">
        <v>2460</v>
      </c>
      <c r="G786" s="18">
        <v>1238</v>
      </c>
      <c r="H786" s="18">
        <v>573</v>
      </c>
      <c r="I786" s="18">
        <v>649</v>
      </c>
    </row>
    <row r="787" spans="1:9" x14ac:dyDescent="0.3">
      <c r="A787" t="s">
        <v>1440</v>
      </c>
      <c r="B787" s="18" t="s">
        <v>952</v>
      </c>
      <c r="C787" s="18" t="s">
        <v>953</v>
      </c>
      <c r="D787" s="18" t="s">
        <v>2070</v>
      </c>
      <c r="E787" s="18" t="s">
        <v>2062</v>
      </c>
      <c r="F787" s="18">
        <v>19928</v>
      </c>
      <c r="G787" s="18">
        <v>12743</v>
      </c>
      <c r="H787" s="18">
        <v>2826</v>
      </c>
      <c r="I787" s="18">
        <v>4359</v>
      </c>
    </row>
    <row r="788" spans="1:9" x14ac:dyDescent="0.3">
      <c r="A788" t="s">
        <v>1884</v>
      </c>
      <c r="B788" s="18" t="s">
        <v>952</v>
      </c>
      <c r="C788" s="18" t="s">
        <v>953</v>
      </c>
      <c r="D788" s="18" t="s">
        <v>958</v>
      </c>
      <c r="E788" s="18" t="s">
        <v>2062</v>
      </c>
      <c r="F788" s="18">
        <v>1093</v>
      </c>
      <c r="G788" s="18">
        <v>601</v>
      </c>
      <c r="H788" s="18">
        <v>211</v>
      </c>
      <c r="I788" s="18">
        <v>281</v>
      </c>
    </row>
    <row r="789" spans="1:9" x14ac:dyDescent="0.3">
      <c r="A789" t="s">
        <v>1885</v>
      </c>
      <c r="B789" s="18" t="s">
        <v>952</v>
      </c>
      <c r="C789" s="18" t="s">
        <v>953</v>
      </c>
      <c r="D789" s="18" t="s">
        <v>959</v>
      </c>
      <c r="E789" s="18" t="s">
        <v>2062</v>
      </c>
      <c r="F789" s="18">
        <v>351</v>
      </c>
      <c r="G789" s="18">
        <v>113</v>
      </c>
      <c r="H789" s="18">
        <v>54</v>
      </c>
      <c r="I789" s="18">
        <v>184</v>
      </c>
    </row>
    <row r="790" spans="1:9" x14ac:dyDescent="0.3">
      <c r="A790" t="s">
        <v>1886</v>
      </c>
      <c r="B790" s="18" t="s">
        <v>952</v>
      </c>
      <c r="C790" s="18" t="s">
        <v>953</v>
      </c>
      <c r="D790" s="18" t="s">
        <v>160</v>
      </c>
      <c r="E790" s="18" t="s">
        <v>2062</v>
      </c>
      <c r="F790" s="18">
        <v>530</v>
      </c>
      <c r="G790" s="18">
        <v>159</v>
      </c>
      <c r="H790" s="18">
        <v>156</v>
      </c>
      <c r="I790" s="18">
        <v>215</v>
      </c>
    </row>
    <row r="791" spans="1:9" x14ac:dyDescent="0.3">
      <c r="A791" t="s">
        <v>1887</v>
      </c>
      <c r="B791" s="18" t="s">
        <v>952</v>
      </c>
      <c r="C791" s="18" t="s">
        <v>953</v>
      </c>
      <c r="D791" s="18" t="s">
        <v>960</v>
      </c>
      <c r="E791" s="18" t="s">
        <v>2062</v>
      </c>
      <c r="F791" s="18">
        <v>1341</v>
      </c>
      <c r="G791" s="18">
        <v>714</v>
      </c>
      <c r="H791" s="18">
        <v>110</v>
      </c>
      <c r="I791" s="18">
        <v>517</v>
      </c>
    </row>
    <row r="792" spans="1:9" x14ac:dyDescent="0.3">
      <c r="A792" t="s">
        <v>2049</v>
      </c>
      <c r="B792" s="18" t="s">
        <v>952</v>
      </c>
      <c r="C792" s="18" t="s">
        <v>953</v>
      </c>
      <c r="D792" s="18" t="s">
        <v>961</v>
      </c>
      <c r="E792" s="18" t="s">
        <v>2062</v>
      </c>
      <c r="F792" s="18">
        <v>1683</v>
      </c>
      <c r="G792" s="18">
        <v>483</v>
      </c>
      <c r="H792" s="18">
        <v>449</v>
      </c>
      <c r="I792" s="18">
        <v>751</v>
      </c>
    </row>
    <row r="793" spans="1:9" x14ac:dyDescent="0.3">
      <c r="A793" t="s">
        <v>1888</v>
      </c>
      <c r="B793" s="18" t="s">
        <v>952</v>
      </c>
      <c r="C793" s="18" t="s">
        <v>953</v>
      </c>
      <c r="D793" s="18" t="s">
        <v>883</v>
      </c>
      <c r="E793" s="18" t="s">
        <v>2062</v>
      </c>
      <c r="F793" s="18">
        <v>1179</v>
      </c>
      <c r="G793" s="18">
        <v>684</v>
      </c>
      <c r="H793" s="18">
        <v>224</v>
      </c>
      <c r="I793" s="18">
        <v>271</v>
      </c>
    </row>
    <row r="794" spans="1:9" x14ac:dyDescent="0.3">
      <c r="A794" t="s">
        <v>1889</v>
      </c>
      <c r="B794" s="18" t="s">
        <v>952</v>
      </c>
      <c r="C794" s="18" t="s">
        <v>953</v>
      </c>
      <c r="D794" s="18" t="s">
        <v>962</v>
      </c>
      <c r="E794" s="18" t="s">
        <v>2062</v>
      </c>
      <c r="F794" s="18">
        <v>1011</v>
      </c>
      <c r="G794" s="18">
        <v>502</v>
      </c>
      <c r="H794" s="18">
        <v>185</v>
      </c>
      <c r="I794" s="18">
        <v>324</v>
      </c>
    </row>
    <row r="795" spans="1:9" x14ac:dyDescent="0.3">
      <c r="A795" t="s">
        <v>1890</v>
      </c>
      <c r="B795" s="18" t="s">
        <v>952</v>
      </c>
      <c r="C795" s="18" t="s">
        <v>953</v>
      </c>
      <c r="D795" s="18" t="s">
        <v>963</v>
      </c>
      <c r="E795" s="18" t="s">
        <v>2062</v>
      </c>
      <c r="F795" s="18">
        <v>780</v>
      </c>
      <c r="G795" s="18">
        <v>275</v>
      </c>
      <c r="H795" s="18">
        <v>202</v>
      </c>
      <c r="I795" s="18">
        <v>303</v>
      </c>
    </row>
    <row r="796" spans="1:9" x14ac:dyDescent="0.3">
      <c r="A796" t="s">
        <v>1882</v>
      </c>
      <c r="B796" s="18" t="s">
        <v>952</v>
      </c>
      <c r="C796" s="18" t="s">
        <v>953</v>
      </c>
      <c r="D796" s="18" t="s">
        <v>956</v>
      </c>
      <c r="E796" s="18" t="s">
        <v>2062</v>
      </c>
      <c r="F796" s="18">
        <v>1072</v>
      </c>
      <c r="G796" s="18">
        <v>464</v>
      </c>
      <c r="H796" s="18">
        <v>308</v>
      </c>
      <c r="I796" s="18">
        <v>300</v>
      </c>
    </row>
    <row r="797" spans="1:9" x14ac:dyDescent="0.3">
      <c r="A797" t="s">
        <v>2050</v>
      </c>
      <c r="B797" s="18" t="s">
        <v>952</v>
      </c>
      <c r="C797" s="18" t="s">
        <v>970</v>
      </c>
      <c r="D797" s="18" t="s">
        <v>971</v>
      </c>
      <c r="E797" s="18" t="s">
        <v>2062</v>
      </c>
      <c r="F797" s="18">
        <v>1178</v>
      </c>
      <c r="G797" s="18">
        <v>776</v>
      </c>
      <c r="H797" s="18">
        <v>73</v>
      </c>
      <c r="I797" s="18">
        <v>329</v>
      </c>
    </row>
    <row r="798" spans="1:9" x14ac:dyDescent="0.3">
      <c r="A798" t="s">
        <v>1127</v>
      </c>
      <c r="B798" s="18" t="s">
        <v>952</v>
      </c>
      <c r="C798" s="18" t="s">
        <v>970</v>
      </c>
      <c r="D798" s="18" t="s">
        <v>970</v>
      </c>
      <c r="E798" s="18" t="s">
        <v>2062</v>
      </c>
      <c r="F798" s="18">
        <v>8993</v>
      </c>
      <c r="G798" s="18">
        <v>6398</v>
      </c>
      <c r="H798" s="18">
        <v>868</v>
      </c>
      <c r="I798" s="18">
        <v>1727</v>
      </c>
    </row>
    <row r="799" spans="1:9" x14ac:dyDescent="0.3">
      <c r="A799" t="s">
        <v>2051</v>
      </c>
      <c r="B799" s="18" t="s">
        <v>952</v>
      </c>
      <c r="C799" s="18" t="s">
        <v>970</v>
      </c>
      <c r="D799" s="18" t="s">
        <v>974</v>
      </c>
      <c r="E799" s="18" t="s">
        <v>2062</v>
      </c>
      <c r="F799" s="18">
        <v>856</v>
      </c>
      <c r="G799" s="18">
        <v>547</v>
      </c>
      <c r="H799" s="18">
        <v>88</v>
      </c>
      <c r="I799" s="18">
        <v>221</v>
      </c>
    </row>
    <row r="800" spans="1:9" x14ac:dyDescent="0.3">
      <c r="A800" t="s">
        <v>1894</v>
      </c>
      <c r="B800" s="18" t="s">
        <v>952</v>
      </c>
      <c r="C800" s="18" t="s">
        <v>970</v>
      </c>
      <c r="D800" s="18" t="s">
        <v>972</v>
      </c>
      <c r="E800" s="18" t="s">
        <v>2062</v>
      </c>
      <c r="F800" s="18">
        <v>469</v>
      </c>
      <c r="G800" s="18">
        <v>274</v>
      </c>
      <c r="H800" s="18">
        <v>17</v>
      </c>
      <c r="I800" s="18">
        <v>178</v>
      </c>
    </row>
    <row r="801" spans="1:9" x14ac:dyDescent="0.3">
      <c r="A801" t="s">
        <v>2052</v>
      </c>
      <c r="B801" s="18" t="s">
        <v>952</v>
      </c>
      <c r="C801" s="18" t="s">
        <v>970</v>
      </c>
      <c r="D801" s="18" t="s">
        <v>818</v>
      </c>
      <c r="E801" s="18" t="s">
        <v>2062</v>
      </c>
      <c r="F801" s="18">
        <v>749</v>
      </c>
      <c r="G801" s="18">
        <v>528</v>
      </c>
      <c r="H801" s="18">
        <v>24</v>
      </c>
      <c r="I801" s="18">
        <v>197</v>
      </c>
    </row>
    <row r="802" spans="1:9" x14ac:dyDescent="0.3">
      <c r="A802" t="s">
        <v>1895</v>
      </c>
      <c r="B802" s="18" t="s">
        <v>952</v>
      </c>
      <c r="C802" s="18" t="s">
        <v>970</v>
      </c>
      <c r="D802" s="18" t="s">
        <v>424</v>
      </c>
      <c r="E802" s="18" t="s">
        <v>2062</v>
      </c>
      <c r="F802" s="18">
        <v>1544</v>
      </c>
      <c r="G802" s="18">
        <v>1097</v>
      </c>
      <c r="H802" s="18">
        <v>77</v>
      </c>
      <c r="I802" s="18">
        <v>370</v>
      </c>
    </row>
    <row r="803" spans="1:9" x14ac:dyDescent="0.3">
      <c r="A803" t="s">
        <v>1896</v>
      </c>
      <c r="B803" s="18" t="s">
        <v>952</v>
      </c>
      <c r="C803" s="18" t="s">
        <v>970</v>
      </c>
      <c r="D803" s="18" t="s">
        <v>973</v>
      </c>
      <c r="E803" s="18" t="s">
        <v>2062</v>
      </c>
      <c r="F803" s="18">
        <v>1690</v>
      </c>
      <c r="G803" s="18">
        <v>966</v>
      </c>
      <c r="H803" s="18">
        <v>328</v>
      </c>
      <c r="I803" s="18">
        <v>396</v>
      </c>
    </row>
    <row r="804" spans="1:9" x14ac:dyDescent="0.3">
      <c r="A804" t="s">
        <v>1897</v>
      </c>
      <c r="B804" s="18" t="s">
        <v>952</v>
      </c>
      <c r="C804" s="18" t="s">
        <v>970</v>
      </c>
      <c r="D804" s="18" t="s">
        <v>975</v>
      </c>
      <c r="E804" s="18" t="s">
        <v>2062</v>
      </c>
      <c r="F804" s="18">
        <v>1367</v>
      </c>
      <c r="G804" s="18">
        <v>841</v>
      </c>
      <c r="H804" s="18">
        <v>113</v>
      </c>
      <c r="I804" s="18">
        <v>413</v>
      </c>
    </row>
    <row r="805" spans="1:9" x14ac:dyDescent="0.3">
      <c r="A805" t="s">
        <v>2053</v>
      </c>
      <c r="B805" s="18" t="s">
        <v>952</v>
      </c>
      <c r="C805" s="18" t="s">
        <v>970</v>
      </c>
      <c r="D805" s="18" t="s">
        <v>976</v>
      </c>
      <c r="E805" s="18" t="s">
        <v>2062</v>
      </c>
      <c r="F805" s="18">
        <v>1345</v>
      </c>
      <c r="G805" s="18">
        <v>969</v>
      </c>
      <c r="H805" s="18">
        <v>63</v>
      </c>
      <c r="I805" s="18">
        <v>313</v>
      </c>
    </row>
    <row r="806" spans="1:9" x14ac:dyDescent="0.3">
      <c r="A806" t="s">
        <v>1408</v>
      </c>
      <c r="B806" s="18" t="s">
        <v>952</v>
      </c>
      <c r="C806" s="18" t="s">
        <v>977</v>
      </c>
      <c r="D806" s="18" t="s">
        <v>978</v>
      </c>
      <c r="E806" s="18" t="s">
        <v>2062</v>
      </c>
      <c r="F806" s="18">
        <v>1900</v>
      </c>
      <c r="G806" s="18">
        <v>1182</v>
      </c>
      <c r="H806" s="18">
        <v>254</v>
      </c>
      <c r="I806" s="18">
        <v>464</v>
      </c>
    </row>
    <row r="807" spans="1:9" x14ac:dyDescent="0.3">
      <c r="A807" t="s">
        <v>1301</v>
      </c>
      <c r="B807" s="18" t="s">
        <v>952</v>
      </c>
      <c r="C807" s="18" t="s">
        <v>977</v>
      </c>
      <c r="D807" s="18" t="s">
        <v>977</v>
      </c>
      <c r="E807" s="18" t="s">
        <v>2062</v>
      </c>
      <c r="F807" s="18">
        <v>2523</v>
      </c>
      <c r="G807" s="18">
        <v>1429</v>
      </c>
      <c r="H807" s="18">
        <v>418</v>
      </c>
      <c r="I807" s="18">
        <v>676</v>
      </c>
    </row>
    <row r="808" spans="1:9" x14ac:dyDescent="0.3">
      <c r="A808" t="s">
        <v>1898</v>
      </c>
      <c r="B808" s="18" t="s">
        <v>952</v>
      </c>
      <c r="C808" s="18" t="s">
        <v>977</v>
      </c>
      <c r="D808" s="18" t="s">
        <v>979</v>
      </c>
      <c r="E808" s="18" t="s">
        <v>2062</v>
      </c>
      <c r="F808" s="18">
        <v>1154</v>
      </c>
      <c r="G808" s="18">
        <v>331</v>
      </c>
      <c r="H808" s="18">
        <v>109</v>
      </c>
      <c r="I808" s="18">
        <v>714</v>
      </c>
    </row>
    <row r="809" spans="1:9" x14ac:dyDescent="0.3">
      <c r="A809" t="s">
        <v>1177</v>
      </c>
      <c r="B809" s="18" t="s">
        <v>952</v>
      </c>
      <c r="C809" s="18" t="s">
        <v>977</v>
      </c>
      <c r="D809" s="18" t="s">
        <v>981</v>
      </c>
      <c r="E809" s="18" t="s">
        <v>2062</v>
      </c>
      <c r="F809" s="18">
        <v>1682</v>
      </c>
      <c r="G809" s="18">
        <v>371</v>
      </c>
      <c r="H809" s="18">
        <v>435</v>
      </c>
      <c r="I809" s="18">
        <v>876</v>
      </c>
    </row>
    <row r="810" spans="1:9" x14ac:dyDescent="0.3">
      <c r="A810" t="s">
        <v>1899</v>
      </c>
      <c r="B810" s="18" t="s">
        <v>952</v>
      </c>
      <c r="C810" s="18" t="s">
        <v>977</v>
      </c>
      <c r="D810" s="18" t="s">
        <v>980</v>
      </c>
      <c r="E810" s="18" t="s">
        <v>2062</v>
      </c>
      <c r="F810" s="18">
        <v>1086</v>
      </c>
      <c r="G810" s="18">
        <v>318</v>
      </c>
      <c r="H810" s="18">
        <v>174</v>
      </c>
      <c r="I810" s="18">
        <v>594</v>
      </c>
    </row>
    <row r="811" spans="1:9" x14ac:dyDescent="0.3">
      <c r="A811" t="s">
        <v>2054</v>
      </c>
      <c r="B811" s="18" t="s">
        <v>952</v>
      </c>
      <c r="C811" s="18" t="s">
        <v>977</v>
      </c>
      <c r="D811" s="18" t="s">
        <v>982</v>
      </c>
      <c r="E811" s="18" t="s">
        <v>2062</v>
      </c>
      <c r="F811" s="18">
        <v>428</v>
      </c>
      <c r="G811" s="18">
        <v>154</v>
      </c>
      <c r="H811" s="18">
        <v>142</v>
      </c>
      <c r="I811" s="18">
        <v>132</v>
      </c>
    </row>
    <row r="812" spans="1:9" x14ac:dyDescent="0.3">
      <c r="A812" t="s">
        <v>1213</v>
      </c>
      <c r="B812" s="18" t="s">
        <v>749</v>
      </c>
      <c r="C812" s="18" t="s">
        <v>763</v>
      </c>
      <c r="D812" s="18" t="s">
        <v>763</v>
      </c>
      <c r="E812" s="18" t="s">
        <v>2062</v>
      </c>
      <c r="F812" s="18">
        <v>1763</v>
      </c>
      <c r="G812" s="18">
        <v>603</v>
      </c>
      <c r="H812" s="18">
        <v>216</v>
      </c>
      <c r="I812" s="18">
        <v>944</v>
      </c>
    </row>
    <row r="813" spans="1:9" x14ac:dyDescent="0.3">
      <c r="A813" t="s">
        <v>1805</v>
      </c>
      <c r="B813" s="18" t="s">
        <v>749</v>
      </c>
      <c r="C813" s="18" t="s">
        <v>763</v>
      </c>
      <c r="D813" s="18" t="s">
        <v>764</v>
      </c>
      <c r="E813" s="18" t="s">
        <v>2062</v>
      </c>
      <c r="F813" s="18">
        <v>1084</v>
      </c>
      <c r="G813" s="18">
        <v>258</v>
      </c>
      <c r="H813" s="18">
        <v>254</v>
      </c>
      <c r="I813" s="18">
        <v>572</v>
      </c>
    </row>
    <row r="814" spans="1:9" x14ac:dyDescent="0.3">
      <c r="A814" t="s">
        <v>1804</v>
      </c>
      <c r="B814" s="18" t="s">
        <v>749</v>
      </c>
      <c r="C814" s="18" t="s">
        <v>759</v>
      </c>
      <c r="D814" s="18" t="s">
        <v>760</v>
      </c>
      <c r="E814" s="18" t="s">
        <v>2062</v>
      </c>
      <c r="F814" s="18">
        <v>1120</v>
      </c>
      <c r="G814" s="18">
        <v>572</v>
      </c>
      <c r="H814" s="18">
        <v>243</v>
      </c>
      <c r="I814" s="18">
        <v>305</v>
      </c>
    </row>
    <row r="815" spans="1:9" x14ac:dyDescent="0.3">
      <c r="A815" t="s">
        <v>1212</v>
      </c>
      <c r="B815" s="18" t="s">
        <v>749</v>
      </c>
      <c r="C815" s="18" t="s">
        <v>759</v>
      </c>
      <c r="D815" s="18" t="s">
        <v>759</v>
      </c>
      <c r="E815" s="18" t="s">
        <v>2062</v>
      </c>
      <c r="F815" s="18">
        <v>735</v>
      </c>
      <c r="G815" s="18">
        <v>456</v>
      </c>
      <c r="H815" s="18">
        <v>51</v>
      </c>
      <c r="I815" s="18">
        <v>228</v>
      </c>
    </row>
    <row r="816" spans="1:9" x14ac:dyDescent="0.3">
      <c r="A816" t="s">
        <v>1189</v>
      </c>
      <c r="B816" s="18" t="s">
        <v>749</v>
      </c>
      <c r="C816" s="18" t="s">
        <v>759</v>
      </c>
      <c r="D816" s="18" t="s">
        <v>761</v>
      </c>
      <c r="E816" s="18" t="s">
        <v>2062</v>
      </c>
      <c r="F816" s="18">
        <v>3074</v>
      </c>
      <c r="G816" s="18">
        <v>1899</v>
      </c>
      <c r="H816" s="18">
        <v>363</v>
      </c>
      <c r="I816" s="18">
        <v>812</v>
      </c>
    </row>
    <row r="817" spans="1:9" x14ac:dyDescent="0.3">
      <c r="A817" t="s">
        <v>1794</v>
      </c>
      <c r="B817" s="18" t="s">
        <v>749</v>
      </c>
      <c r="C817" s="18" t="s">
        <v>749</v>
      </c>
      <c r="D817" s="18" t="s">
        <v>751</v>
      </c>
      <c r="E817" s="18" t="s">
        <v>2062</v>
      </c>
      <c r="F817" s="18">
        <v>777</v>
      </c>
      <c r="G817" s="18">
        <v>210</v>
      </c>
      <c r="H817" s="18">
        <v>200</v>
      </c>
      <c r="I817" s="18">
        <v>367</v>
      </c>
    </row>
    <row r="818" spans="1:9" x14ac:dyDescent="0.3">
      <c r="A818" t="s">
        <v>1795</v>
      </c>
      <c r="B818" s="18" t="s">
        <v>749</v>
      </c>
      <c r="C818" s="18" t="s">
        <v>749</v>
      </c>
      <c r="D818" s="18" t="s">
        <v>660</v>
      </c>
      <c r="E818" s="18" t="s">
        <v>2062</v>
      </c>
      <c r="F818" s="18">
        <v>484</v>
      </c>
      <c r="G818" s="18">
        <v>355</v>
      </c>
      <c r="H818" s="18">
        <v>20</v>
      </c>
      <c r="I818" s="18">
        <v>109</v>
      </c>
    </row>
    <row r="819" spans="1:9" x14ac:dyDescent="0.3">
      <c r="A819" t="s">
        <v>1803</v>
      </c>
      <c r="B819" s="18" t="s">
        <v>749</v>
      </c>
      <c r="C819" s="18" t="s">
        <v>749</v>
      </c>
      <c r="D819" s="18" t="s">
        <v>419</v>
      </c>
      <c r="E819" s="18" t="s">
        <v>2062</v>
      </c>
      <c r="F819" s="18">
        <v>470</v>
      </c>
      <c r="G819" s="18">
        <v>315</v>
      </c>
      <c r="H819" s="18">
        <v>62</v>
      </c>
      <c r="I819" s="18">
        <v>93</v>
      </c>
    </row>
    <row r="820" spans="1:9" x14ac:dyDescent="0.3">
      <c r="A820" t="s">
        <v>1796</v>
      </c>
      <c r="B820" s="18" t="s">
        <v>749</v>
      </c>
      <c r="C820" s="18" t="s">
        <v>749</v>
      </c>
      <c r="D820" s="18" t="s">
        <v>752</v>
      </c>
      <c r="E820" s="18" t="s">
        <v>2062</v>
      </c>
      <c r="F820" s="18">
        <v>605</v>
      </c>
      <c r="G820" s="18">
        <v>377</v>
      </c>
      <c r="H820" s="18">
        <v>84</v>
      </c>
      <c r="I820" s="18">
        <v>144</v>
      </c>
    </row>
    <row r="821" spans="1:9" x14ac:dyDescent="0.3">
      <c r="A821" t="s">
        <v>2056</v>
      </c>
      <c r="B821" s="18" t="s">
        <v>749</v>
      </c>
      <c r="C821" s="18" t="s">
        <v>749</v>
      </c>
      <c r="D821" s="18" t="s">
        <v>397</v>
      </c>
      <c r="E821" s="18" t="s">
        <v>2062</v>
      </c>
      <c r="F821" s="18">
        <v>1197</v>
      </c>
      <c r="G821" s="18">
        <v>510</v>
      </c>
      <c r="H821" s="18">
        <v>65</v>
      </c>
      <c r="I821" s="18">
        <v>622</v>
      </c>
    </row>
    <row r="822" spans="1:9" x14ac:dyDescent="0.3">
      <c r="A822" t="s">
        <v>1797</v>
      </c>
      <c r="B822" s="18" t="s">
        <v>749</v>
      </c>
      <c r="C822" s="18" t="s">
        <v>749</v>
      </c>
      <c r="D822" s="18" t="s">
        <v>753</v>
      </c>
      <c r="E822" s="18" t="s">
        <v>2062</v>
      </c>
      <c r="F822" s="18">
        <v>116</v>
      </c>
      <c r="G822" s="18">
        <v>55</v>
      </c>
      <c r="H822" s="18">
        <v>26</v>
      </c>
      <c r="I822" s="18">
        <v>35</v>
      </c>
    </row>
    <row r="823" spans="1:9" x14ac:dyDescent="0.3">
      <c r="A823" t="s">
        <v>1267</v>
      </c>
      <c r="B823" s="18" t="s">
        <v>749</v>
      </c>
      <c r="C823" s="18" t="s">
        <v>749</v>
      </c>
      <c r="D823" s="18" t="s">
        <v>750</v>
      </c>
      <c r="E823" s="18" t="s">
        <v>2062</v>
      </c>
      <c r="F823" s="18">
        <v>13806</v>
      </c>
      <c r="G823" s="18">
        <v>9172</v>
      </c>
      <c r="H823" s="18">
        <v>1015</v>
      </c>
      <c r="I823" s="18">
        <v>3619</v>
      </c>
    </row>
    <row r="824" spans="1:9" x14ac:dyDescent="0.3">
      <c r="A824" t="s">
        <v>1798</v>
      </c>
      <c r="B824" s="18" t="s">
        <v>749</v>
      </c>
      <c r="C824" s="18" t="s">
        <v>749</v>
      </c>
      <c r="D824" s="18" t="s">
        <v>754</v>
      </c>
      <c r="E824" s="18" t="s">
        <v>2062</v>
      </c>
      <c r="F824" s="18">
        <v>108</v>
      </c>
      <c r="G824" s="18">
        <v>15</v>
      </c>
      <c r="H824" s="18"/>
      <c r="I824" s="18">
        <v>93</v>
      </c>
    </row>
    <row r="825" spans="1:9" x14ac:dyDescent="0.3">
      <c r="A825" t="s">
        <v>2029</v>
      </c>
      <c r="B825" s="18" t="s">
        <v>749</v>
      </c>
      <c r="C825" s="18" t="s">
        <v>749</v>
      </c>
      <c r="D825" s="18" t="s">
        <v>755</v>
      </c>
      <c r="E825" s="18" t="s">
        <v>2062</v>
      </c>
      <c r="F825" s="18">
        <v>261</v>
      </c>
      <c r="G825" s="18">
        <v>121</v>
      </c>
      <c r="H825" s="18">
        <v>38</v>
      </c>
      <c r="I825" s="18">
        <v>102</v>
      </c>
    </row>
    <row r="826" spans="1:9" x14ac:dyDescent="0.3">
      <c r="A826" t="s">
        <v>1799</v>
      </c>
      <c r="B826" s="18" t="s">
        <v>749</v>
      </c>
      <c r="C826" s="18" t="s">
        <v>749</v>
      </c>
      <c r="D826" s="18" t="s">
        <v>756</v>
      </c>
      <c r="E826" s="18" t="s">
        <v>2062</v>
      </c>
      <c r="F826" s="18">
        <v>1043</v>
      </c>
      <c r="G826" s="18">
        <v>169</v>
      </c>
      <c r="H826" s="18">
        <v>42</v>
      </c>
      <c r="I826" s="18">
        <v>832</v>
      </c>
    </row>
    <row r="827" spans="1:9" x14ac:dyDescent="0.3">
      <c r="A827" t="s">
        <v>1800</v>
      </c>
      <c r="B827" s="18" t="s">
        <v>749</v>
      </c>
      <c r="C827" s="18" t="s">
        <v>749</v>
      </c>
      <c r="D827" s="18" t="s">
        <v>47</v>
      </c>
      <c r="E827" s="18" t="s">
        <v>2062</v>
      </c>
      <c r="F827" s="18">
        <v>2071</v>
      </c>
      <c r="G827" s="18">
        <v>682</v>
      </c>
      <c r="H827" s="18">
        <v>288</v>
      </c>
      <c r="I827" s="18">
        <v>1101</v>
      </c>
    </row>
    <row r="828" spans="1:9" x14ac:dyDescent="0.3">
      <c r="A828" t="s">
        <v>1268</v>
      </c>
      <c r="B828" s="18" t="s">
        <v>749</v>
      </c>
      <c r="C828" s="18" t="s">
        <v>749</v>
      </c>
      <c r="D828" s="18" t="s">
        <v>32</v>
      </c>
      <c r="E828" s="18" t="s">
        <v>2062</v>
      </c>
      <c r="F828" s="18">
        <v>4630</v>
      </c>
      <c r="G828" s="18">
        <v>2920</v>
      </c>
      <c r="H828" s="18">
        <v>457</v>
      </c>
      <c r="I828" s="18">
        <v>1253</v>
      </c>
    </row>
    <row r="829" spans="1:9" x14ac:dyDescent="0.3">
      <c r="A829" t="s">
        <v>1801</v>
      </c>
      <c r="B829" s="18" t="s">
        <v>749</v>
      </c>
      <c r="C829" s="18" t="s">
        <v>749</v>
      </c>
      <c r="D829" s="18" t="s">
        <v>757</v>
      </c>
      <c r="E829" s="18" t="s">
        <v>2062</v>
      </c>
      <c r="F829" s="18">
        <v>437</v>
      </c>
      <c r="G829" s="18">
        <v>344</v>
      </c>
      <c r="H829" s="18">
        <v>8</v>
      </c>
      <c r="I829" s="18">
        <v>85</v>
      </c>
    </row>
    <row r="830" spans="1:9" x14ac:dyDescent="0.3">
      <c r="A830" t="s">
        <v>1802</v>
      </c>
      <c r="B830" s="18" t="s">
        <v>749</v>
      </c>
      <c r="C830" s="18" t="s">
        <v>749</v>
      </c>
      <c r="D830" s="18" t="s">
        <v>758</v>
      </c>
      <c r="E830" s="18" t="s">
        <v>2062</v>
      </c>
      <c r="F830" s="18">
        <v>850</v>
      </c>
      <c r="G830" s="18">
        <v>541</v>
      </c>
      <c r="H830" s="18">
        <v>94</v>
      </c>
      <c r="I830" s="18">
        <v>215</v>
      </c>
    </row>
    <row r="831" spans="1:9" x14ac:dyDescent="0.3">
      <c r="A831" t="s">
        <v>2030</v>
      </c>
      <c r="B831" s="18" t="s">
        <v>749</v>
      </c>
      <c r="C831" s="18" t="s">
        <v>762</v>
      </c>
      <c r="D831" s="18" t="s">
        <v>292</v>
      </c>
      <c r="E831" s="18" t="s">
        <v>2062</v>
      </c>
      <c r="F831" s="18">
        <v>296</v>
      </c>
      <c r="G831" s="18">
        <v>215</v>
      </c>
      <c r="H831" s="18">
        <v>8</v>
      </c>
      <c r="I831" s="18">
        <v>73</v>
      </c>
    </row>
    <row r="832" spans="1:9" x14ac:dyDescent="0.3">
      <c r="A832" t="s">
        <v>1128</v>
      </c>
      <c r="B832" s="18" t="s">
        <v>749</v>
      </c>
      <c r="C832" s="18" t="s">
        <v>762</v>
      </c>
      <c r="D832" s="18" t="s">
        <v>762</v>
      </c>
      <c r="E832" s="18" t="s">
        <v>2062</v>
      </c>
      <c r="F832" s="18">
        <v>1359</v>
      </c>
      <c r="G832" s="18">
        <v>806</v>
      </c>
      <c r="H832" s="18">
        <v>137</v>
      </c>
      <c r="I832" s="18">
        <v>416</v>
      </c>
    </row>
    <row r="833" spans="1:9" x14ac:dyDescent="0.3">
      <c r="A833" t="s">
        <v>1814</v>
      </c>
      <c r="B833" s="18" t="s">
        <v>645</v>
      </c>
      <c r="C833" s="18" t="s">
        <v>796</v>
      </c>
      <c r="D833" s="18" t="s">
        <v>797</v>
      </c>
      <c r="E833" s="18" t="s">
        <v>2062</v>
      </c>
      <c r="F833" s="18">
        <v>2854</v>
      </c>
      <c r="G833" s="18">
        <v>2059</v>
      </c>
      <c r="H833" s="18">
        <v>142</v>
      </c>
      <c r="I833" s="18">
        <v>653</v>
      </c>
    </row>
    <row r="834" spans="1:9" x14ac:dyDescent="0.3">
      <c r="A834" t="s">
        <v>1337</v>
      </c>
      <c r="B834" s="18" t="s">
        <v>645</v>
      </c>
      <c r="C834" s="18" t="s">
        <v>796</v>
      </c>
      <c r="D834" s="18" t="s">
        <v>798</v>
      </c>
      <c r="E834" s="18" t="s">
        <v>2062</v>
      </c>
      <c r="F834" s="18">
        <v>6083</v>
      </c>
      <c r="G834" s="18">
        <v>3949</v>
      </c>
      <c r="H834" s="18">
        <v>403</v>
      </c>
      <c r="I834" s="18">
        <v>1731</v>
      </c>
    </row>
    <row r="835" spans="1:9" x14ac:dyDescent="0.3">
      <c r="A835" t="s">
        <v>1363</v>
      </c>
      <c r="B835" s="18" t="s">
        <v>645</v>
      </c>
      <c r="C835" s="18" t="s">
        <v>796</v>
      </c>
      <c r="D835" s="18" t="s">
        <v>796</v>
      </c>
      <c r="E835" s="18" t="s">
        <v>2062</v>
      </c>
      <c r="F835" s="18">
        <v>17802</v>
      </c>
      <c r="G835" s="18">
        <v>12893</v>
      </c>
      <c r="H835" s="18">
        <v>810</v>
      </c>
      <c r="I835" s="18">
        <v>4099</v>
      </c>
    </row>
    <row r="836" spans="1:9" x14ac:dyDescent="0.3">
      <c r="A836" t="s">
        <v>1815</v>
      </c>
      <c r="B836" s="18" t="s">
        <v>645</v>
      </c>
      <c r="C836" s="18" t="s">
        <v>796</v>
      </c>
      <c r="D836" s="18" t="s">
        <v>577</v>
      </c>
      <c r="E836" s="18" t="s">
        <v>2062</v>
      </c>
      <c r="F836" s="18">
        <v>2302</v>
      </c>
      <c r="G836" s="18">
        <v>1493</v>
      </c>
      <c r="H836" s="18">
        <v>117</v>
      </c>
      <c r="I836" s="18">
        <v>692</v>
      </c>
    </row>
    <row r="837" spans="1:9" x14ac:dyDescent="0.3">
      <c r="A837" t="s">
        <v>1054</v>
      </c>
      <c r="B837" s="18" t="s">
        <v>645</v>
      </c>
      <c r="C837" s="18" t="s">
        <v>796</v>
      </c>
      <c r="D837" s="18" t="s">
        <v>799</v>
      </c>
      <c r="E837" s="18" t="s">
        <v>2062</v>
      </c>
      <c r="F837" s="18">
        <v>1091</v>
      </c>
      <c r="G837" s="18">
        <v>794</v>
      </c>
      <c r="H837" s="18">
        <v>79</v>
      </c>
      <c r="I837" s="18">
        <v>218</v>
      </c>
    </row>
    <row r="838" spans="1:9" x14ac:dyDescent="0.3">
      <c r="A838" t="s">
        <v>1437</v>
      </c>
      <c r="B838" s="18" t="s">
        <v>645</v>
      </c>
      <c r="C838" s="18" t="s">
        <v>796</v>
      </c>
      <c r="D838" s="18" t="s">
        <v>801</v>
      </c>
      <c r="E838" s="18" t="s">
        <v>2062</v>
      </c>
      <c r="F838" s="18">
        <v>5142</v>
      </c>
      <c r="G838" s="18">
        <v>3545</v>
      </c>
      <c r="H838" s="18">
        <v>297</v>
      </c>
      <c r="I838" s="18">
        <v>1300</v>
      </c>
    </row>
    <row r="839" spans="1:9" x14ac:dyDescent="0.3">
      <c r="A839" t="s">
        <v>1065</v>
      </c>
      <c r="B839" s="18" t="s">
        <v>645</v>
      </c>
      <c r="C839" s="18" t="s">
        <v>796</v>
      </c>
      <c r="D839" s="18" t="s">
        <v>800</v>
      </c>
      <c r="E839" s="18" t="s">
        <v>2062</v>
      </c>
      <c r="F839" s="18">
        <v>2179</v>
      </c>
      <c r="G839" s="18">
        <v>1549</v>
      </c>
      <c r="H839" s="18">
        <v>131</v>
      </c>
      <c r="I839" s="18">
        <v>499</v>
      </c>
    </row>
    <row r="840" spans="1:9" x14ac:dyDescent="0.3">
      <c r="A840" t="s">
        <v>1263</v>
      </c>
      <c r="B840" s="18" t="s">
        <v>645</v>
      </c>
      <c r="C840" s="18" t="s">
        <v>765</v>
      </c>
      <c r="D840" s="18" t="s">
        <v>767</v>
      </c>
      <c r="E840" s="18" t="s">
        <v>2062</v>
      </c>
      <c r="F840" s="18">
        <v>13083</v>
      </c>
      <c r="G840" s="18">
        <v>8728</v>
      </c>
      <c r="H840" s="18">
        <v>804</v>
      </c>
      <c r="I840" s="18">
        <v>3551</v>
      </c>
    </row>
    <row r="841" spans="1:9" x14ac:dyDescent="0.3">
      <c r="A841" t="s">
        <v>1405</v>
      </c>
      <c r="B841" s="18" t="s">
        <v>645</v>
      </c>
      <c r="C841" s="18" t="s">
        <v>765</v>
      </c>
      <c r="D841" s="18" t="s">
        <v>768</v>
      </c>
      <c r="E841" s="18" t="s">
        <v>2062</v>
      </c>
      <c r="F841" s="18">
        <v>16070</v>
      </c>
      <c r="G841" s="18">
        <v>10497</v>
      </c>
      <c r="H841" s="18">
        <v>1031</v>
      </c>
      <c r="I841" s="18">
        <v>4542</v>
      </c>
    </row>
    <row r="842" spans="1:9" x14ac:dyDescent="0.3">
      <c r="A842" t="s">
        <v>1806</v>
      </c>
      <c r="B842" s="18" t="s">
        <v>645</v>
      </c>
      <c r="C842" s="18" t="s">
        <v>765</v>
      </c>
      <c r="D842" s="18" t="s">
        <v>288</v>
      </c>
      <c r="E842" s="18" t="s">
        <v>2062</v>
      </c>
      <c r="F842" s="18">
        <v>560</v>
      </c>
      <c r="G842" s="18">
        <v>334</v>
      </c>
      <c r="H842" s="18">
        <v>34</v>
      </c>
      <c r="I842" s="18">
        <v>192</v>
      </c>
    </row>
    <row r="843" spans="1:9" x14ac:dyDescent="0.3">
      <c r="A843" t="s">
        <v>1311</v>
      </c>
      <c r="B843" s="18" t="s">
        <v>645</v>
      </c>
      <c r="C843" s="18" t="s">
        <v>765</v>
      </c>
      <c r="D843" s="18" t="s">
        <v>769</v>
      </c>
      <c r="E843" s="18" t="s">
        <v>2062</v>
      </c>
      <c r="F843" s="18">
        <v>1865</v>
      </c>
      <c r="G843" s="18">
        <v>1266</v>
      </c>
      <c r="H843" s="18">
        <v>140</v>
      </c>
      <c r="I843" s="18">
        <v>459</v>
      </c>
    </row>
    <row r="844" spans="1:9" x14ac:dyDescent="0.3">
      <c r="A844" t="s">
        <v>1274</v>
      </c>
      <c r="B844" s="18" t="s">
        <v>645</v>
      </c>
      <c r="C844" s="18" t="s">
        <v>765</v>
      </c>
      <c r="D844" s="18" t="s">
        <v>381</v>
      </c>
      <c r="E844" s="18" t="s">
        <v>2062</v>
      </c>
      <c r="F844" s="18">
        <v>91824</v>
      </c>
      <c r="G844" s="18">
        <v>63379</v>
      </c>
      <c r="H844" s="18">
        <v>7166</v>
      </c>
      <c r="I844" s="18">
        <v>21279</v>
      </c>
    </row>
    <row r="845" spans="1:9" x14ac:dyDescent="0.3">
      <c r="A845" t="s">
        <v>2031</v>
      </c>
      <c r="B845" s="18" t="s">
        <v>645</v>
      </c>
      <c r="C845" s="18" t="s">
        <v>765</v>
      </c>
      <c r="D845" s="18" t="s">
        <v>772</v>
      </c>
      <c r="E845" s="18" t="s">
        <v>2062</v>
      </c>
      <c r="F845" s="18">
        <v>248</v>
      </c>
      <c r="G845" s="18">
        <v>146</v>
      </c>
      <c r="H845" s="18">
        <v>7</v>
      </c>
      <c r="I845" s="18">
        <v>95</v>
      </c>
    </row>
    <row r="846" spans="1:9" x14ac:dyDescent="0.3">
      <c r="A846" t="s">
        <v>1114</v>
      </c>
      <c r="B846" s="18" t="s">
        <v>645</v>
      </c>
      <c r="C846" s="18" t="s">
        <v>765</v>
      </c>
      <c r="D846" s="18" t="s">
        <v>18</v>
      </c>
      <c r="E846" s="18" t="s">
        <v>2062</v>
      </c>
      <c r="F846" s="18">
        <v>4276</v>
      </c>
      <c r="G846" s="18">
        <v>2958</v>
      </c>
      <c r="H846" s="18">
        <v>310</v>
      </c>
      <c r="I846" s="18">
        <v>1008</v>
      </c>
    </row>
    <row r="847" spans="1:9" x14ac:dyDescent="0.3">
      <c r="A847" t="s">
        <v>1251</v>
      </c>
      <c r="B847" s="18" t="s">
        <v>645</v>
      </c>
      <c r="C847" s="18" t="s">
        <v>765</v>
      </c>
      <c r="D847" s="18" t="s">
        <v>770</v>
      </c>
      <c r="E847" s="18" t="s">
        <v>2062</v>
      </c>
      <c r="F847" s="18">
        <v>48355</v>
      </c>
      <c r="G847" s="18">
        <v>32880</v>
      </c>
      <c r="H847" s="18">
        <v>2714</v>
      </c>
      <c r="I847" s="18">
        <v>12761</v>
      </c>
    </row>
    <row r="848" spans="1:9" x14ac:dyDescent="0.3">
      <c r="A848" t="s">
        <v>1302</v>
      </c>
      <c r="B848" s="18" t="s">
        <v>645</v>
      </c>
      <c r="C848" s="18" t="s">
        <v>765</v>
      </c>
      <c r="D848" s="18" t="s">
        <v>771</v>
      </c>
      <c r="E848" s="18" t="s">
        <v>2062</v>
      </c>
      <c r="F848" s="18">
        <v>16254</v>
      </c>
      <c r="G848" s="18">
        <v>11434</v>
      </c>
      <c r="H848" s="18">
        <v>600</v>
      </c>
      <c r="I848" s="18">
        <v>4220</v>
      </c>
    </row>
    <row r="849" spans="1:9" x14ac:dyDescent="0.3">
      <c r="A849" t="s">
        <v>1103</v>
      </c>
      <c r="B849" s="18" t="s">
        <v>645</v>
      </c>
      <c r="C849" s="18" t="s">
        <v>765</v>
      </c>
      <c r="D849" s="18" t="s">
        <v>773</v>
      </c>
      <c r="E849" s="18" t="s">
        <v>2062</v>
      </c>
      <c r="F849" s="18">
        <v>6773</v>
      </c>
      <c r="G849" s="18">
        <v>4700</v>
      </c>
      <c r="H849" s="18">
        <v>484</v>
      </c>
      <c r="I849" s="18">
        <v>1589</v>
      </c>
    </row>
    <row r="850" spans="1:9" x14ac:dyDescent="0.3">
      <c r="A850" t="s">
        <v>1807</v>
      </c>
      <c r="B850" s="18" t="s">
        <v>645</v>
      </c>
      <c r="C850" s="18" t="s">
        <v>765</v>
      </c>
      <c r="D850" s="18" t="s">
        <v>774</v>
      </c>
      <c r="E850" s="18" t="s">
        <v>2062</v>
      </c>
      <c r="F850" s="18">
        <v>647</v>
      </c>
      <c r="G850" s="18">
        <v>404</v>
      </c>
      <c r="H850" s="18">
        <v>40</v>
      </c>
      <c r="I850" s="18">
        <v>203</v>
      </c>
    </row>
    <row r="851" spans="1:9" x14ac:dyDescent="0.3">
      <c r="A851" t="s">
        <v>1250</v>
      </c>
      <c r="B851" s="18" t="s">
        <v>645</v>
      </c>
      <c r="C851" s="18" t="s">
        <v>765</v>
      </c>
      <c r="D851" s="18" t="s">
        <v>775</v>
      </c>
      <c r="E851" s="18" t="s">
        <v>2062</v>
      </c>
      <c r="F851" s="18">
        <v>1588</v>
      </c>
      <c r="G851" s="18">
        <v>1088</v>
      </c>
      <c r="H851" s="18">
        <v>95</v>
      </c>
      <c r="I851" s="18">
        <v>405</v>
      </c>
    </row>
    <row r="852" spans="1:9" x14ac:dyDescent="0.3">
      <c r="A852" t="s">
        <v>1067</v>
      </c>
      <c r="B852" s="18" t="s">
        <v>645</v>
      </c>
      <c r="C852" s="18" t="s">
        <v>765</v>
      </c>
      <c r="D852" s="18" t="s">
        <v>776</v>
      </c>
      <c r="E852" s="18" t="s">
        <v>2062</v>
      </c>
      <c r="F852" s="18">
        <v>7715</v>
      </c>
      <c r="G852" s="18">
        <v>5413</v>
      </c>
      <c r="H852" s="18">
        <v>460</v>
      </c>
      <c r="I852" s="18">
        <v>1842</v>
      </c>
    </row>
    <row r="853" spans="1:9" x14ac:dyDescent="0.3">
      <c r="A853" t="s">
        <v>1333</v>
      </c>
      <c r="B853" s="18" t="s">
        <v>645</v>
      </c>
      <c r="C853" s="18" t="s">
        <v>765</v>
      </c>
      <c r="D853" s="18" t="s">
        <v>777</v>
      </c>
      <c r="E853" s="18" t="s">
        <v>2062</v>
      </c>
      <c r="F853" s="18">
        <v>4236</v>
      </c>
      <c r="G853" s="18">
        <v>2851</v>
      </c>
      <c r="H853" s="18">
        <v>355</v>
      </c>
      <c r="I853" s="18">
        <v>1030</v>
      </c>
    </row>
    <row r="854" spans="1:9" x14ac:dyDescent="0.3">
      <c r="A854" t="s">
        <v>1072</v>
      </c>
      <c r="B854" s="18" t="s">
        <v>645</v>
      </c>
      <c r="C854" s="18" t="s">
        <v>765</v>
      </c>
      <c r="D854" s="18" t="s">
        <v>778</v>
      </c>
      <c r="E854" s="18" t="s">
        <v>2062</v>
      </c>
      <c r="F854" s="18">
        <v>5470</v>
      </c>
      <c r="G854" s="18">
        <v>3671</v>
      </c>
      <c r="H854" s="18">
        <v>492</v>
      </c>
      <c r="I854" s="18">
        <v>1307</v>
      </c>
    </row>
    <row r="855" spans="1:9" x14ac:dyDescent="0.3">
      <c r="A855" t="s">
        <v>1808</v>
      </c>
      <c r="B855" s="18" t="s">
        <v>645</v>
      </c>
      <c r="C855" s="18" t="s">
        <v>765</v>
      </c>
      <c r="D855" s="18" t="s">
        <v>779</v>
      </c>
      <c r="E855" s="18" t="s">
        <v>2062</v>
      </c>
      <c r="F855" s="18">
        <v>756</v>
      </c>
      <c r="G855" s="18">
        <v>513</v>
      </c>
      <c r="H855" s="18">
        <v>56</v>
      </c>
      <c r="I855" s="18">
        <v>187</v>
      </c>
    </row>
    <row r="856" spans="1:9" x14ac:dyDescent="0.3">
      <c r="A856" t="s">
        <v>1809</v>
      </c>
      <c r="B856" s="18" t="s">
        <v>645</v>
      </c>
      <c r="C856" s="18" t="s">
        <v>765</v>
      </c>
      <c r="D856" s="18" t="s">
        <v>780</v>
      </c>
      <c r="E856" s="18" t="s">
        <v>2062</v>
      </c>
      <c r="F856" s="18">
        <v>1166</v>
      </c>
      <c r="G856" s="18">
        <v>710</v>
      </c>
      <c r="H856" s="18">
        <v>142</v>
      </c>
      <c r="I856" s="18">
        <v>314</v>
      </c>
    </row>
    <row r="857" spans="1:9" x14ac:dyDescent="0.3">
      <c r="A857" t="s">
        <v>1810</v>
      </c>
      <c r="B857" s="18" t="s">
        <v>645</v>
      </c>
      <c r="C857" s="18" t="s">
        <v>765</v>
      </c>
      <c r="D857" s="18" t="s">
        <v>781</v>
      </c>
      <c r="E857" s="18" t="s">
        <v>2062</v>
      </c>
      <c r="F857" s="18">
        <v>1030</v>
      </c>
      <c r="G857" s="18">
        <v>692</v>
      </c>
      <c r="H857" s="18">
        <v>94</v>
      </c>
      <c r="I857" s="18">
        <v>244</v>
      </c>
    </row>
    <row r="858" spans="1:9" x14ac:dyDescent="0.3">
      <c r="A858" t="s">
        <v>1155</v>
      </c>
      <c r="B858" s="18" t="s">
        <v>645</v>
      </c>
      <c r="C858" s="18" t="s">
        <v>765</v>
      </c>
      <c r="D858" s="18" t="s">
        <v>782</v>
      </c>
      <c r="E858" s="18" t="s">
        <v>2062</v>
      </c>
      <c r="F858" s="18">
        <v>8414</v>
      </c>
      <c r="G858" s="18">
        <v>5922</v>
      </c>
      <c r="H858" s="18">
        <v>326</v>
      </c>
      <c r="I858" s="18">
        <v>2166</v>
      </c>
    </row>
    <row r="859" spans="1:9" x14ac:dyDescent="0.3">
      <c r="A859" t="s">
        <v>1286</v>
      </c>
      <c r="B859" s="18" t="s">
        <v>645</v>
      </c>
      <c r="C859" s="18" t="s">
        <v>765</v>
      </c>
      <c r="D859" s="18" t="s">
        <v>783</v>
      </c>
      <c r="E859" s="18" t="s">
        <v>2062</v>
      </c>
      <c r="F859" s="18">
        <v>1122</v>
      </c>
      <c r="G859" s="18">
        <v>719</v>
      </c>
      <c r="H859" s="18">
        <v>87</v>
      </c>
      <c r="I859" s="18">
        <v>316</v>
      </c>
    </row>
    <row r="860" spans="1:9" x14ac:dyDescent="0.3">
      <c r="A860" t="s">
        <v>1811</v>
      </c>
      <c r="B860" s="18" t="s">
        <v>645</v>
      </c>
      <c r="C860" s="18" t="s">
        <v>765</v>
      </c>
      <c r="D860" s="18" t="s">
        <v>784</v>
      </c>
      <c r="E860" s="18" t="s">
        <v>2062</v>
      </c>
      <c r="F860" s="18">
        <v>1461</v>
      </c>
      <c r="G860" s="18">
        <v>1051</v>
      </c>
      <c r="H860" s="18">
        <v>43</v>
      </c>
      <c r="I860" s="18">
        <v>367</v>
      </c>
    </row>
    <row r="861" spans="1:9" x14ac:dyDescent="0.3">
      <c r="A861" t="s">
        <v>1812</v>
      </c>
      <c r="B861" s="18" t="s">
        <v>645</v>
      </c>
      <c r="C861" s="18" t="s">
        <v>765</v>
      </c>
      <c r="D861" s="18" t="s">
        <v>785</v>
      </c>
      <c r="E861" s="18" t="s">
        <v>2062</v>
      </c>
      <c r="F861" s="18">
        <v>272</v>
      </c>
      <c r="G861" s="18">
        <v>179</v>
      </c>
      <c r="H861" s="18">
        <v>4</v>
      </c>
      <c r="I861" s="18">
        <v>89</v>
      </c>
    </row>
    <row r="862" spans="1:9" x14ac:dyDescent="0.3">
      <c r="A862" t="s">
        <v>1373</v>
      </c>
      <c r="B862" s="18" t="s">
        <v>645</v>
      </c>
      <c r="C862" s="18" t="s">
        <v>765</v>
      </c>
      <c r="D862" s="18" t="s">
        <v>786</v>
      </c>
      <c r="E862" s="18" t="s">
        <v>2062</v>
      </c>
      <c r="F862" s="18">
        <v>8255</v>
      </c>
      <c r="G862" s="18">
        <v>5993</v>
      </c>
      <c r="H862" s="18">
        <v>528</v>
      </c>
      <c r="I862" s="18">
        <v>1734</v>
      </c>
    </row>
    <row r="863" spans="1:9" x14ac:dyDescent="0.3">
      <c r="A863" t="s">
        <v>1401</v>
      </c>
      <c r="B863" s="18" t="s">
        <v>645</v>
      </c>
      <c r="C863" s="18" t="s">
        <v>765</v>
      </c>
      <c r="D863" s="18" t="s">
        <v>787</v>
      </c>
      <c r="E863" s="18" t="s">
        <v>2062</v>
      </c>
      <c r="F863" s="18">
        <v>8348</v>
      </c>
      <c r="G863" s="18">
        <v>5427</v>
      </c>
      <c r="H863" s="18">
        <v>769</v>
      </c>
      <c r="I863" s="18">
        <v>2152</v>
      </c>
    </row>
    <row r="864" spans="1:9" x14ac:dyDescent="0.3">
      <c r="A864" t="s">
        <v>1187</v>
      </c>
      <c r="B864" s="18" t="s">
        <v>645</v>
      </c>
      <c r="C864" s="18" t="s">
        <v>765</v>
      </c>
      <c r="D864" s="18" t="s">
        <v>788</v>
      </c>
      <c r="E864" s="18" t="s">
        <v>2062</v>
      </c>
      <c r="F864" s="18">
        <v>13752</v>
      </c>
      <c r="G864" s="18">
        <v>9568</v>
      </c>
      <c r="H864" s="18">
        <v>728</v>
      </c>
      <c r="I864" s="18">
        <v>3456</v>
      </c>
    </row>
    <row r="865" spans="1:9" x14ac:dyDescent="0.3">
      <c r="A865" t="s">
        <v>1112</v>
      </c>
      <c r="B865" s="18" t="s">
        <v>645</v>
      </c>
      <c r="C865" s="18" t="s">
        <v>765</v>
      </c>
      <c r="D865" s="18" t="s">
        <v>789</v>
      </c>
      <c r="E865" s="18" t="s">
        <v>2062</v>
      </c>
      <c r="F865" s="18">
        <v>1956</v>
      </c>
      <c r="G865" s="18">
        <v>1253</v>
      </c>
      <c r="H865" s="18">
        <v>141</v>
      </c>
      <c r="I865" s="18">
        <v>562</v>
      </c>
    </row>
    <row r="866" spans="1:9" x14ac:dyDescent="0.3">
      <c r="A866" t="s">
        <v>1181</v>
      </c>
      <c r="B866" s="18" t="s">
        <v>645</v>
      </c>
      <c r="C866" s="18" t="s">
        <v>765</v>
      </c>
      <c r="D866" s="18" t="s">
        <v>790</v>
      </c>
      <c r="E866" s="18" t="s">
        <v>2062</v>
      </c>
      <c r="F866" s="18">
        <v>6664</v>
      </c>
      <c r="G866" s="18">
        <v>4888</v>
      </c>
      <c r="H866" s="18">
        <v>401</v>
      </c>
      <c r="I866" s="18">
        <v>1375</v>
      </c>
    </row>
    <row r="867" spans="1:9" x14ac:dyDescent="0.3">
      <c r="A867" t="s">
        <v>1443</v>
      </c>
      <c r="B867" s="18" t="s">
        <v>645</v>
      </c>
      <c r="C867" s="18" t="s">
        <v>765</v>
      </c>
      <c r="D867" s="18" t="s">
        <v>766</v>
      </c>
      <c r="E867" s="18" t="s">
        <v>2062</v>
      </c>
      <c r="F867" s="18">
        <v>665843</v>
      </c>
      <c r="G867" s="18">
        <v>448926</v>
      </c>
      <c r="H867" s="18">
        <v>48227</v>
      </c>
      <c r="I867" s="18">
        <v>168690</v>
      </c>
    </row>
    <row r="868" spans="1:9" x14ac:dyDescent="0.3">
      <c r="A868" t="s">
        <v>1214</v>
      </c>
      <c r="B868" s="18" t="s">
        <v>645</v>
      </c>
      <c r="C868" s="18" t="s">
        <v>765</v>
      </c>
      <c r="D868" s="18" t="s">
        <v>138</v>
      </c>
      <c r="E868" s="18" t="s">
        <v>2062</v>
      </c>
      <c r="F868" s="18">
        <v>18241</v>
      </c>
      <c r="G868" s="18">
        <v>12467</v>
      </c>
      <c r="H868" s="18">
        <v>1317</v>
      </c>
      <c r="I868" s="18">
        <v>4457</v>
      </c>
    </row>
    <row r="869" spans="1:9" x14ac:dyDescent="0.3">
      <c r="A869" t="s">
        <v>1813</v>
      </c>
      <c r="B869" s="18" t="s">
        <v>645</v>
      </c>
      <c r="C869" s="18" t="s">
        <v>765</v>
      </c>
      <c r="D869" s="18" t="s">
        <v>791</v>
      </c>
      <c r="E869" s="18" t="s">
        <v>2062</v>
      </c>
      <c r="F869" s="18">
        <v>2141</v>
      </c>
      <c r="G869" s="18">
        <v>1382</v>
      </c>
      <c r="H869" s="18">
        <v>91</v>
      </c>
      <c r="I869" s="18">
        <v>668</v>
      </c>
    </row>
    <row r="870" spans="1:9" x14ac:dyDescent="0.3">
      <c r="A870" t="s">
        <v>1136</v>
      </c>
      <c r="B870" s="18" t="s">
        <v>645</v>
      </c>
      <c r="C870" s="18" t="s">
        <v>765</v>
      </c>
      <c r="D870" s="18" t="s">
        <v>792</v>
      </c>
      <c r="E870" s="18" t="s">
        <v>2062</v>
      </c>
      <c r="F870" s="18">
        <v>1453</v>
      </c>
      <c r="G870" s="18">
        <v>1026</v>
      </c>
      <c r="H870" s="18">
        <v>89</v>
      </c>
      <c r="I870" s="18">
        <v>338</v>
      </c>
    </row>
    <row r="871" spans="1:9" x14ac:dyDescent="0.3">
      <c r="A871" t="s">
        <v>1317</v>
      </c>
      <c r="B871" s="18" t="s">
        <v>645</v>
      </c>
      <c r="C871" s="18" t="s">
        <v>765</v>
      </c>
      <c r="D871" s="18" t="s">
        <v>793</v>
      </c>
      <c r="E871" s="18" t="s">
        <v>2062</v>
      </c>
      <c r="F871" s="18">
        <v>29300</v>
      </c>
      <c r="G871" s="18">
        <v>20886</v>
      </c>
      <c r="H871" s="18">
        <v>1559</v>
      </c>
      <c r="I871" s="18">
        <v>6855</v>
      </c>
    </row>
    <row r="872" spans="1:9" x14ac:dyDescent="0.3">
      <c r="A872" t="s">
        <v>1332</v>
      </c>
      <c r="B872" s="18" t="s">
        <v>645</v>
      </c>
      <c r="C872" s="18" t="s">
        <v>765</v>
      </c>
      <c r="D872" s="18" t="s">
        <v>794</v>
      </c>
      <c r="E872" s="18" t="s">
        <v>2062</v>
      </c>
      <c r="F872" s="18">
        <v>9704</v>
      </c>
      <c r="G872" s="18">
        <v>6687</v>
      </c>
      <c r="H872" s="18">
        <v>727</v>
      </c>
      <c r="I872" s="18">
        <v>2290</v>
      </c>
    </row>
    <row r="873" spans="1:9" x14ac:dyDescent="0.3">
      <c r="A873" t="s">
        <v>1083</v>
      </c>
      <c r="B873" s="18" t="s">
        <v>645</v>
      </c>
      <c r="C873" s="18" t="s">
        <v>765</v>
      </c>
      <c r="D873" s="18" t="s">
        <v>795</v>
      </c>
      <c r="E873" s="18" t="s">
        <v>2062</v>
      </c>
      <c r="F873" s="18">
        <v>2288</v>
      </c>
      <c r="G873" s="18">
        <v>1617</v>
      </c>
      <c r="H873" s="18">
        <v>123</v>
      </c>
      <c r="I873" s="18">
        <v>548</v>
      </c>
    </row>
    <row r="874" spans="1:9" x14ac:dyDescent="0.3">
      <c r="A874" t="s">
        <v>1313</v>
      </c>
      <c r="B874" s="18" t="s">
        <v>645</v>
      </c>
      <c r="C874" s="18" t="s">
        <v>802</v>
      </c>
      <c r="D874" s="18" t="s">
        <v>804</v>
      </c>
      <c r="E874" s="18" t="s">
        <v>2062</v>
      </c>
      <c r="F874" s="18">
        <v>3609</v>
      </c>
      <c r="G874" s="18">
        <v>2346</v>
      </c>
      <c r="H874" s="18">
        <v>272</v>
      </c>
      <c r="I874" s="18">
        <v>991</v>
      </c>
    </row>
    <row r="875" spans="1:9" x14ac:dyDescent="0.3">
      <c r="A875" t="s">
        <v>1202</v>
      </c>
      <c r="B875" s="18" t="s">
        <v>645</v>
      </c>
      <c r="C875" s="18" t="s">
        <v>802</v>
      </c>
      <c r="D875" s="18" t="s">
        <v>805</v>
      </c>
      <c r="E875" s="18" t="s">
        <v>2062</v>
      </c>
      <c r="F875" s="18">
        <v>4274</v>
      </c>
      <c r="G875" s="18">
        <v>2894</v>
      </c>
      <c r="H875" s="18">
        <v>269</v>
      </c>
      <c r="I875" s="18">
        <v>1111</v>
      </c>
    </row>
    <row r="876" spans="1:9" x14ac:dyDescent="0.3">
      <c r="A876" t="s">
        <v>1318</v>
      </c>
      <c r="B876" s="18" t="s">
        <v>645</v>
      </c>
      <c r="C876" s="18" t="s">
        <v>802</v>
      </c>
      <c r="D876" s="18" t="s">
        <v>806</v>
      </c>
      <c r="E876" s="18" t="s">
        <v>2062</v>
      </c>
      <c r="F876" s="18">
        <v>8726</v>
      </c>
      <c r="G876" s="18">
        <v>5825</v>
      </c>
      <c r="H876" s="18">
        <v>740</v>
      </c>
      <c r="I876" s="18">
        <v>2161</v>
      </c>
    </row>
    <row r="877" spans="1:9" x14ac:dyDescent="0.3">
      <c r="A877" t="s">
        <v>1816</v>
      </c>
      <c r="B877" s="18" t="s">
        <v>645</v>
      </c>
      <c r="C877" s="18" t="s">
        <v>802</v>
      </c>
      <c r="D877" s="18" t="s">
        <v>807</v>
      </c>
      <c r="E877" s="18" t="s">
        <v>2062</v>
      </c>
      <c r="F877" s="18">
        <v>502</v>
      </c>
      <c r="G877" s="18">
        <v>348</v>
      </c>
      <c r="H877" s="18">
        <v>24</v>
      </c>
      <c r="I877" s="18">
        <v>130</v>
      </c>
    </row>
    <row r="878" spans="1:9" x14ac:dyDescent="0.3">
      <c r="A878" t="s">
        <v>1372</v>
      </c>
      <c r="B878" s="18" t="s">
        <v>645</v>
      </c>
      <c r="C878" s="18" t="s">
        <v>802</v>
      </c>
      <c r="D878" s="18" t="s">
        <v>803</v>
      </c>
      <c r="E878" s="18" t="s">
        <v>2062</v>
      </c>
      <c r="F878" s="18">
        <v>11774</v>
      </c>
      <c r="G878" s="18">
        <v>8010</v>
      </c>
      <c r="H878" s="18">
        <v>781</v>
      </c>
      <c r="I878" s="18">
        <v>2983</v>
      </c>
    </row>
    <row r="879" spans="1:9" x14ac:dyDescent="0.3">
      <c r="A879" t="s">
        <v>1817</v>
      </c>
      <c r="B879" s="18" t="s">
        <v>645</v>
      </c>
      <c r="C879" s="18" t="s">
        <v>802</v>
      </c>
      <c r="D879" s="18" t="s">
        <v>808</v>
      </c>
      <c r="E879" s="18" t="s">
        <v>2062</v>
      </c>
      <c r="F879" s="18">
        <v>1163</v>
      </c>
      <c r="G879" s="18">
        <v>657</v>
      </c>
      <c r="H879" s="18">
        <v>174</v>
      </c>
      <c r="I879" s="18">
        <v>332</v>
      </c>
    </row>
    <row r="880" spans="1:9" x14ac:dyDescent="0.3">
      <c r="A880" t="s">
        <v>1422</v>
      </c>
      <c r="B880" s="18" t="s">
        <v>645</v>
      </c>
      <c r="C880" s="18" t="s">
        <v>802</v>
      </c>
      <c r="D880" s="18" t="s">
        <v>387</v>
      </c>
      <c r="E880" s="18" t="s">
        <v>2062</v>
      </c>
      <c r="F880" s="18">
        <v>3572</v>
      </c>
      <c r="G880" s="18">
        <v>2250</v>
      </c>
      <c r="H880" s="18">
        <v>207</v>
      </c>
      <c r="I880" s="18">
        <v>1115</v>
      </c>
    </row>
    <row r="881" spans="1:9" x14ac:dyDescent="0.3">
      <c r="A881" t="s">
        <v>1419</v>
      </c>
      <c r="B881" s="18" t="s">
        <v>645</v>
      </c>
      <c r="C881" s="18" t="s">
        <v>802</v>
      </c>
      <c r="D881" s="18" t="s">
        <v>809</v>
      </c>
      <c r="E881" s="18" t="s">
        <v>2062</v>
      </c>
      <c r="F881" s="18">
        <v>2285</v>
      </c>
      <c r="G881" s="18">
        <v>1479</v>
      </c>
      <c r="H881" s="18">
        <v>107</v>
      </c>
      <c r="I881" s="18">
        <v>699</v>
      </c>
    </row>
    <row r="882" spans="1:9" x14ac:dyDescent="0.3">
      <c r="A882" t="s">
        <v>1098</v>
      </c>
      <c r="B882" s="18" t="s">
        <v>645</v>
      </c>
      <c r="C882" s="18" t="s">
        <v>810</v>
      </c>
      <c r="D882" s="18" t="s">
        <v>459</v>
      </c>
      <c r="E882" s="18" t="s">
        <v>2062</v>
      </c>
      <c r="F882" s="18">
        <v>1687</v>
      </c>
      <c r="G882" s="18">
        <v>1187</v>
      </c>
      <c r="H882" s="18">
        <v>66</v>
      </c>
      <c r="I882" s="18">
        <v>434</v>
      </c>
    </row>
    <row r="883" spans="1:9" x14ac:dyDescent="0.3">
      <c r="A883" t="s">
        <v>1044</v>
      </c>
      <c r="B883" s="18" t="s">
        <v>645</v>
      </c>
      <c r="C883" s="18" t="s">
        <v>810</v>
      </c>
      <c r="D883" s="18" t="s">
        <v>812</v>
      </c>
      <c r="E883" s="18" t="s">
        <v>2062</v>
      </c>
      <c r="F883" s="18">
        <v>2305</v>
      </c>
      <c r="G883" s="18">
        <v>1586</v>
      </c>
      <c r="H883" s="18">
        <v>97</v>
      </c>
      <c r="I883" s="18">
        <v>622</v>
      </c>
    </row>
    <row r="884" spans="1:9" x14ac:dyDescent="0.3">
      <c r="A884" t="s">
        <v>1287</v>
      </c>
      <c r="B884" s="18" t="s">
        <v>645</v>
      </c>
      <c r="C884" s="18" t="s">
        <v>810</v>
      </c>
      <c r="D884" s="18" t="s">
        <v>811</v>
      </c>
      <c r="E884" s="18" t="s">
        <v>2062</v>
      </c>
      <c r="F884" s="18">
        <v>7393</v>
      </c>
      <c r="G884" s="18">
        <v>5530</v>
      </c>
      <c r="H884" s="18">
        <v>300</v>
      </c>
      <c r="I884" s="18">
        <v>1563</v>
      </c>
    </row>
    <row r="885" spans="1:9" x14ac:dyDescent="0.3">
      <c r="A885" t="s">
        <v>1045</v>
      </c>
      <c r="B885" s="18" t="s">
        <v>645</v>
      </c>
      <c r="C885" s="18" t="s">
        <v>810</v>
      </c>
      <c r="D885" s="18" t="s">
        <v>813</v>
      </c>
      <c r="E885" s="18" t="s">
        <v>2062</v>
      </c>
      <c r="F885" s="18">
        <v>765</v>
      </c>
      <c r="G885" s="18">
        <v>470</v>
      </c>
      <c r="H885" s="18">
        <v>37</v>
      </c>
      <c r="I885" s="18">
        <v>258</v>
      </c>
    </row>
    <row r="886" spans="1:9" x14ac:dyDescent="0.3">
      <c r="A886" t="s">
        <v>1818</v>
      </c>
      <c r="B886" s="18" t="s">
        <v>645</v>
      </c>
      <c r="C886" s="18" t="s">
        <v>810</v>
      </c>
      <c r="D886" s="18" t="s">
        <v>814</v>
      </c>
      <c r="E886" s="18" t="s">
        <v>2062</v>
      </c>
      <c r="F886" s="18">
        <v>2186</v>
      </c>
      <c r="G886" s="18">
        <v>1437</v>
      </c>
      <c r="H886" s="18">
        <v>138</v>
      </c>
      <c r="I886" s="18">
        <v>611</v>
      </c>
    </row>
    <row r="887" spans="1:9" x14ac:dyDescent="0.3">
      <c r="A887" t="s">
        <v>1822</v>
      </c>
      <c r="B887" s="18" t="s">
        <v>645</v>
      </c>
      <c r="C887" s="18" t="s">
        <v>821</v>
      </c>
      <c r="D887" s="18" t="s">
        <v>821</v>
      </c>
      <c r="E887" s="18" t="s">
        <v>2062</v>
      </c>
      <c r="F887" s="18">
        <v>5312</v>
      </c>
      <c r="G887" s="18">
        <v>4027</v>
      </c>
      <c r="H887" s="18">
        <v>197</v>
      </c>
      <c r="I887" s="18">
        <v>1088</v>
      </c>
    </row>
    <row r="888" spans="1:9" x14ac:dyDescent="0.3">
      <c r="A888" t="s">
        <v>1460</v>
      </c>
      <c r="B888" s="18" t="s">
        <v>645</v>
      </c>
      <c r="C888" s="18" t="s">
        <v>822</v>
      </c>
      <c r="D888" s="18" t="s">
        <v>822</v>
      </c>
      <c r="E888" s="18" t="s">
        <v>2062</v>
      </c>
      <c r="F888" s="18">
        <v>8892</v>
      </c>
      <c r="G888" s="18">
        <v>6033</v>
      </c>
      <c r="H888" s="18">
        <v>802</v>
      </c>
      <c r="I888" s="18">
        <v>2057</v>
      </c>
    </row>
    <row r="889" spans="1:9" x14ac:dyDescent="0.3">
      <c r="A889" t="s">
        <v>1375</v>
      </c>
      <c r="B889" s="18" t="s">
        <v>645</v>
      </c>
      <c r="C889" s="18" t="s">
        <v>815</v>
      </c>
      <c r="D889" s="18" t="s">
        <v>817</v>
      </c>
      <c r="E889" s="18" t="s">
        <v>2062</v>
      </c>
      <c r="F889" s="18">
        <v>1665</v>
      </c>
      <c r="G889" s="18">
        <v>1081</v>
      </c>
      <c r="H889" s="18">
        <v>161</v>
      </c>
      <c r="I889" s="18">
        <v>423</v>
      </c>
    </row>
    <row r="890" spans="1:9" x14ac:dyDescent="0.3">
      <c r="A890" t="s">
        <v>1819</v>
      </c>
      <c r="B890" s="18" t="s">
        <v>645</v>
      </c>
      <c r="C890" s="18" t="s">
        <v>815</v>
      </c>
      <c r="D890" s="18" t="s">
        <v>818</v>
      </c>
      <c r="E890" s="18" t="s">
        <v>2062</v>
      </c>
      <c r="F890" s="18">
        <v>245</v>
      </c>
      <c r="G890" s="18">
        <v>151</v>
      </c>
      <c r="H890" s="18">
        <v>43</v>
      </c>
      <c r="I890" s="18">
        <v>51</v>
      </c>
    </row>
    <row r="891" spans="1:9" x14ac:dyDescent="0.3">
      <c r="A891" t="s">
        <v>1289</v>
      </c>
      <c r="B891" s="18" t="s">
        <v>645</v>
      </c>
      <c r="C891" s="18" t="s">
        <v>815</v>
      </c>
      <c r="D891" s="18" t="s">
        <v>816</v>
      </c>
      <c r="E891" s="18" t="s">
        <v>2062</v>
      </c>
      <c r="F891" s="18">
        <v>39188</v>
      </c>
      <c r="G891" s="18">
        <v>26330</v>
      </c>
      <c r="H891" s="18">
        <v>2248</v>
      </c>
      <c r="I891" s="18">
        <v>10610</v>
      </c>
    </row>
    <row r="892" spans="1:9" x14ac:dyDescent="0.3">
      <c r="A892" t="s">
        <v>1821</v>
      </c>
      <c r="B892" s="18" t="s">
        <v>645</v>
      </c>
      <c r="C892" s="18" t="s">
        <v>819</v>
      </c>
      <c r="D892" s="18" t="s">
        <v>820</v>
      </c>
      <c r="E892" s="18" t="s">
        <v>2062</v>
      </c>
      <c r="F892" s="18">
        <v>1125</v>
      </c>
      <c r="G892" s="18">
        <v>770</v>
      </c>
      <c r="H892" s="18">
        <v>48</v>
      </c>
      <c r="I892" s="18">
        <v>307</v>
      </c>
    </row>
    <row r="893" spans="1:9" x14ac:dyDescent="0.3">
      <c r="A893" t="s">
        <v>1820</v>
      </c>
      <c r="B893" s="18" t="s">
        <v>645</v>
      </c>
      <c r="C893" s="18" t="s">
        <v>819</v>
      </c>
      <c r="D893" s="18" t="s">
        <v>819</v>
      </c>
      <c r="E893" s="18" t="s">
        <v>2062</v>
      </c>
      <c r="F893" s="18">
        <v>3771</v>
      </c>
      <c r="G893" s="18">
        <v>2510</v>
      </c>
      <c r="H893" s="18">
        <v>324</v>
      </c>
      <c r="I893" s="18">
        <v>937</v>
      </c>
    </row>
    <row r="894" spans="1:9" x14ac:dyDescent="0.3">
      <c r="A894" t="s">
        <v>1147</v>
      </c>
      <c r="B894" s="18" t="s">
        <v>933</v>
      </c>
      <c r="C894" s="18" t="s">
        <v>168</v>
      </c>
      <c r="D894" s="18" t="s">
        <v>168</v>
      </c>
      <c r="E894" s="18" t="s">
        <v>2062</v>
      </c>
      <c r="F894" s="18">
        <v>38330</v>
      </c>
      <c r="G894" s="18">
        <v>23147</v>
      </c>
      <c r="H894" s="18">
        <v>5379</v>
      </c>
      <c r="I894" s="18">
        <v>9804</v>
      </c>
    </row>
    <row r="895" spans="1:9" x14ac:dyDescent="0.3">
      <c r="A895" t="s">
        <v>1043</v>
      </c>
      <c r="B895" s="18" t="s">
        <v>933</v>
      </c>
      <c r="C895" s="18" t="s">
        <v>94</v>
      </c>
      <c r="D895" s="18" t="s">
        <v>1001</v>
      </c>
      <c r="E895" s="18" t="s">
        <v>2062</v>
      </c>
      <c r="F895" s="18">
        <v>5032</v>
      </c>
      <c r="G895" s="18">
        <v>2935</v>
      </c>
      <c r="H895" s="18">
        <v>886</v>
      </c>
      <c r="I895" s="18">
        <v>1211</v>
      </c>
    </row>
    <row r="896" spans="1:9" x14ac:dyDescent="0.3">
      <c r="A896" t="s">
        <v>1101</v>
      </c>
      <c r="B896" s="18" t="s">
        <v>933</v>
      </c>
      <c r="C896" s="18" t="s">
        <v>94</v>
      </c>
      <c r="D896" s="18" t="s">
        <v>2071</v>
      </c>
      <c r="E896" s="18" t="s">
        <v>2062</v>
      </c>
      <c r="F896" s="18">
        <v>12368</v>
      </c>
      <c r="G896" s="18">
        <v>7512</v>
      </c>
      <c r="H896" s="18">
        <v>1482</v>
      </c>
      <c r="I896" s="18">
        <v>3374</v>
      </c>
    </row>
    <row r="897" spans="1:9" x14ac:dyDescent="0.3">
      <c r="A897" t="s">
        <v>1129</v>
      </c>
      <c r="B897" s="18" t="s">
        <v>933</v>
      </c>
      <c r="C897" s="18" t="s">
        <v>94</v>
      </c>
      <c r="D897" s="18" t="s">
        <v>94</v>
      </c>
      <c r="E897" s="18" t="s">
        <v>2062</v>
      </c>
      <c r="F897" s="18">
        <v>12964</v>
      </c>
      <c r="G897" s="18">
        <v>7471</v>
      </c>
      <c r="H897" s="18">
        <v>1968</v>
      </c>
      <c r="I897" s="18">
        <v>3525</v>
      </c>
    </row>
    <row r="898" spans="1:9" x14ac:dyDescent="0.3">
      <c r="A898" t="s">
        <v>1050</v>
      </c>
      <c r="B898" s="18" t="s">
        <v>933</v>
      </c>
      <c r="C898" s="18" t="s">
        <v>933</v>
      </c>
      <c r="D898" s="18" t="s">
        <v>288</v>
      </c>
      <c r="E898" s="18" t="s">
        <v>2062</v>
      </c>
      <c r="F898" s="18">
        <v>1433</v>
      </c>
      <c r="G898" s="18">
        <v>901</v>
      </c>
      <c r="H898" s="18">
        <v>207</v>
      </c>
      <c r="I898" s="18">
        <v>325</v>
      </c>
    </row>
    <row r="899" spans="1:9" x14ac:dyDescent="0.3">
      <c r="A899" t="s">
        <v>1097</v>
      </c>
      <c r="B899" s="18" t="s">
        <v>933</v>
      </c>
      <c r="C899" s="18" t="s">
        <v>933</v>
      </c>
      <c r="D899" s="18" t="s">
        <v>998</v>
      </c>
      <c r="E899" s="18" t="s">
        <v>2062</v>
      </c>
      <c r="F899" s="18">
        <v>7129</v>
      </c>
      <c r="G899" s="18">
        <v>4728</v>
      </c>
      <c r="H899" s="18">
        <v>675</v>
      </c>
      <c r="I899" s="18">
        <v>1726</v>
      </c>
    </row>
    <row r="900" spans="1:9" x14ac:dyDescent="0.3">
      <c r="A900" t="s">
        <v>1342</v>
      </c>
      <c r="B900" s="18" t="s">
        <v>933</v>
      </c>
      <c r="C900" s="18" t="s">
        <v>933</v>
      </c>
      <c r="D900" s="18" t="s">
        <v>997</v>
      </c>
      <c r="E900" s="18" t="s">
        <v>2062</v>
      </c>
      <c r="F900" s="18">
        <v>13952</v>
      </c>
      <c r="G900" s="18">
        <v>8833</v>
      </c>
      <c r="H900" s="18">
        <v>1644</v>
      </c>
      <c r="I900" s="18">
        <v>3475</v>
      </c>
    </row>
    <row r="901" spans="1:9" x14ac:dyDescent="0.3">
      <c r="A901" t="s">
        <v>1428</v>
      </c>
      <c r="B901" s="18" t="s">
        <v>933</v>
      </c>
      <c r="C901" s="18" t="s">
        <v>933</v>
      </c>
      <c r="D901" s="18" t="s">
        <v>999</v>
      </c>
      <c r="E901" s="18" t="s">
        <v>2062</v>
      </c>
      <c r="F901" s="18">
        <v>13128</v>
      </c>
      <c r="G901" s="18">
        <v>8388</v>
      </c>
      <c r="H901" s="18">
        <v>1801</v>
      </c>
      <c r="I901" s="18">
        <v>2939</v>
      </c>
    </row>
    <row r="902" spans="1:9" x14ac:dyDescent="0.3">
      <c r="A902" t="s">
        <v>1150</v>
      </c>
      <c r="B902" s="18" t="s">
        <v>933</v>
      </c>
      <c r="C902" s="18" t="s">
        <v>933</v>
      </c>
      <c r="D902" s="18" t="s">
        <v>1000</v>
      </c>
      <c r="E902" s="18" t="s">
        <v>2062</v>
      </c>
      <c r="F902" s="18">
        <v>2800</v>
      </c>
      <c r="G902" s="18">
        <v>1635</v>
      </c>
      <c r="H902" s="18">
        <v>427</v>
      </c>
      <c r="I902" s="18">
        <v>738</v>
      </c>
    </row>
    <row r="903" spans="1:9" x14ac:dyDescent="0.3">
      <c r="A903" t="s">
        <v>1220</v>
      </c>
      <c r="B903" s="18" t="s">
        <v>933</v>
      </c>
      <c r="C903" s="18" t="s">
        <v>933</v>
      </c>
      <c r="D903" s="18" t="s">
        <v>933</v>
      </c>
      <c r="E903" s="18" t="s">
        <v>2062</v>
      </c>
      <c r="F903" s="18">
        <v>24984</v>
      </c>
      <c r="G903" s="18">
        <v>15594</v>
      </c>
      <c r="H903" s="18">
        <v>3089</v>
      </c>
      <c r="I903" s="18">
        <v>6301</v>
      </c>
    </row>
    <row r="904" spans="1:9" x14ac:dyDescent="0.3">
      <c r="A904" t="s">
        <v>1042</v>
      </c>
      <c r="B904" s="18" t="s">
        <v>933</v>
      </c>
      <c r="C904" s="18" t="s">
        <v>933</v>
      </c>
      <c r="D904" s="18" t="s">
        <v>47</v>
      </c>
      <c r="E904" s="18" t="s">
        <v>2062</v>
      </c>
      <c r="F904" s="18">
        <v>1587</v>
      </c>
      <c r="G904" s="18">
        <v>1043</v>
      </c>
      <c r="H904" s="18">
        <v>124</v>
      </c>
      <c r="I904" s="18">
        <v>420</v>
      </c>
    </row>
    <row r="905" spans="1:9" x14ac:dyDescent="0.3">
      <c r="A905" t="s">
        <v>1293</v>
      </c>
      <c r="B905" s="18" t="s">
        <v>983</v>
      </c>
      <c r="C905" s="18" t="s">
        <v>993</v>
      </c>
      <c r="D905" s="18" t="s">
        <v>993</v>
      </c>
      <c r="E905" s="18" t="s">
        <v>2062</v>
      </c>
      <c r="F905" s="18">
        <v>12104</v>
      </c>
      <c r="G905" s="18">
        <v>7368</v>
      </c>
      <c r="H905" s="18">
        <v>1327</v>
      </c>
      <c r="I905" s="18">
        <v>3409</v>
      </c>
    </row>
    <row r="906" spans="1:9" x14ac:dyDescent="0.3">
      <c r="A906" t="s">
        <v>1907</v>
      </c>
      <c r="B906" s="18" t="s">
        <v>983</v>
      </c>
      <c r="C906" s="18" t="s">
        <v>993</v>
      </c>
      <c r="D906" s="18" t="s">
        <v>995</v>
      </c>
      <c r="E906" s="18" t="s">
        <v>2062</v>
      </c>
      <c r="F906" s="18">
        <v>1525</v>
      </c>
      <c r="G906" s="18">
        <v>1083</v>
      </c>
      <c r="H906" s="18">
        <v>76</v>
      </c>
      <c r="I906" s="18">
        <v>366</v>
      </c>
    </row>
    <row r="907" spans="1:9" x14ac:dyDescent="0.3">
      <c r="A907" t="s">
        <v>1906</v>
      </c>
      <c r="B907" s="18" t="s">
        <v>983</v>
      </c>
      <c r="C907" s="18" t="s">
        <v>993</v>
      </c>
      <c r="D907" s="18" t="s">
        <v>994</v>
      </c>
      <c r="E907" s="18" t="s">
        <v>2062</v>
      </c>
      <c r="F907" s="18">
        <v>2517</v>
      </c>
      <c r="G907" s="18">
        <v>1789</v>
      </c>
      <c r="H907" s="18">
        <v>177</v>
      </c>
      <c r="I907" s="18">
        <v>551</v>
      </c>
    </row>
    <row r="908" spans="1:9" x14ac:dyDescent="0.3">
      <c r="A908" t="s">
        <v>1908</v>
      </c>
      <c r="B908" s="18" t="s">
        <v>983</v>
      </c>
      <c r="C908" s="18" t="s">
        <v>993</v>
      </c>
      <c r="D908" s="18" t="s">
        <v>996</v>
      </c>
      <c r="E908" s="18" t="s">
        <v>2062</v>
      </c>
      <c r="F908" s="18">
        <v>855</v>
      </c>
      <c r="G908" s="18">
        <v>524</v>
      </c>
      <c r="H908" s="18">
        <v>125</v>
      </c>
      <c r="I908" s="18">
        <v>206</v>
      </c>
    </row>
    <row r="909" spans="1:9" x14ac:dyDescent="0.3">
      <c r="A909" t="s">
        <v>1900</v>
      </c>
      <c r="B909" s="18" t="s">
        <v>983</v>
      </c>
      <c r="C909" s="18" t="s">
        <v>984</v>
      </c>
      <c r="D909" s="18" t="s">
        <v>986</v>
      </c>
      <c r="E909" s="18" t="s">
        <v>2062</v>
      </c>
      <c r="F909" s="18">
        <v>3155</v>
      </c>
      <c r="G909" s="18">
        <v>2056</v>
      </c>
      <c r="H909" s="18">
        <v>172</v>
      </c>
      <c r="I909" s="18">
        <v>927</v>
      </c>
    </row>
    <row r="910" spans="1:9" x14ac:dyDescent="0.3">
      <c r="A910" t="s">
        <v>1904</v>
      </c>
      <c r="B910" s="18" t="s">
        <v>983</v>
      </c>
      <c r="C910" s="18" t="s">
        <v>984</v>
      </c>
      <c r="D910" s="18" t="s">
        <v>991</v>
      </c>
      <c r="E910" s="18" t="s">
        <v>2062</v>
      </c>
      <c r="F910" s="18">
        <v>2217</v>
      </c>
      <c r="G910" s="18">
        <v>1565</v>
      </c>
      <c r="H910" s="18">
        <v>167</v>
      </c>
      <c r="I910" s="18">
        <v>485</v>
      </c>
    </row>
    <row r="911" spans="1:9" x14ac:dyDescent="0.3">
      <c r="A911" t="s">
        <v>1901</v>
      </c>
      <c r="B911" s="18" t="s">
        <v>983</v>
      </c>
      <c r="C911" s="18" t="s">
        <v>984</v>
      </c>
      <c r="D911" s="18" t="s">
        <v>988</v>
      </c>
      <c r="E911" s="18" t="s">
        <v>2062</v>
      </c>
      <c r="F911" s="18">
        <v>4188</v>
      </c>
      <c r="G911" s="18">
        <v>2841</v>
      </c>
      <c r="H911" s="18">
        <v>269</v>
      </c>
      <c r="I911" s="18">
        <v>1078</v>
      </c>
    </row>
    <row r="912" spans="1:9" x14ac:dyDescent="0.3">
      <c r="A912" t="s">
        <v>1359</v>
      </c>
      <c r="B912" s="18" t="s">
        <v>983</v>
      </c>
      <c r="C912" s="18" t="s">
        <v>984</v>
      </c>
      <c r="D912" s="18" t="s">
        <v>987</v>
      </c>
      <c r="E912" s="18" t="s">
        <v>2062</v>
      </c>
      <c r="F912" s="18">
        <v>4243</v>
      </c>
      <c r="G912" s="18">
        <v>3083</v>
      </c>
      <c r="H912" s="18">
        <v>273</v>
      </c>
      <c r="I912" s="18">
        <v>887</v>
      </c>
    </row>
    <row r="913" spans="1:9" x14ac:dyDescent="0.3">
      <c r="A913" t="s">
        <v>1902</v>
      </c>
      <c r="B913" s="18" t="s">
        <v>983</v>
      </c>
      <c r="C913" s="18" t="s">
        <v>984</v>
      </c>
      <c r="D913" s="18" t="s">
        <v>989</v>
      </c>
      <c r="E913" s="18" t="s">
        <v>2062</v>
      </c>
      <c r="F913" s="18">
        <v>4883</v>
      </c>
      <c r="G913" s="18">
        <v>3457</v>
      </c>
      <c r="H913" s="18">
        <v>274</v>
      </c>
      <c r="I913" s="18">
        <v>1152</v>
      </c>
    </row>
    <row r="914" spans="1:9" x14ac:dyDescent="0.3">
      <c r="A914" t="s">
        <v>1905</v>
      </c>
      <c r="B914" s="18" t="s">
        <v>983</v>
      </c>
      <c r="C914" s="18" t="s">
        <v>984</v>
      </c>
      <c r="D914" s="18" t="s">
        <v>992</v>
      </c>
      <c r="E914" s="18" t="s">
        <v>2062</v>
      </c>
      <c r="F914" s="18">
        <v>2690</v>
      </c>
      <c r="G914" s="18">
        <v>1922</v>
      </c>
      <c r="H914" s="18">
        <v>126</v>
      </c>
      <c r="I914" s="18">
        <v>642</v>
      </c>
    </row>
    <row r="915" spans="1:9" x14ac:dyDescent="0.3">
      <c r="A915" t="s">
        <v>1473</v>
      </c>
      <c r="B915" s="18" t="s">
        <v>983</v>
      </c>
      <c r="C915" s="18" t="s">
        <v>984</v>
      </c>
      <c r="D915" s="18" t="s">
        <v>985</v>
      </c>
      <c r="E915" s="18" t="s">
        <v>2062</v>
      </c>
      <c r="F915" s="18">
        <v>128757</v>
      </c>
      <c r="G915" s="18">
        <v>84068</v>
      </c>
      <c r="H915" s="18">
        <v>12339</v>
      </c>
      <c r="I915" s="18">
        <v>32350</v>
      </c>
    </row>
    <row r="916" spans="1:9" x14ac:dyDescent="0.3">
      <c r="A916" t="s">
        <v>1903</v>
      </c>
      <c r="B916" s="18" t="s">
        <v>983</v>
      </c>
      <c r="C916" s="18" t="s">
        <v>984</v>
      </c>
      <c r="D916" s="18" t="s">
        <v>990</v>
      </c>
      <c r="E916" s="18" t="s">
        <v>2062</v>
      </c>
      <c r="F916" s="18">
        <v>3603</v>
      </c>
      <c r="G916" s="18">
        <v>2583</v>
      </c>
      <c r="H916" s="18">
        <v>237</v>
      </c>
      <c r="I916" s="18">
        <v>783</v>
      </c>
    </row>
    <row r="917" spans="1:9" x14ac:dyDescent="0.3">
      <c r="A917" t="s">
        <v>1877</v>
      </c>
      <c r="B917" s="18" t="s">
        <v>915</v>
      </c>
      <c r="C917" s="18" t="s">
        <v>945</v>
      </c>
      <c r="D917" s="18" t="s">
        <v>946</v>
      </c>
      <c r="E917" s="18" t="s">
        <v>2062</v>
      </c>
      <c r="F917" s="18">
        <v>1330</v>
      </c>
      <c r="G917" s="18">
        <v>827</v>
      </c>
      <c r="H917" s="18">
        <v>117</v>
      </c>
      <c r="I917" s="18">
        <v>386</v>
      </c>
    </row>
    <row r="918" spans="1:9" x14ac:dyDescent="0.3">
      <c r="A918" t="s">
        <v>1879</v>
      </c>
      <c r="B918" s="18" t="s">
        <v>915</v>
      </c>
      <c r="C918" s="18" t="s">
        <v>945</v>
      </c>
      <c r="D918" s="18" t="s">
        <v>948</v>
      </c>
      <c r="E918" s="18" t="s">
        <v>2062</v>
      </c>
      <c r="F918" s="18">
        <v>1359</v>
      </c>
      <c r="G918" s="18">
        <v>710</v>
      </c>
      <c r="H918" s="18">
        <v>181</v>
      </c>
      <c r="I918" s="18">
        <v>468</v>
      </c>
    </row>
    <row r="919" spans="1:9" x14ac:dyDescent="0.3">
      <c r="A919" t="s">
        <v>2048</v>
      </c>
      <c r="B919" s="18" t="s">
        <v>915</v>
      </c>
      <c r="C919" s="18" t="s">
        <v>945</v>
      </c>
      <c r="D919" s="18" t="s">
        <v>947</v>
      </c>
      <c r="E919" s="18" t="s">
        <v>2062</v>
      </c>
      <c r="F919" s="18">
        <v>222</v>
      </c>
      <c r="G919" s="18">
        <v>162</v>
      </c>
      <c r="H919" s="18">
        <v>17</v>
      </c>
      <c r="I919" s="18">
        <v>43</v>
      </c>
    </row>
    <row r="920" spans="1:9" x14ac:dyDescent="0.3">
      <c r="A920" t="s">
        <v>1878</v>
      </c>
      <c r="B920" s="18" t="s">
        <v>915</v>
      </c>
      <c r="C920" s="18" t="s">
        <v>945</v>
      </c>
      <c r="D920" s="18" t="s">
        <v>244</v>
      </c>
      <c r="E920" s="18" t="s">
        <v>2062</v>
      </c>
      <c r="F920" s="18">
        <v>1118</v>
      </c>
      <c r="G920" s="18">
        <v>720</v>
      </c>
      <c r="H920" s="18">
        <v>106</v>
      </c>
      <c r="I920" s="18">
        <v>292</v>
      </c>
    </row>
    <row r="921" spans="1:9" x14ac:dyDescent="0.3">
      <c r="A921" t="s">
        <v>1288</v>
      </c>
      <c r="B921" s="18" t="s">
        <v>915</v>
      </c>
      <c r="C921" s="18" t="s">
        <v>949</v>
      </c>
      <c r="D921" s="18" t="s">
        <v>951</v>
      </c>
      <c r="E921" s="18" t="s">
        <v>2062</v>
      </c>
      <c r="F921" s="18">
        <v>598</v>
      </c>
      <c r="G921" s="18">
        <v>323</v>
      </c>
      <c r="H921" s="18">
        <v>101</v>
      </c>
      <c r="I921" s="18">
        <v>174</v>
      </c>
    </row>
    <row r="922" spans="1:9" x14ac:dyDescent="0.3">
      <c r="A922" t="s">
        <v>1880</v>
      </c>
      <c r="B922" s="18" t="s">
        <v>915</v>
      </c>
      <c r="C922" s="18" t="s">
        <v>949</v>
      </c>
      <c r="D922" s="18" t="s">
        <v>949</v>
      </c>
      <c r="E922" s="18" t="s">
        <v>2062</v>
      </c>
      <c r="F922" s="18">
        <v>133</v>
      </c>
      <c r="G922" s="18">
        <v>46</v>
      </c>
      <c r="H922" s="18">
        <v>6</v>
      </c>
      <c r="I922" s="18">
        <v>81</v>
      </c>
    </row>
    <row r="923" spans="1:9" x14ac:dyDescent="0.3">
      <c r="A923" t="s">
        <v>1368</v>
      </c>
      <c r="B923" s="18" t="s">
        <v>915</v>
      </c>
      <c r="C923" s="18" t="s">
        <v>949</v>
      </c>
      <c r="D923" s="18" t="s">
        <v>950</v>
      </c>
      <c r="E923" s="18" t="s">
        <v>2062</v>
      </c>
      <c r="F923" s="18">
        <v>2405</v>
      </c>
      <c r="G923" s="18">
        <v>1261</v>
      </c>
      <c r="H923" s="18">
        <v>327</v>
      </c>
      <c r="I923" s="18">
        <v>817</v>
      </c>
    </row>
    <row r="924" spans="1:9" x14ac:dyDescent="0.3">
      <c r="A924" t="s">
        <v>1407</v>
      </c>
      <c r="B924" s="18" t="s">
        <v>915</v>
      </c>
      <c r="C924" s="18" t="s">
        <v>924</v>
      </c>
      <c r="D924" s="18" t="s">
        <v>926</v>
      </c>
      <c r="E924" s="18" t="s">
        <v>2062</v>
      </c>
      <c r="F924" s="18">
        <v>393</v>
      </c>
      <c r="G924" s="18">
        <v>214</v>
      </c>
      <c r="H924" s="18">
        <v>28</v>
      </c>
      <c r="I924" s="18">
        <v>151</v>
      </c>
    </row>
    <row r="925" spans="1:9" x14ac:dyDescent="0.3">
      <c r="A925" t="s">
        <v>1475</v>
      </c>
      <c r="B925" s="18" t="s">
        <v>915</v>
      </c>
      <c r="C925" s="18" t="s">
        <v>924</v>
      </c>
      <c r="D925" s="18" t="s">
        <v>924</v>
      </c>
      <c r="E925" s="18" t="s">
        <v>2062</v>
      </c>
      <c r="F925" s="18">
        <v>1148</v>
      </c>
      <c r="G925" s="18">
        <v>524</v>
      </c>
      <c r="H925" s="18">
        <v>312</v>
      </c>
      <c r="I925" s="18">
        <v>312</v>
      </c>
    </row>
    <row r="926" spans="1:9" x14ac:dyDescent="0.3">
      <c r="A926" t="s">
        <v>1415</v>
      </c>
      <c r="B926" s="18" t="s">
        <v>915</v>
      </c>
      <c r="C926" s="18" t="s">
        <v>924</v>
      </c>
      <c r="D926" s="18" t="s">
        <v>925</v>
      </c>
      <c r="E926" s="18" t="s">
        <v>2062</v>
      </c>
      <c r="F926" s="18">
        <v>1439</v>
      </c>
      <c r="G926" s="18">
        <v>822</v>
      </c>
      <c r="H926" s="18">
        <v>259</v>
      </c>
      <c r="I926" s="18">
        <v>358</v>
      </c>
    </row>
    <row r="927" spans="1:9" x14ac:dyDescent="0.3">
      <c r="A927" t="s">
        <v>1870</v>
      </c>
      <c r="B927" s="18" t="s">
        <v>915</v>
      </c>
      <c r="C927" s="18" t="s">
        <v>924</v>
      </c>
      <c r="D927" s="18" t="s">
        <v>927</v>
      </c>
      <c r="E927" s="18" t="s">
        <v>2062</v>
      </c>
      <c r="F927" s="18">
        <v>565</v>
      </c>
      <c r="G927" s="18">
        <v>286</v>
      </c>
      <c r="H927" s="18">
        <v>101</v>
      </c>
      <c r="I927" s="18">
        <v>178</v>
      </c>
    </row>
    <row r="928" spans="1:9" x14ac:dyDescent="0.3">
      <c r="A928" t="s">
        <v>2043</v>
      </c>
      <c r="B928" s="18" t="s">
        <v>915</v>
      </c>
      <c r="C928" s="18" t="s">
        <v>916</v>
      </c>
      <c r="D928" s="18" t="s">
        <v>923</v>
      </c>
      <c r="E928" s="18" t="s">
        <v>2062</v>
      </c>
      <c r="F928" s="18">
        <v>769</v>
      </c>
      <c r="G928" s="18">
        <v>489</v>
      </c>
      <c r="H928" s="18">
        <v>69</v>
      </c>
      <c r="I928" s="18">
        <v>211</v>
      </c>
    </row>
    <row r="929" spans="1:9" x14ac:dyDescent="0.3">
      <c r="A929" t="s">
        <v>1866</v>
      </c>
      <c r="B929" s="18" t="s">
        <v>915</v>
      </c>
      <c r="C929" s="18" t="s">
        <v>916</v>
      </c>
      <c r="D929" s="18" t="s">
        <v>918</v>
      </c>
      <c r="E929" s="18" t="s">
        <v>2062</v>
      </c>
      <c r="F929" s="18">
        <v>1129</v>
      </c>
      <c r="G929" s="18">
        <v>648</v>
      </c>
      <c r="H929" s="18">
        <v>130</v>
      </c>
      <c r="I929" s="18">
        <v>351</v>
      </c>
    </row>
    <row r="930" spans="1:9" x14ac:dyDescent="0.3">
      <c r="A930" t="s">
        <v>1867</v>
      </c>
      <c r="B930" s="18" t="s">
        <v>915</v>
      </c>
      <c r="C930" s="18" t="s">
        <v>916</v>
      </c>
      <c r="D930" s="18" t="s">
        <v>920</v>
      </c>
      <c r="E930" s="18" t="s">
        <v>2062</v>
      </c>
      <c r="F930" s="18">
        <v>2359</v>
      </c>
      <c r="G930" s="18">
        <v>1328</v>
      </c>
      <c r="H930" s="18">
        <v>417</v>
      </c>
      <c r="I930" s="18">
        <v>614</v>
      </c>
    </row>
    <row r="931" spans="1:9" x14ac:dyDescent="0.3">
      <c r="A931" t="s">
        <v>1068</v>
      </c>
      <c r="B931" s="18" t="s">
        <v>915</v>
      </c>
      <c r="C931" s="18" t="s">
        <v>916</v>
      </c>
      <c r="D931" s="18" t="s">
        <v>919</v>
      </c>
      <c r="E931" s="18" t="s">
        <v>2062</v>
      </c>
      <c r="F931" s="18">
        <v>2408</v>
      </c>
      <c r="G931" s="18">
        <v>1434</v>
      </c>
      <c r="H931" s="18">
        <v>320</v>
      </c>
      <c r="I931" s="18">
        <v>654</v>
      </c>
    </row>
    <row r="932" spans="1:9" x14ac:dyDescent="0.3">
      <c r="A932" t="s">
        <v>1869</v>
      </c>
      <c r="B932" s="18" t="s">
        <v>915</v>
      </c>
      <c r="C932" s="18" t="s">
        <v>916</v>
      </c>
      <c r="D932" s="18" t="s">
        <v>325</v>
      </c>
      <c r="E932" s="18" t="s">
        <v>2062</v>
      </c>
      <c r="F932" s="18">
        <v>1258</v>
      </c>
      <c r="G932" s="18">
        <v>565</v>
      </c>
      <c r="H932" s="18">
        <v>197</v>
      </c>
      <c r="I932" s="18">
        <v>496</v>
      </c>
    </row>
    <row r="933" spans="1:9" x14ac:dyDescent="0.3">
      <c r="A933" t="s">
        <v>1195</v>
      </c>
      <c r="B933" s="18" t="s">
        <v>915</v>
      </c>
      <c r="C933" s="18" t="s">
        <v>916</v>
      </c>
      <c r="D933" s="18" t="s">
        <v>917</v>
      </c>
      <c r="E933" s="18" t="s">
        <v>2062</v>
      </c>
      <c r="F933" s="18">
        <v>22966</v>
      </c>
      <c r="G933" s="18">
        <v>15342</v>
      </c>
      <c r="H933" s="18">
        <v>2507</v>
      </c>
      <c r="I933" s="18">
        <v>5117</v>
      </c>
    </row>
    <row r="934" spans="1:9" x14ac:dyDescent="0.3">
      <c r="A934" t="s">
        <v>1868</v>
      </c>
      <c r="B934" s="18" t="s">
        <v>915</v>
      </c>
      <c r="C934" s="18" t="s">
        <v>916</v>
      </c>
      <c r="D934" s="18" t="s">
        <v>921</v>
      </c>
      <c r="E934" s="18" t="s">
        <v>2062</v>
      </c>
      <c r="F934" s="18">
        <v>3048</v>
      </c>
      <c r="G934" s="18">
        <v>1873</v>
      </c>
      <c r="H934" s="18">
        <v>540</v>
      </c>
      <c r="I934" s="18">
        <v>635</v>
      </c>
    </row>
    <row r="935" spans="1:9" x14ac:dyDescent="0.3">
      <c r="A935" t="s">
        <v>1196</v>
      </c>
      <c r="B935" s="18" t="s">
        <v>915</v>
      </c>
      <c r="C935" s="18" t="s">
        <v>916</v>
      </c>
      <c r="D935" s="18" t="s">
        <v>922</v>
      </c>
      <c r="E935" s="18" t="s">
        <v>2062</v>
      </c>
      <c r="F935" s="18">
        <v>2852</v>
      </c>
      <c r="G935" s="18">
        <v>1414</v>
      </c>
      <c r="H935" s="18">
        <v>500</v>
      </c>
      <c r="I935" s="18">
        <v>938</v>
      </c>
    </row>
    <row r="936" spans="1:9" x14ac:dyDescent="0.3">
      <c r="A936" t="s">
        <v>1871</v>
      </c>
      <c r="B936" s="18" t="s">
        <v>915</v>
      </c>
      <c r="C936" s="18" t="s">
        <v>928</v>
      </c>
      <c r="D936" s="18" t="s">
        <v>930</v>
      </c>
      <c r="E936" s="18" t="s">
        <v>2062</v>
      </c>
      <c r="F936" s="18">
        <v>346</v>
      </c>
      <c r="G936" s="18">
        <v>127</v>
      </c>
      <c r="H936" s="18">
        <v>81</v>
      </c>
      <c r="I936" s="18">
        <v>138</v>
      </c>
    </row>
    <row r="937" spans="1:9" x14ac:dyDescent="0.3">
      <c r="A937" t="s">
        <v>1872</v>
      </c>
      <c r="B937" s="18" t="s">
        <v>915</v>
      </c>
      <c r="C937" s="18" t="s">
        <v>928</v>
      </c>
      <c r="D937" s="18" t="s">
        <v>931</v>
      </c>
      <c r="E937" s="18" t="s">
        <v>2062</v>
      </c>
      <c r="F937" s="18">
        <v>29</v>
      </c>
      <c r="G937" s="18">
        <v>10</v>
      </c>
      <c r="H937" s="18">
        <v>2</v>
      </c>
      <c r="I937" s="18">
        <v>17</v>
      </c>
    </row>
    <row r="938" spans="1:9" x14ac:dyDescent="0.3">
      <c r="A938" t="s">
        <v>1182</v>
      </c>
      <c r="B938" s="18" t="s">
        <v>915</v>
      </c>
      <c r="C938" s="18" t="s">
        <v>928</v>
      </c>
      <c r="D938" s="18" t="s">
        <v>929</v>
      </c>
      <c r="E938" s="18" t="s">
        <v>2062</v>
      </c>
      <c r="F938" s="18">
        <v>1003</v>
      </c>
      <c r="G938" s="18">
        <v>513</v>
      </c>
      <c r="H938" s="18">
        <v>171</v>
      </c>
      <c r="I938" s="18">
        <v>319</v>
      </c>
    </row>
    <row r="939" spans="1:9" x14ac:dyDescent="0.3">
      <c r="A939" t="s">
        <v>2044</v>
      </c>
      <c r="B939" s="18" t="s">
        <v>915</v>
      </c>
      <c r="C939" s="18" t="s">
        <v>928</v>
      </c>
      <c r="D939" s="18" t="s">
        <v>932</v>
      </c>
      <c r="E939" s="18" t="s">
        <v>2062</v>
      </c>
      <c r="F939" s="18">
        <v>96</v>
      </c>
      <c r="G939" s="18">
        <v>54</v>
      </c>
      <c r="H939" s="18">
        <v>11</v>
      </c>
      <c r="I939" s="18">
        <v>31</v>
      </c>
    </row>
    <row r="940" spans="1:9" x14ac:dyDescent="0.3">
      <c r="A940" t="s">
        <v>1126</v>
      </c>
      <c r="B940" s="18" t="s">
        <v>915</v>
      </c>
      <c r="C940" s="18" t="s">
        <v>928</v>
      </c>
      <c r="D940" s="18" t="s">
        <v>934</v>
      </c>
      <c r="E940" s="18" t="s">
        <v>2062</v>
      </c>
      <c r="F940" s="18">
        <v>968</v>
      </c>
      <c r="G940" s="18">
        <v>549</v>
      </c>
      <c r="H940" s="18">
        <v>164</v>
      </c>
      <c r="I940" s="18">
        <v>255</v>
      </c>
    </row>
    <row r="941" spans="1:9" x14ac:dyDescent="0.3">
      <c r="A941" t="s">
        <v>1873</v>
      </c>
      <c r="B941" s="18" t="s">
        <v>915</v>
      </c>
      <c r="C941" s="18" t="s">
        <v>928</v>
      </c>
      <c r="D941" s="18" t="s">
        <v>933</v>
      </c>
      <c r="E941" s="18" t="s">
        <v>2062</v>
      </c>
      <c r="F941" s="18">
        <v>678</v>
      </c>
      <c r="G941" s="18">
        <v>408</v>
      </c>
      <c r="H941" s="18">
        <v>78</v>
      </c>
      <c r="I941" s="18">
        <v>192</v>
      </c>
    </row>
    <row r="942" spans="1:9" x14ac:dyDescent="0.3">
      <c r="A942" t="s">
        <v>1874</v>
      </c>
      <c r="B942" s="18" t="s">
        <v>915</v>
      </c>
      <c r="C942" s="18" t="s">
        <v>935</v>
      </c>
      <c r="D942" s="18" t="s">
        <v>936</v>
      </c>
      <c r="E942" s="18" t="s">
        <v>2062</v>
      </c>
      <c r="F942" s="18">
        <v>2239</v>
      </c>
      <c r="G942" s="18">
        <v>882</v>
      </c>
      <c r="H942" s="18">
        <v>567</v>
      </c>
      <c r="I942" s="18">
        <v>790</v>
      </c>
    </row>
    <row r="943" spans="1:9" x14ac:dyDescent="0.3">
      <c r="A943" t="s">
        <v>1875</v>
      </c>
      <c r="B943" s="18" t="s">
        <v>915</v>
      </c>
      <c r="C943" s="18" t="s">
        <v>935</v>
      </c>
      <c r="D943" s="18" t="s">
        <v>937</v>
      </c>
      <c r="E943" s="18" t="s">
        <v>2062</v>
      </c>
      <c r="F943" s="18">
        <v>233</v>
      </c>
      <c r="G943" s="18">
        <v>92</v>
      </c>
      <c r="H943" s="18">
        <v>57</v>
      </c>
      <c r="I943" s="18">
        <v>84</v>
      </c>
    </row>
    <row r="944" spans="1:9" x14ac:dyDescent="0.3">
      <c r="A944" t="s">
        <v>1049</v>
      </c>
      <c r="B944" s="18" t="s">
        <v>915</v>
      </c>
      <c r="C944" s="18" t="s">
        <v>935</v>
      </c>
      <c r="D944" s="18" t="s">
        <v>938</v>
      </c>
      <c r="E944" s="18" t="s">
        <v>2062</v>
      </c>
      <c r="F944" s="18">
        <v>1398</v>
      </c>
      <c r="G944" s="18">
        <v>871</v>
      </c>
      <c r="H944" s="18">
        <v>213</v>
      </c>
      <c r="I944" s="18">
        <v>314</v>
      </c>
    </row>
    <row r="945" spans="1:9" x14ac:dyDescent="0.3">
      <c r="A945" t="s">
        <v>1876</v>
      </c>
      <c r="B945" s="18" t="s">
        <v>915</v>
      </c>
      <c r="C945" s="18" t="s">
        <v>935</v>
      </c>
      <c r="D945" s="18" t="s">
        <v>317</v>
      </c>
      <c r="E945" s="18" t="s">
        <v>2062</v>
      </c>
      <c r="F945" s="18">
        <v>1583</v>
      </c>
      <c r="G945" s="18">
        <v>1011</v>
      </c>
      <c r="H945" s="18">
        <v>185</v>
      </c>
      <c r="I945" s="18">
        <v>387</v>
      </c>
    </row>
    <row r="946" spans="1:9" x14ac:dyDescent="0.3">
      <c r="A946" t="s">
        <v>1243</v>
      </c>
      <c r="B946" s="18" t="s">
        <v>915</v>
      </c>
      <c r="C946" s="18" t="s">
        <v>935</v>
      </c>
      <c r="D946" s="18" t="s">
        <v>935</v>
      </c>
      <c r="E946" s="18" t="s">
        <v>2062</v>
      </c>
      <c r="F946" s="18">
        <v>10768</v>
      </c>
      <c r="G946" s="18">
        <v>6539</v>
      </c>
      <c r="H946" s="18">
        <v>1815</v>
      </c>
      <c r="I946" s="18">
        <v>2414</v>
      </c>
    </row>
    <row r="947" spans="1:9" x14ac:dyDescent="0.3">
      <c r="A947" t="s">
        <v>2045</v>
      </c>
      <c r="B947" s="18" t="s">
        <v>915</v>
      </c>
      <c r="C947" s="18" t="s">
        <v>935</v>
      </c>
      <c r="D947" s="18" t="s">
        <v>939</v>
      </c>
      <c r="E947" s="18" t="s">
        <v>2062</v>
      </c>
      <c r="F947" s="18">
        <v>1623</v>
      </c>
      <c r="G947" s="18">
        <v>813</v>
      </c>
      <c r="H947" s="18">
        <v>274</v>
      </c>
      <c r="I947" s="18">
        <v>536</v>
      </c>
    </row>
    <row r="948" spans="1:9" x14ac:dyDescent="0.3">
      <c r="A948" t="s">
        <v>1041</v>
      </c>
      <c r="B948" s="18" t="s">
        <v>915</v>
      </c>
      <c r="C948" s="18" t="s">
        <v>915</v>
      </c>
      <c r="D948" s="18" t="s">
        <v>941</v>
      </c>
      <c r="E948" s="18" t="s">
        <v>2062</v>
      </c>
      <c r="F948" s="18">
        <v>503</v>
      </c>
      <c r="G948" s="18">
        <v>303</v>
      </c>
      <c r="H948" s="18">
        <v>33</v>
      </c>
      <c r="I948" s="18">
        <v>167</v>
      </c>
    </row>
    <row r="949" spans="1:9" x14ac:dyDescent="0.3">
      <c r="A949" t="s">
        <v>1040</v>
      </c>
      <c r="B949" s="18" t="s">
        <v>915</v>
      </c>
      <c r="C949" s="18" t="s">
        <v>915</v>
      </c>
      <c r="D949" s="18" t="s">
        <v>940</v>
      </c>
      <c r="E949" s="18" t="s">
        <v>2062</v>
      </c>
      <c r="F949" s="18">
        <v>329</v>
      </c>
      <c r="G949" s="18">
        <v>229</v>
      </c>
      <c r="H949" s="18">
        <v>28</v>
      </c>
      <c r="I949" s="18">
        <v>72</v>
      </c>
    </row>
    <row r="950" spans="1:9" x14ac:dyDescent="0.3">
      <c r="A950" t="s">
        <v>2046</v>
      </c>
      <c r="B950" s="18" t="s">
        <v>915</v>
      </c>
      <c r="C950" s="18" t="s">
        <v>915</v>
      </c>
      <c r="D950" s="18" t="s">
        <v>942</v>
      </c>
      <c r="E950" s="18" t="s">
        <v>2062</v>
      </c>
      <c r="F950" s="18">
        <v>56</v>
      </c>
      <c r="G950" s="18">
        <v>42</v>
      </c>
      <c r="H950" s="18">
        <v>6</v>
      </c>
      <c r="I950" s="18">
        <v>8</v>
      </c>
    </row>
    <row r="951" spans="1:9" x14ac:dyDescent="0.3">
      <c r="A951" t="s">
        <v>2047</v>
      </c>
      <c r="B951" s="18" t="s">
        <v>915</v>
      </c>
      <c r="C951" s="18" t="s">
        <v>915</v>
      </c>
      <c r="D951" s="18" t="s">
        <v>943</v>
      </c>
      <c r="E951" s="18" t="s">
        <v>2062</v>
      </c>
      <c r="F951" s="18">
        <v>102</v>
      </c>
      <c r="G951" s="18">
        <v>63</v>
      </c>
      <c r="H951" s="18">
        <v>11</v>
      </c>
      <c r="I951" s="18">
        <v>28</v>
      </c>
    </row>
    <row r="952" spans="1:9" x14ac:dyDescent="0.3">
      <c r="A952" t="s">
        <v>1163</v>
      </c>
      <c r="B952" s="18" t="s">
        <v>915</v>
      </c>
      <c r="C952" s="18" t="s">
        <v>915</v>
      </c>
      <c r="D952" s="18" t="s">
        <v>944</v>
      </c>
      <c r="E952" s="18" t="s">
        <v>2062</v>
      </c>
      <c r="F952" s="18">
        <v>249</v>
      </c>
      <c r="G952" s="18">
        <v>170</v>
      </c>
      <c r="H952" s="18">
        <v>16</v>
      </c>
      <c r="I952" s="18">
        <v>63</v>
      </c>
    </row>
    <row r="953" spans="1:9" x14ac:dyDescent="0.3">
      <c r="A953" t="s">
        <v>1227</v>
      </c>
      <c r="B953" s="18" t="s">
        <v>823</v>
      </c>
      <c r="C953" s="18" t="s">
        <v>824</v>
      </c>
      <c r="D953" s="18" t="s">
        <v>825</v>
      </c>
      <c r="E953" s="18" t="s">
        <v>2062</v>
      </c>
      <c r="F953" s="18">
        <v>1914</v>
      </c>
      <c r="G953" s="18">
        <v>1287</v>
      </c>
      <c r="H953" s="18">
        <v>103</v>
      </c>
      <c r="I953" s="18">
        <v>524</v>
      </c>
    </row>
    <row r="954" spans="1:9" x14ac:dyDescent="0.3">
      <c r="A954" t="s">
        <v>1369</v>
      </c>
      <c r="B954" s="18" t="s">
        <v>823</v>
      </c>
      <c r="C954" s="18" t="s">
        <v>824</v>
      </c>
      <c r="D954" s="18" t="s">
        <v>824</v>
      </c>
      <c r="E954" s="18" t="s">
        <v>2062</v>
      </c>
      <c r="F954" s="18">
        <v>70191</v>
      </c>
      <c r="G954" s="18">
        <v>47036</v>
      </c>
      <c r="H954" s="18">
        <v>4314</v>
      </c>
      <c r="I954" s="18">
        <v>18841</v>
      </c>
    </row>
    <row r="955" spans="1:9" x14ac:dyDescent="0.3">
      <c r="A955" t="s">
        <v>1252</v>
      </c>
      <c r="B955" s="18" t="s">
        <v>823</v>
      </c>
      <c r="C955" s="18" t="s">
        <v>824</v>
      </c>
      <c r="D955" s="18" t="s">
        <v>288</v>
      </c>
      <c r="E955" s="18" t="s">
        <v>2062</v>
      </c>
      <c r="F955" s="18">
        <v>5087</v>
      </c>
      <c r="G955" s="18">
        <v>3601</v>
      </c>
      <c r="H955" s="18">
        <v>243</v>
      </c>
      <c r="I955" s="18">
        <v>1243</v>
      </c>
    </row>
    <row r="956" spans="1:9" x14ac:dyDescent="0.3">
      <c r="A956" t="s">
        <v>1276</v>
      </c>
      <c r="B956" s="18" t="s">
        <v>823</v>
      </c>
      <c r="C956" s="18" t="s">
        <v>824</v>
      </c>
      <c r="D956" s="18" t="s">
        <v>826</v>
      </c>
      <c r="E956" s="18" t="s">
        <v>2062</v>
      </c>
      <c r="F956" s="18">
        <v>3014</v>
      </c>
      <c r="G956" s="18">
        <v>2038</v>
      </c>
      <c r="H956" s="18">
        <v>148</v>
      </c>
      <c r="I956" s="18">
        <v>828</v>
      </c>
    </row>
    <row r="957" spans="1:9" x14ac:dyDescent="0.3">
      <c r="A957" t="s">
        <v>1228</v>
      </c>
      <c r="B957" s="18" t="s">
        <v>823</v>
      </c>
      <c r="C957" s="18" t="s">
        <v>824</v>
      </c>
      <c r="D957" s="18" t="s">
        <v>827</v>
      </c>
      <c r="E957" s="18" t="s">
        <v>2062</v>
      </c>
      <c r="F957" s="18">
        <v>1431</v>
      </c>
      <c r="G957" s="18">
        <v>968</v>
      </c>
      <c r="H957" s="18">
        <v>102</v>
      </c>
      <c r="I957" s="18">
        <v>361</v>
      </c>
    </row>
    <row r="958" spans="1:9" x14ac:dyDescent="0.3">
      <c r="A958" t="s">
        <v>1331</v>
      </c>
      <c r="B958" s="18" t="s">
        <v>823</v>
      </c>
      <c r="C958" s="18" t="s">
        <v>824</v>
      </c>
      <c r="D958" s="18" t="s">
        <v>837</v>
      </c>
      <c r="E958" s="18" t="s">
        <v>2062</v>
      </c>
      <c r="F958" s="18">
        <v>1950</v>
      </c>
      <c r="G958" s="18">
        <v>1349</v>
      </c>
      <c r="H958" s="18">
        <v>88</v>
      </c>
      <c r="I958" s="18">
        <v>513</v>
      </c>
    </row>
    <row r="959" spans="1:9" x14ac:dyDescent="0.3">
      <c r="A959" t="s">
        <v>1235</v>
      </c>
      <c r="B959" s="18" t="s">
        <v>823</v>
      </c>
      <c r="C959" s="18" t="s">
        <v>824</v>
      </c>
      <c r="D959" s="18" t="s">
        <v>828</v>
      </c>
      <c r="E959" s="18" t="s">
        <v>2062</v>
      </c>
      <c r="F959" s="18">
        <v>5645</v>
      </c>
      <c r="G959" s="18">
        <v>3992</v>
      </c>
      <c r="H959" s="18">
        <v>321</v>
      </c>
      <c r="I959" s="18">
        <v>1332</v>
      </c>
    </row>
    <row r="960" spans="1:9" x14ac:dyDescent="0.3">
      <c r="A960" t="s">
        <v>1261</v>
      </c>
      <c r="B960" s="18" t="s">
        <v>823</v>
      </c>
      <c r="C960" s="18" t="s">
        <v>824</v>
      </c>
      <c r="D960" s="18" t="s">
        <v>829</v>
      </c>
      <c r="E960" s="18" t="s">
        <v>2062</v>
      </c>
      <c r="F960" s="18">
        <v>8424</v>
      </c>
      <c r="G960" s="18">
        <v>5605</v>
      </c>
      <c r="H960" s="18">
        <v>299</v>
      </c>
      <c r="I960" s="18">
        <v>2520</v>
      </c>
    </row>
    <row r="961" spans="1:9" x14ac:dyDescent="0.3">
      <c r="A961" t="s">
        <v>1353</v>
      </c>
      <c r="B961" s="18" t="s">
        <v>823</v>
      </c>
      <c r="C961" s="18" t="s">
        <v>824</v>
      </c>
      <c r="D961" s="18" t="s">
        <v>830</v>
      </c>
      <c r="E961" s="18" t="s">
        <v>2062</v>
      </c>
      <c r="F961" s="18">
        <v>2735</v>
      </c>
      <c r="G961" s="18">
        <v>1896</v>
      </c>
      <c r="H961" s="18">
        <v>124</v>
      </c>
      <c r="I961" s="18">
        <v>715</v>
      </c>
    </row>
    <row r="962" spans="1:9" x14ac:dyDescent="0.3">
      <c r="A962" t="s">
        <v>1222</v>
      </c>
      <c r="B962" s="18" t="s">
        <v>823</v>
      </c>
      <c r="C962" s="18" t="s">
        <v>824</v>
      </c>
      <c r="D962" s="18" t="s">
        <v>397</v>
      </c>
      <c r="E962" s="18" t="s">
        <v>2062</v>
      </c>
      <c r="F962" s="18">
        <v>2195</v>
      </c>
      <c r="G962" s="18">
        <v>1466</v>
      </c>
      <c r="H962" s="18">
        <v>141</v>
      </c>
      <c r="I962" s="18">
        <v>588</v>
      </c>
    </row>
    <row r="963" spans="1:9" x14ac:dyDescent="0.3">
      <c r="A963" t="s">
        <v>1296</v>
      </c>
      <c r="B963" s="18" t="s">
        <v>823</v>
      </c>
      <c r="C963" s="18" t="s">
        <v>824</v>
      </c>
      <c r="D963" s="18" t="s">
        <v>831</v>
      </c>
      <c r="E963" s="18" t="s">
        <v>2062</v>
      </c>
      <c r="F963" s="18">
        <v>1542</v>
      </c>
      <c r="G963" s="18">
        <v>813</v>
      </c>
      <c r="H963" s="18">
        <v>115</v>
      </c>
      <c r="I963" s="18">
        <v>614</v>
      </c>
    </row>
    <row r="964" spans="1:9" x14ac:dyDescent="0.3">
      <c r="A964" t="s">
        <v>1237</v>
      </c>
      <c r="B964" s="18" t="s">
        <v>823</v>
      </c>
      <c r="C964" s="18" t="s">
        <v>824</v>
      </c>
      <c r="D964" s="18" t="s">
        <v>832</v>
      </c>
      <c r="E964" s="18" t="s">
        <v>2062</v>
      </c>
      <c r="F964" s="18">
        <v>3802</v>
      </c>
      <c r="G964" s="18">
        <v>2500</v>
      </c>
      <c r="H964" s="18">
        <v>185</v>
      </c>
      <c r="I964" s="18">
        <v>1117</v>
      </c>
    </row>
    <row r="965" spans="1:9" x14ac:dyDescent="0.3">
      <c r="A965" t="s">
        <v>1321</v>
      </c>
      <c r="B965" s="18" t="s">
        <v>823</v>
      </c>
      <c r="C965" s="18" t="s">
        <v>824</v>
      </c>
      <c r="D965" s="18" t="s">
        <v>2068</v>
      </c>
      <c r="E965" s="18" t="s">
        <v>2062</v>
      </c>
      <c r="F965" s="18">
        <v>4011</v>
      </c>
      <c r="G965" s="18">
        <v>2599</v>
      </c>
      <c r="H965" s="18">
        <v>165</v>
      </c>
      <c r="I965" s="18">
        <v>1247</v>
      </c>
    </row>
    <row r="966" spans="1:9" x14ac:dyDescent="0.3">
      <c r="A966" t="s">
        <v>1377</v>
      </c>
      <c r="B966" s="18" t="s">
        <v>823</v>
      </c>
      <c r="C966" s="18" t="s">
        <v>824</v>
      </c>
      <c r="D966" s="18" t="s">
        <v>834</v>
      </c>
      <c r="E966" s="18" t="s">
        <v>2062</v>
      </c>
      <c r="F966" s="18">
        <v>3696</v>
      </c>
      <c r="G966" s="18">
        <v>2392</v>
      </c>
      <c r="H966" s="18">
        <v>179</v>
      </c>
      <c r="I966" s="18">
        <v>1125</v>
      </c>
    </row>
    <row r="967" spans="1:9" x14ac:dyDescent="0.3">
      <c r="A967" t="s">
        <v>1257</v>
      </c>
      <c r="B967" s="18" t="s">
        <v>823</v>
      </c>
      <c r="C967" s="18" t="s">
        <v>824</v>
      </c>
      <c r="D967" s="18" t="s">
        <v>835</v>
      </c>
      <c r="E967" s="18" t="s">
        <v>2062</v>
      </c>
      <c r="F967" s="18">
        <v>3727</v>
      </c>
      <c r="G967" s="18">
        <v>2585</v>
      </c>
      <c r="H967" s="18">
        <v>183</v>
      </c>
      <c r="I967" s="18">
        <v>959</v>
      </c>
    </row>
    <row r="968" spans="1:9" x14ac:dyDescent="0.3">
      <c r="A968" t="s">
        <v>1823</v>
      </c>
      <c r="B968" s="18" t="s">
        <v>823</v>
      </c>
      <c r="C968" s="18" t="s">
        <v>824</v>
      </c>
      <c r="D968" s="18" t="s">
        <v>62</v>
      </c>
      <c r="E968" s="18" t="s">
        <v>2062</v>
      </c>
      <c r="F968" s="18">
        <v>695</v>
      </c>
      <c r="G968" s="18">
        <v>278</v>
      </c>
      <c r="H968" s="18">
        <v>94</v>
      </c>
      <c r="I968" s="18">
        <v>323</v>
      </c>
    </row>
    <row r="969" spans="1:9" x14ac:dyDescent="0.3">
      <c r="A969" t="s">
        <v>1327</v>
      </c>
      <c r="B969" s="18" t="s">
        <v>823</v>
      </c>
      <c r="C969" s="18" t="s">
        <v>824</v>
      </c>
      <c r="D969" s="18" t="s">
        <v>323</v>
      </c>
      <c r="E969" s="18" t="s">
        <v>2062</v>
      </c>
      <c r="F969" s="18">
        <v>9468</v>
      </c>
      <c r="G969" s="18">
        <v>6720</v>
      </c>
      <c r="H969" s="18">
        <v>483</v>
      </c>
      <c r="I969" s="18">
        <v>2265</v>
      </c>
    </row>
    <row r="970" spans="1:9" x14ac:dyDescent="0.3">
      <c r="A970" t="s">
        <v>1248</v>
      </c>
      <c r="B970" s="18" t="s">
        <v>823</v>
      </c>
      <c r="C970" s="18" t="s">
        <v>824</v>
      </c>
      <c r="D970" s="18" t="s">
        <v>836</v>
      </c>
      <c r="E970" s="18" t="s">
        <v>2062</v>
      </c>
      <c r="F970" s="18">
        <v>3455</v>
      </c>
      <c r="G970" s="18">
        <v>2332</v>
      </c>
      <c r="H970" s="18">
        <v>233</v>
      </c>
      <c r="I970" s="18">
        <v>890</v>
      </c>
    </row>
    <row r="971" spans="1:9" x14ac:dyDescent="0.3">
      <c r="A971" t="s">
        <v>1224</v>
      </c>
      <c r="B971" s="18" t="s">
        <v>823</v>
      </c>
      <c r="C971" s="18" t="s">
        <v>824</v>
      </c>
      <c r="D971" s="18" t="s">
        <v>838</v>
      </c>
      <c r="E971" s="18" t="s">
        <v>2062</v>
      </c>
      <c r="F971" s="18">
        <v>2115</v>
      </c>
      <c r="G971" s="18">
        <v>1562</v>
      </c>
      <c r="H971" s="18">
        <v>101</v>
      </c>
      <c r="I971" s="18">
        <v>452</v>
      </c>
    </row>
    <row r="972" spans="1:9" x14ac:dyDescent="0.3">
      <c r="A972" t="s">
        <v>1411</v>
      </c>
      <c r="B972" s="18" t="s">
        <v>823</v>
      </c>
      <c r="C972" s="18" t="s">
        <v>839</v>
      </c>
      <c r="D972" s="18" t="s">
        <v>15</v>
      </c>
      <c r="E972" s="18" t="s">
        <v>2062</v>
      </c>
      <c r="F972" s="18">
        <v>6003</v>
      </c>
      <c r="G972" s="18">
        <v>4257</v>
      </c>
      <c r="H972" s="18">
        <v>224</v>
      </c>
      <c r="I972" s="18">
        <v>1522</v>
      </c>
    </row>
    <row r="973" spans="1:9" x14ac:dyDescent="0.3">
      <c r="A973" t="s">
        <v>1824</v>
      </c>
      <c r="B973" s="18" t="s">
        <v>823</v>
      </c>
      <c r="C973" s="18" t="s">
        <v>839</v>
      </c>
      <c r="D973" s="18" t="s">
        <v>840</v>
      </c>
      <c r="E973" s="18" t="s">
        <v>2062</v>
      </c>
      <c r="F973" s="18">
        <v>140</v>
      </c>
      <c r="G973" s="18">
        <v>84</v>
      </c>
      <c r="H973" s="18">
        <v>4</v>
      </c>
      <c r="I973" s="18">
        <v>52</v>
      </c>
    </row>
    <row r="974" spans="1:9" x14ac:dyDescent="0.3">
      <c r="A974" t="s">
        <v>1825</v>
      </c>
      <c r="B974" s="18" t="s">
        <v>823</v>
      </c>
      <c r="C974" s="18" t="s">
        <v>839</v>
      </c>
      <c r="D974" s="18" t="s">
        <v>841</v>
      </c>
      <c r="E974" s="18" t="s">
        <v>2062</v>
      </c>
      <c r="F974" s="18">
        <v>495</v>
      </c>
      <c r="G974" s="18">
        <v>342</v>
      </c>
      <c r="H974" s="18">
        <v>40</v>
      </c>
      <c r="I974" s="18">
        <v>113</v>
      </c>
    </row>
    <row r="975" spans="1:9" x14ac:dyDescent="0.3">
      <c r="A975" t="s">
        <v>1826</v>
      </c>
      <c r="B975" s="18" t="s">
        <v>823</v>
      </c>
      <c r="C975" s="18" t="s">
        <v>839</v>
      </c>
      <c r="D975" s="18" t="s">
        <v>842</v>
      </c>
      <c r="E975" s="18" t="s">
        <v>2062</v>
      </c>
      <c r="F975" s="18">
        <v>537</v>
      </c>
      <c r="G975" s="18">
        <v>378</v>
      </c>
      <c r="H975" s="18">
        <v>50</v>
      </c>
      <c r="I975" s="18">
        <v>109</v>
      </c>
    </row>
    <row r="976" spans="1:9" x14ac:dyDescent="0.3">
      <c r="A976" t="s">
        <v>1827</v>
      </c>
      <c r="B976" s="18" t="s">
        <v>823</v>
      </c>
      <c r="C976" s="18" t="s">
        <v>839</v>
      </c>
      <c r="D976" s="18" t="s">
        <v>843</v>
      </c>
      <c r="E976" s="18" t="s">
        <v>2062</v>
      </c>
      <c r="F976" s="18">
        <v>1154</v>
      </c>
      <c r="G976" s="18">
        <v>748</v>
      </c>
      <c r="H976" s="18">
        <v>69</v>
      </c>
      <c r="I976" s="18">
        <v>337</v>
      </c>
    </row>
    <row r="977" spans="1:9" x14ac:dyDescent="0.3">
      <c r="A977" t="s">
        <v>1254</v>
      </c>
      <c r="B977" s="18" t="s">
        <v>823</v>
      </c>
      <c r="C977" s="18" t="s">
        <v>844</v>
      </c>
      <c r="D977" s="18" t="s">
        <v>844</v>
      </c>
      <c r="E977" s="18" t="s">
        <v>2062</v>
      </c>
      <c r="F977" s="18">
        <v>3836</v>
      </c>
      <c r="G977" s="18">
        <v>2652</v>
      </c>
      <c r="H977" s="18">
        <v>199</v>
      </c>
      <c r="I977" s="18">
        <v>985</v>
      </c>
    </row>
    <row r="978" spans="1:9" x14ac:dyDescent="0.3">
      <c r="A978" t="s">
        <v>1305</v>
      </c>
      <c r="B978" s="18" t="s">
        <v>823</v>
      </c>
      <c r="C978" s="18" t="s">
        <v>845</v>
      </c>
      <c r="D978" s="18" t="s">
        <v>845</v>
      </c>
      <c r="E978" s="18" t="s">
        <v>2062</v>
      </c>
      <c r="F978" s="18">
        <v>2226</v>
      </c>
      <c r="G978" s="18">
        <v>1514</v>
      </c>
      <c r="H978" s="18">
        <v>138</v>
      </c>
      <c r="I978" s="18">
        <v>574</v>
      </c>
    </row>
    <row r="979" spans="1:9" x14ac:dyDescent="0.3">
      <c r="A979" t="s">
        <v>1074</v>
      </c>
      <c r="B979" s="18" t="s">
        <v>823</v>
      </c>
      <c r="C979" s="18" t="s">
        <v>845</v>
      </c>
      <c r="D979" s="18" t="s">
        <v>846</v>
      </c>
      <c r="E979" s="18" t="s">
        <v>2062</v>
      </c>
      <c r="F979" s="18">
        <v>563</v>
      </c>
      <c r="G979" s="18">
        <v>372</v>
      </c>
      <c r="H979" s="18">
        <v>56</v>
      </c>
      <c r="I979" s="18">
        <v>135</v>
      </c>
    </row>
    <row r="980" spans="1:9" x14ac:dyDescent="0.3">
      <c r="A980" t="s">
        <v>2032</v>
      </c>
      <c r="B980" s="18" t="s">
        <v>823</v>
      </c>
      <c r="C980" s="18" t="s">
        <v>847</v>
      </c>
      <c r="D980" s="18" t="s">
        <v>419</v>
      </c>
      <c r="E980" s="18" t="s">
        <v>2062</v>
      </c>
      <c r="F980" s="18">
        <v>489</v>
      </c>
      <c r="G980" s="18">
        <v>331</v>
      </c>
      <c r="H980" s="18">
        <v>2</v>
      </c>
      <c r="I980" s="18">
        <v>156</v>
      </c>
    </row>
    <row r="981" spans="1:9" x14ac:dyDescent="0.3">
      <c r="A981" t="s">
        <v>1828</v>
      </c>
      <c r="B981" s="18" t="s">
        <v>823</v>
      </c>
      <c r="C981" s="18" t="s">
        <v>847</v>
      </c>
      <c r="D981" s="18" t="s">
        <v>161</v>
      </c>
      <c r="E981" s="18" t="s">
        <v>2062</v>
      </c>
      <c r="F981" s="18">
        <v>508</v>
      </c>
      <c r="G981" s="18">
        <v>337</v>
      </c>
      <c r="H981" s="18">
        <v>41</v>
      </c>
      <c r="I981" s="18">
        <v>130</v>
      </c>
    </row>
    <row r="982" spans="1:9" x14ac:dyDescent="0.3">
      <c r="A982" t="s">
        <v>1298</v>
      </c>
      <c r="B982" s="18" t="s">
        <v>823</v>
      </c>
      <c r="C982" s="18" t="s">
        <v>847</v>
      </c>
      <c r="D982" s="18" t="s">
        <v>847</v>
      </c>
      <c r="E982" s="18" t="s">
        <v>2062</v>
      </c>
      <c r="F982" s="18">
        <v>3397</v>
      </c>
      <c r="G982" s="18">
        <v>2207</v>
      </c>
      <c r="H982" s="18">
        <v>240</v>
      </c>
      <c r="I982" s="18">
        <v>950</v>
      </c>
    </row>
    <row r="983" spans="1:9" x14ac:dyDescent="0.3">
      <c r="A983" t="s">
        <v>1829</v>
      </c>
      <c r="B983" s="18" t="s">
        <v>823</v>
      </c>
      <c r="C983" s="18" t="s">
        <v>847</v>
      </c>
      <c r="D983" s="18" t="s">
        <v>649</v>
      </c>
      <c r="E983" s="18" t="s">
        <v>2062</v>
      </c>
      <c r="F983" s="18">
        <v>770</v>
      </c>
      <c r="G983" s="18">
        <v>359</v>
      </c>
      <c r="H983" s="18">
        <v>182</v>
      </c>
      <c r="I983" s="18">
        <v>229</v>
      </c>
    </row>
    <row r="984" spans="1:9" x14ac:dyDescent="0.3">
      <c r="A984" t="s">
        <v>1376</v>
      </c>
      <c r="B984" s="18" t="s">
        <v>823</v>
      </c>
      <c r="C984" s="18" t="s">
        <v>848</v>
      </c>
      <c r="D984" s="18" t="s">
        <v>848</v>
      </c>
      <c r="E984" s="18" t="s">
        <v>2062</v>
      </c>
      <c r="F984" s="18">
        <v>5261</v>
      </c>
      <c r="G984" s="18">
        <v>3757</v>
      </c>
      <c r="H984" s="18">
        <v>227</v>
      </c>
      <c r="I984" s="18">
        <v>1277</v>
      </c>
    </row>
    <row r="985" spans="1:9" x14ac:dyDescent="0.3">
      <c r="A985" t="s">
        <v>1830</v>
      </c>
      <c r="B985" s="18" t="s">
        <v>823</v>
      </c>
      <c r="C985" s="18" t="s">
        <v>848</v>
      </c>
      <c r="D985" s="18" t="s">
        <v>818</v>
      </c>
      <c r="E985" s="18" t="s">
        <v>2062</v>
      </c>
      <c r="F985" s="18">
        <v>1102</v>
      </c>
      <c r="G985" s="18">
        <v>799</v>
      </c>
      <c r="H985" s="18">
        <v>42</v>
      </c>
      <c r="I985" s="18">
        <v>261</v>
      </c>
    </row>
    <row r="986" spans="1:9" x14ac:dyDescent="0.3">
      <c r="A986" t="s">
        <v>1064</v>
      </c>
      <c r="B986" s="18" t="s">
        <v>823</v>
      </c>
      <c r="C986" s="18" t="s">
        <v>848</v>
      </c>
      <c r="D986" s="18" t="s">
        <v>2069</v>
      </c>
      <c r="E986" s="18" t="s">
        <v>2062</v>
      </c>
      <c r="F986" s="18">
        <v>639</v>
      </c>
      <c r="G986" s="18">
        <v>472</v>
      </c>
      <c r="H986" s="18">
        <v>24</v>
      </c>
      <c r="I986" s="18">
        <v>143</v>
      </c>
    </row>
    <row r="987" spans="1:9" x14ac:dyDescent="0.3">
      <c r="A987" t="s">
        <v>1176</v>
      </c>
      <c r="B987" s="18" t="s">
        <v>823</v>
      </c>
      <c r="C987" s="18" t="s">
        <v>850</v>
      </c>
      <c r="D987" s="18" t="s">
        <v>852</v>
      </c>
      <c r="E987" s="18" t="s">
        <v>2062</v>
      </c>
      <c r="F987" s="18">
        <v>939</v>
      </c>
      <c r="G987" s="18">
        <v>582</v>
      </c>
      <c r="H987" s="18">
        <v>80</v>
      </c>
      <c r="I987" s="18">
        <v>277</v>
      </c>
    </row>
    <row r="988" spans="1:9" x14ac:dyDescent="0.3">
      <c r="A988" t="s">
        <v>1831</v>
      </c>
      <c r="B988" s="18" t="s">
        <v>823</v>
      </c>
      <c r="C988" s="18" t="s">
        <v>850</v>
      </c>
      <c r="D988" s="18" t="s">
        <v>90</v>
      </c>
      <c r="E988" s="18" t="s">
        <v>2062</v>
      </c>
      <c r="F988" s="18">
        <v>1087</v>
      </c>
      <c r="G988" s="18">
        <v>786</v>
      </c>
      <c r="H988" s="18">
        <v>32</v>
      </c>
      <c r="I988" s="18">
        <v>269</v>
      </c>
    </row>
    <row r="989" spans="1:9" x14ac:dyDescent="0.3">
      <c r="A989" t="s">
        <v>1413</v>
      </c>
      <c r="B989" s="18" t="s">
        <v>823</v>
      </c>
      <c r="C989" s="18" t="s">
        <v>850</v>
      </c>
      <c r="D989" s="18" t="s">
        <v>854</v>
      </c>
      <c r="E989" s="18" t="s">
        <v>2062</v>
      </c>
      <c r="F989" s="18">
        <v>945</v>
      </c>
      <c r="G989" s="18">
        <v>744</v>
      </c>
      <c r="H989" s="18">
        <v>6</v>
      </c>
      <c r="I989" s="18">
        <v>195</v>
      </c>
    </row>
    <row r="990" spans="1:9" x14ac:dyDescent="0.3">
      <c r="A990" t="s">
        <v>1832</v>
      </c>
      <c r="B990" s="18" t="s">
        <v>823</v>
      </c>
      <c r="C990" s="18" t="s">
        <v>850</v>
      </c>
      <c r="D990" s="18" t="s">
        <v>853</v>
      </c>
      <c r="E990" s="18" t="s">
        <v>2062</v>
      </c>
      <c r="F990" s="18">
        <v>819</v>
      </c>
      <c r="G990" s="18">
        <v>632</v>
      </c>
      <c r="H990" s="18">
        <v>19</v>
      </c>
      <c r="I990" s="18">
        <v>168</v>
      </c>
    </row>
    <row r="991" spans="1:9" x14ac:dyDescent="0.3">
      <c r="A991" t="s">
        <v>1146</v>
      </c>
      <c r="B991" s="18" t="s">
        <v>823</v>
      </c>
      <c r="C991" s="18" t="s">
        <v>850</v>
      </c>
      <c r="D991" s="18" t="s">
        <v>418</v>
      </c>
      <c r="E991" s="18" t="s">
        <v>2062</v>
      </c>
      <c r="F991" s="18">
        <v>899</v>
      </c>
      <c r="G991" s="18">
        <v>615</v>
      </c>
      <c r="H991" s="18">
        <v>54</v>
      </c>
      <c r="I991" s="18">
        <v>230</v>
      </c>
    </row>
    <row r="992" spans="1:9" x14ac:dyDescent="0.3">
      <c r="A992" t="s">
        <v>1169</v>
      </c>
      <c r="B992" s="18" t="s">
        <v>823</v>
      </c>
      <c r="C992" s="18" t="s">
        <v>850</v>
      </c>
      <c r="D992" s="18" t="s">
        <v>160</v>
      </c>
      <c r="E992" s="18" t="s">
        <v>2062</v>
      </c>
      <c r="F992" s="18">
        <v>2789</v>
      </c>
      <c r="G992" s="18">
        <v>1802</v>
      </c>
      <c r="H992" s="18">
        <v>117</v>
      </c>
      <c r="I992" s="18">
        <v>870</v>
      </c>
    </row>
    <row r="993" spans="1:9" x14ac:dyDescent="0.3">
      <c r="A993" t="s">
        <v>1833</v>
      </c>
      <c r="B993" s="18" t="s">
        <v>823</v>
      </c>
      <c r="C993" s="18" t="s">
        <v>850</v>
      </c>
      <c r="D993" s="18" t="s">
        <v>855</v>
      </c>
      <c r="E993" s="18" t="s">
        <v>2062</v>
      </c>
      <c r="F993" s="18">
        <v>3073</v>
      </c>
      <c r="G993" s="18">
        <v>2223</v>
      </c>
      <c r="H993" s="18">
        <v>126</v>
      </c>
      <c r="I993" s="18">
        <v>724</v>
      </c>
    </row>
    <row r="994" spans="1:9" x14ac:dyDescent="0.3">
      <c r="A994" t="s">
        <v>1271</v>
      </c>
      <c r="B994" s="18" t="s">
        <v>823</v>
      </c>
      <c r="C994" s="18" t="s">
        <v>850</v>
      </c>
      <c r="D994" s="18" t="s">
        <v>851</v>
      </c>
      <c r="E994" s="18" t="s">
        <v>2062</v>
      </c>
      <c r="F994" s="18">
        <v>10021</v>
      </c>
      <c r="G994" s="18">
        <v>7022</v>
      </c>
      <c r="H994" s="18">
        <v>419</v>
      </c>
      <c r="I994" s="18">
        <v>2580</v>
      </c>
    </row>
    <row r="995" spans="1:9" x14ac:dyDescent="0.3">
      <c r="A995" t="s">
        <v>1223</v>
      </c>
      <c r="B995" s="18" t="s">
        <v>823</v>
      </c>
      <c r="C995" s="18" t="s">
        <v>850</v>
      </c>
      <c r="D995" s="18" t="s">
        <v>856</v>
      </c>
      <c r="E995" s="18" t="s">
        <v>2062</v>
      </c>
      <c r="F995" s="18">
        <v>2235</v>
      </c>
      <c r="G995" s="18">
        <v>1051</v>
      </c>
      <c r="H995" s="18">
        <v>441</v>
      </c>
      <c r="I995" s="18">
        <v>743</v>
      </c>
    </row>
    <row r="996" spans="1:9" x14ac:dyDescent="0.3">
      <c r="A996" t="s">
        <v>1834</v>
      </c>
      <c r="B996" s="18" t="s">
        <v>823</v>
      </c>
      <c r="C996" s="18" t="s">
        <v>857</v>
      </c>
      <c r="D996" s="18" t="s">
        <v>859</v>
      </c>
      <c r="E996" s="18" t="s">
        <v>2062</v>
      </c>
      <c r="F996" s="18">
        <v>106</v>
      </c>
      <c r="G996" s="18">
        <v>62</v>
      </c>
      <c r="H996" s="18">
        <v>21</v>
      </c>
      <c r="I996" s="18">
        <v>23</v>
      </c>
    </row>
    <row r="997" spans="1:9" x14ac:dyDescent="0.3">
      <c r="A997" t="s">
        <v>1835</v>
      </c>
      <c r="B997" s="18" t="s">
        <v>823</v>
      </c>
      <c r="C997" s="18" t="s">
        <v>857</v>
      </c>
      <c r="D997" s="18" t="s">
        <v>860</v>
      </c>
      <c r="E997" s="18" t="s">
        <v>2062</v>
      </c>
      <c r="F997" s="18">
        <v>541</v>
      </c>
      <c r="G997" s="18">
        <v>244</v>
      </c>
      <c r="H997" s="18">
        <v>142</v>
      </c>
      <c r="I997" s="18">
        <v>155</v>
      </c>
    </row>
    <row r="998" spans="1:9" x14ac:dyDescent="0.3">
      <c r="A998" t="s">
        <v>1357</v>
      </c>
      <c r="B998" s="18" t="s">
        <v>823</v>
      </c>
      <c r="C998" s="18" t="s">
        <v>857</v>
      </c>
      <c r="D998" s="18" t="s">
        <v>861</v>
      </c>
      <c r="E998" s="18" t="s">
        <v>2062</v>
      </c>
      <c r="F998" s="18">
        <v>879</v>
      </c>
      <c r="G998" s="18">
        <v>605</v>
      </c>
      <c r="H998" s="18">
        <v>48</v>
      </c>
      <c r="I998" s="18">
        <v>226</v>
      </c>
    </row>
    <row r="999" spans="1:9" x14ac:dyDescent="0.3">
      <c r="A999" t="s">
        <v>1279</v>
      </c>
      <c r="B999" s="18" t="s">
        <v>823</v>
      </c>
      <c r="C999" s="18" t="s">
        <v>857</v>
      </c>
      <c r="D999" s="18" t="s">
        <v>858</v>
      </c>
      <c r="E999" s="18" t="s">
        <v>2062</v>
      </c>
      <c r="F999" s="18">
        <v>5847</v>
      </c>
      <c r="G999" s="18">
        <v>3835</v>
      </c>
      <c r="H999" s="18">
        <v>348</v>
      </c>
      <c r="I999" s="18">
        <v>1664</v>
      </c>
    </row>
    <row r="1000" spans="1:9" x14ac:dyDescent="0.3">
      <c r="A1000" t="s">
        <v>1358</v>
      </c>
      <c r="B1000" s="18" t="s">
        <v>823</v>
      </c>
      <c r="C1000" s="18" t="s">
        <v>857</v>
      </c>
      <c r="D1000" s="18" t="s">
        <v>862</v>
      </c>
      <c r="E1000" s="18" t="s">
        <v>2062</v>
      </c>
      <c r="F1000" s="18">
        <v>1180</v>
      </c>
      <c r="G1000" s="18">
        <v>681</v>
      </c>
      <c r="H1000" s="18">
        <v>114</v>
      </c>
      <c r="I1000" s="18">
        <v>385</v>
      </c>
    </row>
    <row r="1001" spans="1:9" x14ac:dyDescent="0.3">
      <c r="A1001" t="s">
        <v>1241</v>
      </c>
      <c r="B1001" s="18" t="s">
        <v>823</v>
      </c>
      <c r="C1001" s="18" t="s">
        <v>857</v>
      </c>
      <c r="D1001" s="18" t="s">
        <v>266</v>
      </c>
      <c r="E1001" s="18" t="s">
        <v>2062</v>
      </c>
      <c r="F1001" s="18">
        <v>4318</v>
      </c>
      <c r="G1001" s="18">
        <v>2381</v>
      </c>
      <c r="H1001" s="18">
        <v>632</v>
      </c>
      <c r="I1001" s="18">
        <v>1305</v>
      </c>
    </row>
    <row r="1002" spans="1:9" x14ac:dyDescent="0.3">
      <c r="A1002" t="s">
        <v>1836</v>
      </c>
      <c r="B1002" s="18" t="s">
        <v>823</v>
      </c>
      <c r="C1002" s="18" t="s">
        <v>857</v>
      </c>
      <c r="D1002" s="18" t="s">
        <v>863</v>
      </c>
      <c r="E1002" s="18" t="s">
        <v>2062</v>
      </c>
      <c r="F1002" s="18">
        <v>689</v>
      </c>
      <c r="G1002" s="18">
        <v>311</v>
      </c>
      <c r="H1002" s="18">
        <v>153</v>
      </c>
      <c r="I1002" s="18">
        <v>225</v>
      </c>
    </row>
    <row r="1003" spans="1:9" x14ac:dyDescent="0.3">
      <c r="A1003" t="s">
        <v>1837</v>
      </c>
      <c r="B1003" s="18" t="s">
        <v>823</v>
      </c>
      <c r="C1003" s="18" t="s">
        <v>857</v>
      </c>
      <c r="D1003" s="18" t="s">
        <v>864</v>
      </c>
      <c r="E1003" s="18" t="s">
        <v>2062</v>
      </c>
      <c r="F1003" s="18">
        <v>1882</v>
      </c>
      <c r="G1003" s="18">
        <v>1198</v>
      </c>
      <c r="H1003" s="18">
        <v>108</v>
      </c>
      <c r="I1003" s="18">
        <v>576</v>
      </c>
    </row>
    <row r="1004" spans="1:9" x14ac:dyDescent="0.3">
      <c r="A1004" t="s">
        <v>1191</v>
      </c>
      <c r="B1004" s="18" t="s">
        <v>823</v>
      </c>
      <c r="C1004" s="18" t="s">
        <v>865</v>
      </c>
      <c r="D1004" s="18" t="s">
        <v>866</v>
      </c>
      <c r="E1004" s="18" t="s">
        <v>2062</v>
      </c>
      <c r="F1004" s="18">
        <v>498</v>
      </c>
      <c r="G1004" s="18">
        <v>382</v>
      </c>
      <c r="H1004" s="18">
        <v>14</v>
      </c>
      <c r="I1004" s="18">
        <v>102</v>
      </c>
    </row>
    <row r="1005" spans="1:9" x14ac:dyDescent="0.3">
      <c r="A1005" t="s">
        <v>1379</v>
      </c>
      <c r="B1005" s="18" t="s">
        <v>823</v>
      </c>
      <c r="C1005" s="18" t="s">
        <v>865</v>
      </c>
      <c r="D1005" s="18" t="s">
        <v>865</v>
      </c>
      <c r="E1005" s="18" t="s">
        <v>2062</v>
      </c>
      <c r="F1005" s="18">
        <v>4691</v>
      </c>
      <c r="G1005" s="18">
        <v>3491</v>
      </c>
      <c r="H1005" s="18">
        <v>184</v>
      </c>
      <c r="I1005" s="18">
        <v>1016</v>
      </c>
    </row>
    <row r="1006" spans="1:9" x14ac:dyDescent="0.3">
      <c r="A1006" t="s">
        <v>2039</v>
      </c>
      <c r="B1006" s="18" t="s">
        <v>867</v>
      </c>
      <c r="C1006" s="18" t="s">
        <v>895</v>
      </c>
      <c r="D1006" s="18" t="s">
        <v>898</v>
      </c>
      <c r="E1006" s="18" t="s">
        <v>2062</v>
      </c>
      <c r="F1006" s="18">
        <v>639</v>
      </c>
      <c r="G1006" s="18">
        <v>397</v>
      </c>
      <c r="H1006" s="18">
        <v>83</v>
      </c>
      <c r="I1006" s="18">
        <v>159</v>
      </c>
    </row>
    <row r="1007" spans="1:9" x14ac:dyDescent="0.3">
      <c r="A1007" t="s">
        <v>2038</v>
      </c>
      <c r="B1007" s="18" t="s">
        <v>867</v>
      </c>
      <c r="C1007" s="18" t="s">
        <v>895</v>
      </c>
      <c r="D1007" s="18" t="s">
        <v>897</v>
      </c>
      <c r="E1007" s="18" t="s">
        <v>2062</v>
      </c>
      <c r="F1007" s="18">
        <v>360</v>
      </c>
      <c r="G1007" s="18">
        <v>226</v>
      </c>
      <c r="H1007" s="18">
        <v>57</v>
      </c>
      <c r="I1007" s="18">
        <v>77</v>
      </c>
    </row>
    <row r="1008" spans="1:9" x14ac:dyDescent="0.3">
      <c r="A1008" t="s">
        <v>1852</v>
      </c>
      <c r="B1008" s="18" t="s">
        <v>867</v>
      </c>
      <c r="C1008" s="18" t="s">
        <v>895</v>
      </c>
      <c r="D1008" s="18" t="s">
        <v>896</v>
      </c>
      <c r="E1008" s="18" t="s">
        <v>2062</v>
      </c>
      <c r="F1008" s="18">
        <v>1847</v>
      </c>
      <c r="G1008" s="18">
        <v>1218</v>
      </c>
      <c r="H1008" s="18">
        <v>172</v>
      </c>
      <c r="I1008" s="18">
        <v>457</v>
      </c>
    </row>
    <row r="1009" spans="1:9" x14ac:dyDescent="0.3">
      <c r="A1009" t="s">
        <v>1843</v>
      </c>
      <c r="B1009" s="18" t="s">
        <v>867</v>
      </c>
      <c r="C1009" s="18" t="s">
        <v>874</v>
      </c>
      <c r="D1009" s="18" t="s">
        <v>876</v>
      </c>
      <c r="E1009" s="18" t="s">
        <v>2062</v>
      </c>
      <c r="F1009" s="18">
        <v>517</v>
      </c>
      <c r="G1009" s="18">
        <v>270</v>
      </c>
      <c r="H1009" s="18">
        <v>65</v>
      </c>
      <c r="I1009" s="18">
        <v>182</v>
      </c>
    </row>
    <row r="1010" spans="1:9" x14ac:dyDescent="0.3">
      <c r="A1010" t="s">
        <v>1844</v>
      </c>
      <c r="B1010" s="18" t="s">
        <v>867</v>
      </c>
      <c r="C1010" s="18" t="s">
        <v>874</v>
      </c>
      <c r="D1010" s="18" t="s">
        <v>877</v>
      </c>
      <c r="E1010" s="18" t="s">
        <v>2062</v>
      </c>
      <c r="F1010" s="18">
        <v>69</v>
      </c>
      <c r="G1010" s="18">
        <v>28</v>
      </c>
      <c r="H1010" s="18">
        <v>4</v>
      </c>
      <c r="I1010" s="18">
        <v>37</v>
      </c>
    </row>
    <row r="1011" spans="1:9" x14ac:dyDescent="0.3">
      <c r="A1011" t="s">
        <v>1845</v>
      </c>
      <c r="B1011" s="18" t="s">
        <v>867</v>
      </c>
      <c r="C1011" s="18" t="s">
        <v>874</v>
      </c>
      <c r="D1011" s="18" t="s">
        <v>878</v>
      </c>
      <c r="E1011" s="18" t="s">
        <v>2062</v>
      </c>
      <c r="F1011" s="18">
        <v>90</v>
      </c>
      <c r="G1011" s="18">
        <v>26</v>
      </c>
      <c r="H1011" s="18">
        <v>6</v>
      </c>
      <c r="I1011" s="18">
        <v>58</v>
      </c>
    </row>
    <row r="1012" spans="1:9" x14ac:dyDescent="0.3">
      <c r="A1012" t="s">
        <v>1846</v>
      </c>
      <c r="B1012" s="18" t="s">
        <v>867</v>
      </c>
      <c r="C1012" s="18" t="s">
        <v>874</v>
      </c>
      <c r="D1012" s="18" t="s">
        <v>879</v>
      </c>
      <c r="E1012" s="18" t="s">
        <v>2062</v>
      </c>
      <c r="F1012" s="18">
        <v>52</v>
      </c>
      <c r="G1012" s="18">
        <v>15</v>
      </c>
      <c r="H1012" s="18">
        <v>3</v>
      </c>
      <c r="I1012" s="18">
        <v>34</v>
      </c>
    </row>
    <row r="1013" spans="1:9" x14ac:dyDescent="0.3">
      <c r="A1013" t="s">
        <v>1847</v>
      </c>
      <c r="B1013" s="18" t="s">
        <v>867</v>
      </c>
      <c r="C1013" s="18" t="s">
        <v>874</v>
      </c>
      <c r="D1013" s="18" t="s">
        <v>266</v>
      </c>
      <c r="E1013" s="18" t="s">
        <v>2062</v>
      </c>
      <c r="F1013" s="18">
        <v>146</v>
      </c>
      <c r="G1013" s="18">
        <v>71</v>
      </c>
      <c r="H1013" s="18">
        <v>14</v>
      </c>
      <c r="I1013" s="18">
        <v>61</v>
      </c>
    </row>
    <row r="1014" spans="1:9" x14ac:dyDescent="0.3">
      <c r="A1014" t="s">
        <v>1340</v>
      </c>
      <c r="B1014" s="18" t="s">
        <v>867</v>
      </c>
      <c r="C1014" s="18" t="s">
        <v>874</v>
      </c>
      <c r="D1014" s="18" t="s">
        <v>875</v>
      </c>
      <c r="E1014" s="18" t="s">
        <v>2062</v>
      </c>
      <c r="F1014" s="18">
        <v>2927</v>
      </c>
      <c r="G1014" s="18">
        <v>1463</v>
      </c>
      <c r="H1014" s="18">
        <v>544</v>
      </c>
      <c r="I1014" s="18">
        <v>920</v>
      </c>
    </row>
    <row r="1015" spans="1:9" x14ac:dyDescent="0.3">
      <c r="A1015" t="s">
        <v>1850</v>
      </c>
      <c r="B1015" s="18" t="s">
        <v>867</v>
      </c>
      <c r="C1015" s="18" t="s">
        <v>891</v>
      </c>
      <c r="D1015" s="18" t="s">
        <v>892</v>
      </c>
      <c r="E1015" s="18" t="s">
        <v>2062</v>
      </c>
      <c r="F1015" s="18">
        <v>532</v>
      </c>
      <c r="G1015" s="18">
        <v>307</v>
      </c>
      <c r="H1015" s="18">
        <v>75</v>
      </c>
      <c r="I1015" s="18">
        <v>150</v>
      </c>
    </row>
    <row r="1016" spans="1:9" x14ac:dyDescent="0.3">
      <c r="A1016" t="s">
        <v>1304</v>
      </c>
      <c r="B1016" s="18" t="s">
        <v>867</v>
      </c>
      <c r="C1016" s="18" t="s">
        <v>891</v>
      </c>
      <c r="D1016" s="18" t="s">
        <v>891</v>
      </c>
      <c r="E1016" s="18" t="s">
        <v>2062</v>
      </c>
      <c r="F1016" s="18">
        <v>2698</v>
      </c>
      <c r="G1016" s="18">
        <v>1709</v>
      </c>
      <c r="H1016" s="18">
        <v>292</v>
      </c>
      <c r="I1016" s="18">
        <v>697</v>
      </c>
    </row>
    <row r="1017" spans="1:9" x14ac:dyDescent="0.3">
      <c r="A1017" t="s">
        <v>1111</v>
      </c>
      <c r="B1017" s="18" t="s">
        <v>867</v>
      </c>
      <c r="C1017" s="18" t="s">
        <v>891</v>
      </c>
      <c r="D1017" s="18" t="s">
        <v>893</v>
      </c>
      <c r="E1017" s="18" t="s">
        <v>2062</v>
      </c>
      <c r="F1017" s="18">
        <v>593</v>
      </c>
      <c r="G1017" s="18">
        <v>346</v>
      </c>
      <c r="H1017" s="18">
        <v>77</v>
      </c>
      <c r="I1017" s="18">
        <v>170</v>
      </c>
    </row>
    <row r="1018" spans="1:9" x14ac:dyDescent="0.3">
      <c r="A1018" t="s">
        <v>1851</v>
      </c>
      <c r="B1018" s="18" t="s">
        <v>867</v>
      </c>
      <c r="C1018" s="18" t="s">
        <v>891</v>
      </c>
      <c r="D1018" s="18" t="s">
        <v>894</v>
      </c>
      <c r="E1018" s="18" t="s">
        <v>2062</v>
      </c>
      <c r="F1018" s="18">
        <v>392</v>
      </c>
      <c r="G1018" s="18">
        <v>244</v>
      </c>
      <c r="H1018" s="18">
        <v>91</v>
      </c>
      <c r="I1018" s="18">
        <v>57</v>
      </c>
    </row>
    <row r="1019" spans="1:9" x14ac:dyDescent="0.3">
      <c r="A1019" t="s">
        <v>2034</v>
      </c>
      <c r="B1019" s="18" t="s">
        <v>867</v>
      </c>
      <c r="C1019" s="18" t="s">
        <v>880</v>
      </c>
      <c r="D1019" s="18" t="s">
        <v>881</v>
      </c>
      <c r="E1019" s="18" t="s">
        <v>2062</v>
      </c>
      <c r="F1019" s="18">
        <v>1043</v>
      </c>
      <c r="G1019" s="18">
        <v>605</v>
      </c>
      <c r="H1019" s="18">
        <v>131</v>
      </c>
      <c r="I1019" s="18">
        <v>307</v>
      </c>
    </row>
    <row r="1020" spans="1:9" x14ac:dyDescent="0.3">
      <c r="A1020" t="s">
        <v>2037</v>
      </c>
      <c r="B1020" s="18" t="s">
        <v>867</v>
      </c>
      <c r="C1020" s="18" t="s">
        <v>880</v>
      </c>
      <c r="D1020" s="18" t="s">
        <v>884</v>
      </c>
      <c r="E1020" s="18" t="s">
        <v>2062</v>
      </c>
      <c r="F1020" s="18">
        <v>172</v>
      </c>
      <c r="G1020" s="18">
        <v>46</v>
      </c>
      <c r="H1020" s="18">
        <v>74</v>
      </c>
      <c r="I1020" s="18">
        <v>52</v>
      </c>
    </row>
    <row r="1021" spans="1:9" x14ac:dyDescent="0.3">
      <c r="A1021" t="s">
        <v>2036</v>
      </c>
      <c r="B1021" s="18" t="s">
        <v>867</v>
      </c>
      <c r="C1021" s="18" t="s">
        <v>880</v>
      </c>
      <c r="D1021" s="18" t="s">
        <v>883</v>
      </c>
      <c r="E1021" s="18" t="s">
        <v>2062</v>
      </c>
      <c r="F1021" s="18">
        <v>218</v>
      </c>
      <c r="G1021" s="18">
        <v>72</v>
      </c>
      <c r="H1021" s="18">
        <v>101</v>
      </c>
      <c r="I1021" s="18">
        <v>45</v>
      </c>
    </row>
    <row r="1022" spans="1:9" x14ac:dyDescent="0.3">
      <c r="A1022" t="s">
        <v>2035</v>
      </c>
      <c r="B1022" s="18" t="s">
        <v>867</v>
      </c>
      <c r="C1022" s="18" t="s">
        <v>880</v>
      </c>
      <c r="D1022" s="18" t="s">
        <v>882</v>
      </c>
      <c r="E1022" s="18" t="s">
        <v>2062</v>
      </c>
      <c r="F1022" s="18">
        <v>656</v>
      </c>
      <c r="G1022" s="18">
        <v>259</v>
      </c>
      <c r="H1022" s="18">
        <v>199</v>
      </c>
      <c r="I1022" s="18">
        <v>198</v>
      </c>
    </row>
    <row r="1023" spans="1:9" x14ac:dyDescent="0.3">
      <c r="A1023" t="s">
        <v>1854</v>
      </c>
      <c r="B1023" s="18" t="s">
        <v>867</v>
      </c>
      <c r="C1023" s="18" t="s">
        <v>899</v>
      </c>
      <c r="D1023" s="18" t="s">
        <v>900</v>
      </c>
      <c r="E1023" s="18" t="s">
        <v>2062</v>
      </c>
      <c r="F1023" s="18">
        <v>572</v>
      </c>
      <c r="G1023" s="18">
        <v>280</v>
      </c>
      <c r="H1023" s="18">
        <v>72</v>
      </c>
      <c r="I1023" s="18">
        <v>220</v>
      </c>
    </row>
    <row r="1024" spans="1:9" x14ac:dyDescent="0.3">
      <c r="A1024" t="s">
        <v>2040</v>
      </c>
      <c r="B1024" s="18" t="s">
        <v>867</v>
      </c>
      <c r="C1024" s="18" t="s">
        <v>899</v>
      </c>
      <c r="D1024" s="18" t="s">
        <v>903</v>
      </c>
      <c r="E1024" s="18" t="s">
        <v>2062</v>
      </c>
      <c r="F1024" s="18">
        <v>180</v>
      </c>
      <c r="G1024" s="18">
        <v>85</v>
      </c>
      <c r="H1024" s="18">
        <v>28</v>
      </c>
      <c r="I1024" s="18">
        <v>67</v>
      </c>
    </row>
    <row r="1025" spans="1:9" x14ac:dyDescent="0.3">
      <c r="A1025" t="s">
        <v>1853</v>
      </c>
      <c r="B1025" s="18" t="s">
        <v>867</v>
      </c>
      <c r="C1025" s="18" t="s">
        <v>899</v>
      </c>
      <c r="D1025" s="18" t="s">
        <v>899</v>
      </c>
      <c r="E1025" s="18" t="s">
        <v>2062</v>
      </c>
      <c r="F1025" s="18">
        <v>1409</v>
      </c>
      <c r="G1025" s="18">
        <v>801</v>
      </c>
      <c r="H1025" s="18">
        <v>175</v>
      </c>
      <c r="I1025" s="18">
        <v>433</v>
      </c>
    </row>
    <row r="1026" spans="1:9" x14ac:dyDescent="0.3">
      <c r="A1026" t="s">
        <v>1855</v>
      </c>
      <c r="B1026" s="18" t="s">
        <v>867</v>
      </c>
      <c r="C1026" s="18" t="s">
        <v>899</v>
      </c>
      <c r="D1026" s="18" t="s">
        <v>901</v>
      </c>
      <c r="E1026" s="18" t="s">
        <v>2062</v>
      </c>
      <c r="F1026" s="18">
        <v>555</v>
      </c>
      <c r="G1026" s="18">
        <v>360</v>
      </c>
      <c r="H1026" s="18">
        <v>60</v>
      </c>
      <c r="I1026" s="18">
        <v>135</v>
      </c>
    </row>
    <row r="1027" spans="1:9" x14ac:dyDescent="0.3">
      <c r="A1027" t="s">
        <v>1856</v>
      </c>
      <c r="B1027" s="18" t="s">
        <v>867</v>
      </c>
      <c r="C1027" s="18" t="s">
        <v>899</v>
      </c>
      <c r="D1027" s="18" t="s">
        <v>902</v>
      </c>
      <c r="E1027" s="18" t="s">
        <v>2062</v>
      </c>
      <c r="F1027" s="18">
        <v>457</v>
      </c>
      <c r="G1027" s="18">
        <v>300</v>
      </c>
      <c r="H1027" s="18">
        <v>52</v>
      </c>
      <c r="I1027" s="18">
        <v>105</v>
      </c>
    </row>
    <row r="1028" spans="1:9" x14ac:dyDescent="0.3">
      <c r="A1028" t="s">
        <v>2041</v>
      </c>
      <c r="B1028" s="18" t="s">
        <v>867</v>
      </c>
      <c r="C1028" s="18" t="s">
        <v>904</v>
      </c>
      <c r="D1028" s="18" t="s">
        <v>324</v>
      </c>
      <c r="E1028" s="18" t="s">
        <v>2062</v>
      </c>
      <c r="F1028" s="18">
        <v>135</v>
      </c>
      <c r="G1028" s="18">
        <v>70</v>
      </c>
      <c r="H1028" s="18">
        <v>33</v>
      </c>
      <c r="I1028" s="18">
        <v>32</v>
      </c>
    </row>
    <row r="1029" spans="1:9" x14ac:dyDescent="0.3">
      <c r="A1029" t="s">
        <v>2042</v>
      </c>
      <c r="B1029" s="18" t="s">
        <v>867</v>
      </c>
      <c r="C1029" s="18" t="s">
        <v>904</v>
      </c>
      <c r="D1029" s="18" t="s">
        <v>905</v>
      </c>
      <c r="E1029" s="18" t="s">
        <v>2062</v>
      </c>
      <c r="F1029" s="18">
        <v>720</v>
      </c>
      <c r="G1029" s="18">
        <v>456</v>
      </c>
      <c r="H1029" s="18">
        <v>113</v>
      </c>
      <c r="I1029" s="18">
        <v>151</v>
      </c>
    </row>
    <row r="1030" spans="1:9" x14ac:dyDescent="0.3">
      <c r="A1030" t="s">
        <v>1857</v>
      </c>
      <c r="B1030" s="18" t="s">
        <v>867</v>
      </c>
      <c r="C1030" s="18" t="s">
        <v>904</v>
      </c>
      <c r="D1030" s="18" t="s">
        <v>904</v>
      </c>
      <c r="E1030" s="18" t="s">
        <v>2062</v>
      </c>
      <c r="F1030" s="18">
        <v>789</v>
      </c>
      <c r="G1030" s="18">
        <v>480</v>
      </c>
      <c r="H1030" s="18">
        <v>95</v>
      </c>
      <c r="I1030" s="18">
        <v>214</v>
      </c>
    </row>
    <row r="1031" spans="1:9" x14ac:dyDescent="0.3">
      <c r="A1031" t="s">
        <v>1149</v>
      </c>
      <c r="B1031" s="18" t="s">
        <v>867</v>
      </c>
      <c r="C1031" s="18" t="s">
        <v>885</v>
      </c>
      <c r="D1031" s="18" t="s">
        <v>886</v>
      </c>
      <c r="E1031" s="18" t="s">
        <v>2062</v>
      </c>
      <c r="F1031" s="18">
        <v>955</v>
      </c>
      <c r="G1031" s="18">
        <v>445</v>
      </c>
      <c r="H1031" s="18">
        <v>84</v>
      </c>
      <c r="I1031" s="18">
        <v>426</v>
      </c>
    </row>
    <row r="1032" spans="1:9" x14ac:dyDescent="0.3">
      <c r="A1032" t="s">
        <v>1848</v>
      </c>
      <c r="B1032" s="18" t="s">
        <v>867</v>
      </c>
      <c r="C1032" s="18" t="s">
        <v>885</v>
      </c>
      <c r="D1032" s="18" t="s">
        <v>179</v>
      </c>
      <c r="E1032" s="18" t="s">
        <v>2062</v>
      </c>
      <c r="F1032" s="18">
        <v>744</v>
      </c>
      <c r="G1032" s="18">
        <v>357</v>
      </c>
      <c r="H1032" s="18">
        <v>87</v>
      </c>
      <c r="I1032" s="18">
        <v>300</v>
      </c>
    </row>
    <row r="1033" spans="1:9" x14ac:dyDescent="0.3">
      <c r="A1033" t="s">
        <v>1849</v>
      </c>
      <c r="B1033" s="18" t="s">
        <v>867</v>
      </c>
      <c r="C1033" s="18" t="s">
        <v>885</v>
      </c>
      <c r="D1033" s="18" t="s">
        <v>887</v>
      </c>
      <c r="E1033" s="18" t="s">
        <v>2062</v>
      </c>
      <c r="F1033" s="18">
        <v>394</v>
      </c>
      <c r="G1033" s="18">
        <v>159</v>
      </c>
      <c r="H1033" s="18">
        <v>64</v>
      </c>
      <c r="I1033" s="18">
        <v>171</v>
      </c>
    </row>
    <row r="1034" spans="1:9" x14ac:dyDescent="0.3">
      <c r="A1034" t="s">
        <v>1209</v>
      </c>
      <c r="B1034" s="18" t="s">
        <v>867</v>
      </c>
      <c r="C1034" s="18" t="s">
        <v>888</v>
      </c>
      <c r="D1034" s="18" t="s">
        <v>889</v>
      </c>
      <c r="E1034" s="18" t="s">
        <v>2062</v>
      </c>
      <c r="F1034" s="18">
        <v>961</v>
      </c>
      <c r="G1034" s="18">
        <v>500</v>
      </c>
      <c r="H1034" s="18">
        <v>71</v>
      </c>
      <c r="I1034" s="18">
        <v>390</v>
      </c>
    </row>
    <row r="1035" spans="1:9" x14ac:dyDescent="0.3">
      <c r="A1035" t="s">
        <v>1234</v>
      </c>
      <c r="B1035" s="18" t="s">
        <v>867</v>
      </c>
      <c r="C1035" s="18" t="s">
        <v>888</v>
      </c>
      <c r="D1035" s="18" t="s">
        <v>890</v>
      </c>
      <c r="E1035" s="18" t="s">
        <v>2062</v>
      </c>
      <c r="F1035" s="18">
        <v>1485</v>
      </c>
      <c r="G1035" s="18">
        <v>894</v>
      </c>
      <c r="H1035" s="18">
        <v>158</v>
      </c>
      <c r="I1035" s="18">
        <v>433</v>
      </c>
    </row>
    <row r="1036" spans="1:9" x14ac:dyDescent="0.3">
      <c r="A1036" t="s">
        <v>1253</v>
      </c>
      <c r="B1036" s="18" t="s">
        <v>867</v>
      </c>
      <c r="C1036" s="18" t="s">
        <v>888</v>
      </c>
      <c r="D1036" s="18" t="s">
        <v>888</v>
      </c>
      <c r="E1036" s="18" t="s">
        <v>2062</v>
      </c>
      <c r="F1036" s="18">
        <v>5437</v>
      </c>
      <c r="G1036" s="18">
        <v>3601</v>
      </c>
      <c r="H1036" s="18">
        <v>545</v>
      </c>
      <c r="I1036" s="18">
        <v>1291</v>
      </c>
    </row>
    <row r="1037" spans="1:9" x14ac:dyDescent="0.3">
      <c r="A1037" t="s">
        <v>1838</v>
      </c>
      <c r="B1037" s="18" t="s">
        <v>867</v>
      </c>
      <c r="C1037" s="18" t="s">
        <v>868</v>
      </c>
      <c r="D1037" s="18" t="s">
        <v>869</v>
      </c>
      <c r="E1037" s="18" t="s">
        <v>2062</v>
      </c>
      <c r="F1037" s="18">
        <v>1337</v>
      </c>
      <c r="G1037" s="18">
        <v>721</v>
      </c>
      <c r="H1037" s="18">
        <v>186</v>
      </c>
      <c r="I1037" s="18">
        <v>430</v>
      </c>
    </row>
    <row r="1038" spans="1:9" x14ac:dyDescent="0.3">
      <c r="A1038" t="s">
        <v>1839</v>
      </c>
      <c r="B1038" s="18" t="s">
        <v>867</v>
      </c>
      <c r="C1038" s="18" t="s">
        <v>868</v>
      </c>
      <c r="D1038" s="18" t="s">
        <v>870</v>
      </c>
      <c r="E1038" s="18" t="s">
        <v>2062</v>
      </c>
      <c r="F1038" s="18">
        <v>1162</v>
      </c>
      <c r="G1038" s="18">
        <v>664</v>
      </c>
      <c r="H1038" s="18">
        <v>168</v>
      </c>
      <c r="I1038" s="18">
        <v>330</v>
      </c>
    </row>
    <row r="1039" spans="1:9" x14ac:dyDescent="0.3">
      <c r="A1039" t="s">
        <v>2033</v>
      </c>
      <c r="B1039" s="18" t="s">
        <v>867</v>
      </c>
      <c r="C1039" s="18" t="s">
        <v>868</v>
      </c>
      <c r="D1039" s="18" t="s">
        <v>871</v>
      </c>
      <c r="E1039" s="18" t="s">
        <v>2062</v>
      </c>
      <c r="F1039" s="18">
        <v>300</v>
      </c>
      <c r="G1039" s="18">
        <v>190</v>
      </c>
      <c r="H1039" s="18">
        <v>17</v>
      </c>
      <c r="I1039" s="18">
        <v>93</v>
      </c>
    </row>
    <row r="1040" spans="1:9" x14ac:dyDescent="0.3">
      <c r="A1040" t="s">
        <v>1840</v>
      </c>
      <c r="B1040" s="18" t="s">
        <v>867</v>
      </c>
      <c r="C1040" s="18" t="s">
        <v>868</v>
      </c>
      <c r="D1040" s="18" t="s">
        <v>431</v>
      </c>
      <c r="E1040" s="18" t="s">
        <v>2062</v>
      </c>
      <c r="F1040" s="18">
        <v>200</v>
      </c>
      <c r="G1040" s="18">
        <v>130</v>
      </c>
      <c r="H1040" s="18">
        <v>19</v>
      </c>
      <c r="I1040" s="18">
        <v>51</v>
      </c>
    </row>
    <row r="1041" spans="1:9" x14ac:dyDescent="0.3">
      <c r="A1041" t="s">
        <v>1842</v>
      </c>
      <c r="B1041" s="18" t="s">
        <v>867</v>
      </c>
      <c r="C1041" s="18" t="s">
        <v>868</v>
      </c>
      <c r="D1041" s="18" t="s">
        <v>873</v>
      </c>
      <c r="E1041" s="18" t="s">
        <v>2062</v>
      </c>
      <c r="F1041" s="18">
        <v>787</v>
      </c>
      <c r="G1041" s="18">
        <v>487</v>
      </c>
      <c r="H1041" s="18">
        <v>85</v>
      </c>
      <c r="I1041" s="18">
        <v>215</v>
      </c>
    </row>
    <row r="1042" spans="1:9" x14ac:dyDescent="0.3">
      <c r="A1042" t="s">
        <v>1841</v>
      </c>
      <c r="B1042" s="18" t="s">
        <v>867</v>
      </c>
      <c r="C1042" s="18" t="s">
        <v>868</v>
      </c>
      <c r="D1042" s="18" t="s">
        <v>872</v>
      </c>
      <c r="E1042" s="18" t="s">
        <v>2062</v>
      </c>
      <c r="F1042" s="18">
        <v>598</v>
      </c>
      <c r="G1042" s="18">
        <v>393</v>
      </c>
      <c r="H1042" s="18">
        <v>48</v>
      </c>
      <c r="I1042" s="18">
        <v>157</v>
      </c>
    </row>
    <row r="1043" spans="1:9" x14ac:dyDescent="0.3">
      <c r="A1043" t="s">
        <v>1380</v>
      </c>
      <c r="B1043" s="18" t="s">
        <v>867</v>
      </c>
      <c r="C1043" s="18" t="s">
        <v>868</v>
      </c>
      <c r="D1043" s="18" t="s">
        <v>868</v>
      </c>
      <c r="E1043" s="18" t="s">
        <v>2062</v>
      </c>
      <c r="F1043" s="18">
        <v>6406</v>
      </c>
      <c r="G1043" s="18">
        <v>4326</v>
      </c>
      <c r="H1043" s="18">
        <v>394</v>
      </c>
      <c r="I1043" s="18">
        <v>1686</v>
      </c>
    </row>
    <row r="1044" spans="1:9" x14ac:dyDescent="0.3">
      <c r="A1044" t="s">
        <v>1492</v>
      </c>
      <c r="B1044" s="18" t="s">
        <v>13</v>
      </c>
      <c r="C1044" s="18" t="s">
        <v>89</v>
      </c>
      <c r="D1044" s="18" t="s">
        <v>89</v>
      </c>
      <c r="E1044" s="18" t="s">
        <v>2072</v>
      </c>
      <c r="F1044" s="18">
        <v>8157</v>
      </c>
      <c r="G1044" s="18">
        <v>3128</v>
      </c>
      <c r="H1044" s="18">
        <v>379</v>
      </c>
      <c r="I1044" s="18">
        <v>4650</v>
      </c>
    </row>
    <row r="1045" spans="1:9" x14ac:dyDescent="0.3">
      <c r="A1045" t="s">
        <v>1069</v>
      </c>
      <c r="B1045" s="18" t="s">
        <v>13</v>
      </c>
      <c r="C1045" s="18" t="s">
        <v>78</v>
      </c>
      <c r="D1045" s="18" t="s">
        <v>78</v>
      </c>
      <c r="E1045" s="18" t="s">
        <v>2072</v>
      </c>
      <c r="F1045" s="18">
        <v>2785</v>
      </c>
      <c r="G1045" s="18">
        <v>1468</v>
      </c>
      <c r="H1045" s="18">
        <v>88</v>
      </c>
      <c r="I1045" s="18">
        <v>1229</v>
      </c>
    </row>
    <row r="1046" spans="1:9" x14ac:dyDescent="0.3">
      <c r="A1046" t="s">
        <v>1019</v>
      </c>
      <c r="B1046" s="18" t="s">
        <v>13</v>
      </c>
      <c r="C1046" s="18" t="s">
        <v>78</v>
      </c>
      <c r="D1046" s="18" t="s">
        <v>80</v>
      </c>
      <c r="E1046" s="18" t="s">
        <v>2072</v>
      </c>
      <c r="F1046" s="18">
        <v>776</v>
      </c>
      <c r="G1046" s="18">
        <v>396</v>
      </c>
      <c r="H1046" s="18">
        <v>34</v>
      </c>
      <c r="I1046" s="18">
        <v>346</v>
      </c>
    </row>
    <row r="1047" spans="1:9" x14ac:dyDescent="0.3">
      <c r="A1047" t="s">
        <v>1490</v>
      </c>
      <c r="B1047" s="18" t="s">
        <v>13</v>
      </c>
      <c r="C1047" s="18" t="s">
        <v>78</v>
      </c>
      <c r="D1047" s="18" t="s">
        <v>81</v>
      </c>
      <c r="E1047" s="18" t="s">
        <v>2072</v>
      </c>
      <c r="F1047" s="18">
        <v>545</v>
      </c>
      <c r="G1047" s="18">
        <v>405</v>
      </c>
      <c r="H1047" s="18">
        <v>6</v>
      </c>
      <c r="I1047" s="18">
        <v>134</v>
      </c>
    </row>
    <row r="1048" spans="1:9" x14ac:dyDescent="0.3">
      <c r="A1048" t="s">
        <v>1917</v>
      </c>
      <c r="B1048" s="18" t="s">
        <v>13</v>
      </c>
      <c r="C1048" s="18" t="s">
        <v>78</v>
      </c>
      <c r="D1048" s="18" t="s">
        <v>79</v>
      </c>
      <c r="E1048" s="18" t="s">
        <v>2072</v>
      </c>
      <c r="F1048" s="18">
        <v>502</v>
      </c>
      <c r="G1048" s="18">
        <v>314</v>
      </c>
      <c r="H1048" s="18">
        <v>19</v>
      </c>
      <c r="I1048" s="18">
        <v>169</v>
      </c>
    </row>
    <row r="1049" spans="1:9" x14ac:dyDescent="0.3">
      <c r="A1049" t="s">
        <v>1918</v>
      </c>
      <c r="B1049" s="18" t="s">
        <v>13</v>
      </c>
      <c r="C1049" s="18" t="s">
        <v>78</v>
      </c>
      <c r="D1049" s="18" t="s">
        <v>82</v>
      </c>
      <c r="E1049" s="18" t="s">
        <v>2072</v>
      </c>
      <c r="F1049" s="18">
        <v>416</v>
      </c>
      <c r="G1049" s="18">
        <v>264</v>
      </c>
      <c r="H1049" s="18">
        <v>9</v>
      </c>
      <c r="I1049" s="18">
        <v>143</v>
      </c>
    </row>
    <row r="1050" spans="1:9" x14ac:dyDescent="0.3">
      <c r="A1050" t="s">
        <v>1387</v>
      </c>
      <c r="B1050" s="18" t="s">
        <v>13</v>
      </c>
      <c r="C1050" s="18" t="s">
        <v>14</v>
      </c>
      <c r="D1050" s="18" t="s">
        <v>15</v>
      </c>
      <c r="E1050" s="18" t="s">
        <v>2072</v>
      </c>
      <c r="F1050" s="18">
        <v>8769</v>
      </c>
      <c r="G1050" s="18">
        <v>4429</v>
      </c>
      <c r="H1050" s="18">
        <v>444</v>
      </c>
      <c r="I1050" s="18">
        <v>3896</v>
      </c>
    </row>
    <row r="1051" spans="1:9" x14ac:dyDescent="0.3">
      <c r="A1051" t="s">
        <v>1909</v>
      </c>
      <c r="B1051" s="18" t="s">
        <v>13</v>
      </c>
      <c r="C1051" s="18" t="s">
        <v>14</v>
      </c>
      <c r="D1051" s="18" t="s">
        <v>17</v>
      </c>
      <c r="E1051" s="18" t="s">
        <v>2072</v>
      </c>
      <c r="F1051" s="18">
        <v>685</v>
      </c>
      <c r="G1051" s="18">
        <v>206</v>
      </c>
      <c r="H1051" s="18">
        <v>14</v>
      </c>
      <c r="I1051" s="18">
        <v>465</v>
      </c>
    </row>
    <row r="1052" spans="1:9" x14ac:dyDescent="0.3">
      <c r="A1052" t="s">
        <v>1157</v>
      </c>
      <c r="B1052" s="18" t="s">
        <v>13</v>
      </c>
      <c r="C1052" s="18" t="s">
        <v>14</v>
      </c>
      <c r="D1052" s="18" t="s">
        <v>18</v>
      </c>
      <c r="E1052" s="18" t="s">
        <v>2072</v>
      </c>
      <c r="F1052" s="18">
        <v>1416</v>
      </c>
      <c r="G1052" s="18">
        <v>470</v>
      </c>
      <c r="H1052" s="18">
        <v>67</v>
      </c>
      <c r="I1052" s="18">
        <v>879</v>
      </c>
    </row>
    <row r="1053" spans="1:9" x14ac:dyDescent="0.3">
      <c r="A1053" t="s">
        <v>1015</v>
      </c>
      <c r="B1053" s="18" t="s">
        <v>13</v>
      </c>
      <c r="C1053" s="18" t="s">
        <v>14</v>
      </c>
      <c r="D1053" s="18" t="s">
        <v>19</v>
      </c>
      <c r="E1053" s="18" t="s">
        <v>2072</v>
      </c>
      <c r="F1053" s="18">
        <v>2370</v>
      </c>
      <c r="G1053" s="18">
        <v>941</v>
      </c>
      <c r="H1053" s="18">
        <v>104</v>
      </c>
      <c r="I1053" s="18">
        <v>1325</v>
      </c>
    </row>
    <row r="1054" spans="1:9" x14ac:dyDescent="0.3">
      <c r="A1054" t="s">
        <v>1334</v>
      </c>
      <c r="B1054" s="18" t="s">
        <v>13</v>
      </c>
      <c r="C1054" s="18" t="s">
        <v>14</v>
      </c>
      <c r="D1054" s="18" t="s">
        <v>14</v>
      </c>
      <c r="E1054" s="18" t="s">
        <v>2072</v>
      </c>
      <c r="F1054" s="18">
        <v>152814</v>
      </c>
      <c r="G1054" s="18">
        <v>83461</v>
      </c>
      <c r="H1054" s="18">
        <v>6624</v>
      </c>
      <c r="I1054" s="18">
        <v>62729</v>
      </c>
    </row>
    <row r="1055" spans="1:9" x14ac:dyDescent="0.3">
      <c r="A1055" t="s">
        <v>1476</v>
      </c>
      <c r="B1055" s="18" t="s">
        <v>13</v>
      </c>
      <c r="C1055" s="18" t="s">
        <v>14</v>
      </c>
      <c r="D1055" s="18" t="s">
        <v>16</v>
      </c>
      <c r="E1055" s="18" t="s">
        <v>2072</v>
      </c>
      <c r="F1055" s="18">
        <v>2711</v>
      </c>
      <c r="G1055" s="18">
        <v>922</v>
      </c>
      <c r="H1055" s="18">
        <v>94</v>
      </c>
      <c r="I1055" s="18">
        <v>1695</v>
      </c>
    </row>
    <row r="1056" spans="1:9" x14ac:dyDescent="0.3">
      <c r="A1056" t="s">
        <v>1055</v>
      </c>
      <c r="B1056" s="18" t="s">
        <v>13</v>
      </c>
      <c r="C1056" s="18" t="s">
        <v>14</v>
      </c>
      <c r="D1056" s="18" t="s">
        <v>20</v>
      </c>
      <c r="E1056" s="18" t="s">
        <v>2072</v>
      </c>
      <c r="F1056" s="18">
        <v>2978</v>
      </c>
      <c r="G1056" s="18">
        <v>1336</v>
      </c>
      <c r="H1056" s="18">
        <v>125</v>
      </c>
      <c r="I1056" s="18">
        <v>1517</v>
      </c>
    </row>
    <row r="1057" spans="1:9" x14ac:dyDescent="0.3">
      <c r="A1057" t="s">
        <v>1343</v>
      </c>
      <c r="B1057" s="18" t="s">
        <v>13</v>
      </c>
      <c r="C1057" s="18" t="s">
        <v>14</v>
      </c>
      <c r="D1057" s="18" t="s">
        <v>21</v>
      </c>
      <c r="E1057" s="18" t="s">
        <v>2072</v>
      </c>
      <c r="F1057" s="18">
        <v>2574</v>
      </c>
      <c r="G1057" s="18">
        <v>838</v>
      </c>
      <c r="H1057" s="18">
        <v>122</v>
      </c>
      <c r="I1057" s="18">
        <v>1614</v>
      </c>
    </row>
    <row r="1058" spans="1:9" x14ac:dyDescent="0.3">
      <c r="A1058" t="s">
        <v>1303</v>
      </c>
      <c r="B1058" s="18" t="s">
        <v>13</v>
      </c>
      <c r="C1058" s="18" t="s">
        <v>14</v>
      </c>
      <c r="D1058" s="18" t="s">
        <v>22</v>
      </c>
      <c r="E1058" s="18" t="s">
        <v>2072</v>
      </c>
      <c r="F1058" s="18">
        <v>2632</v>
      </c>
      <c r="G1058" s="18">
        <v>1328</v>
      </c>
      <c r="H1058" s="18">
        <v>94</v>
      </c>
      <c r="I1058" s="18">
        <v>1210</v>
      </c>
    </row>
    <row r="1059" spans="1:9" x14ac:dyDescent="0.3">
      <c r="A1059" t="s">
        <v>1135</v>
      </c>
      <c r="B1059" s="18" t="s">
        <v>13</v>
      </c>
      <c r="C1059" s="18" t="s">
        <v>14</v>
      </c>
      <c r="D1059" s="18" t="s">
        <v>23</v>
      </c>
      <c r="E1059" s="18" t="s">
        <v>2072</v>
      </c>
      <c r="F1059" s="18">
        <v>1069</v>
      </c>
      <c r="G1059" s="18">
        <v>405</v>
      </c>
      <c r="H1059" s="18">
        <v>47</v>
      </c>
      <c r="I1059" s="18">
        <v>617</v>
      </c>
    </row>
    <row r="1060" spans="1:9" x14ac:dyDescent="0.3">
      <c r="A1060" t="s">
        <v>1344</v>
      </c>
      <c r="B1060" s="18" t="s">
        <v>13</v>
      </c>
      <c r="C1060" s="18" t="s">
        <v>14</v>
      </c>
      <c r="D1060" s="18" t="s">
        <v>24</v>
      </c>
      <c r="E1060" s="18" t="s">
        <v>2072</v>
      </c>
      <c r="F1060" s="18">
        <v>3535</v>
      </c>
      <c r="G1060" s="18">
        <v>1580</v>
      </c>
      <c r="H1060" s="18">
        <v>156</v>
      </c>
      <c r="I1060" s="18">
        <v>1799</v>
      </c>
    </row>
    <row r="1061" spans="1:9" x14ac:dyDescent="0.3">
      <c r="A1061" t="s">
        <v>1477</v>
      </c>
      <c r="B1061" s="18" t="s">
        <v>13</v>
      </c>
      <c r="C1061" s="18" t="s">
        <v>14</v>
      </c>
      <c r="D1061" s="18" t="s">
        <v>25</v>
      </c>
      <c r="E1061" s="18" t="s">
        <v>2072</v>
      </c>
      <c r="F1061" s="18">
        <v>2830</v>
      </c>
      <c r="G1061" s="18">
        <v>690</v>
      </c>
      <c r="H1061" s="18">
        <v>92</v>
      </c>
      <c r="I1061" s="18">
        <v>2048</v>
      </c>
    </row>
    <row r="1062" spans="1:9" x14ac:dyDescent="0.3">
      <c r="A1062" t="s">
        <v>1085</v>
      </c>
      <c r="B1062" s="18" t="s">
        <v>13</v>
      </c>
      <c r="C1062" s="18" t="s">
        <v>14</v>
      </c>
      <c r="D1062" s="18" t="s">
        <v>26</v>
      </c>
      <c r="E1062" s="18" t="s">
        <v>2072</v>
      </c>
      <c r="F1062" s="18">
        <v>10720</v>
      </c>
      <c r="G1062" s="18">
        <v>5187</v>
      </c>
      <c r="H1062" s="18">
        <v>699</v>
      </c>
      <c r="I1062" s="18">
        <v>4834</v>
      </c>
    </row>
    <row r="1063" spans="1:9" x14ac:dyDescent="0.3">
      <c r="A1063" t="s">
        <v>1374</v>
      </c>
      <c r="B1063" s="18" t="s">
        <v>13</v>
      </c>
      <c r="C1063" s="18" t="s">
        <v>14</v>
      </c>
      <c r="D1063" s="18" t="s">
        <v>27</v>
      </c>
      <c r="E1063" s="18" t="s">
        <v>2072</v>
      </c>
      <c r="F1063" s="18">
        <v>4200</v>
      </c>
      <c r="G1063" s="18">
        <v>2330</v>
      </c>
      <c r="H1063" s="18">
        <v>169</v>
      </c>
      <c r="I1063" s="18">
        <v>1701</v>
      </c>
    </row>
    <row r="1064" spans="1:9" x14ac:dyDescent="0.3">
      <c r="A1064" t="s">
        <v>1079</v>
      </c>
      <c r="B1064" s="18" t="s">
        <v>13</v>
      </c>
      <c r="C1064" s="18" t="s">
        <v>14</v>
      </c>
      <c r="D1064" s="18" t="s">
        <v>28</v>
      </c>
      <c r="E1064" s="18" t="s">
        <v>2072</v>
      </c>
      <c r="F1064" s="18">
        <v>2904</v>
      </c>
      <c r="G1064" s="18">
        <v>1142</v>
      </c>
      <c r="H1064" s="18">
        <v>83</v>
      </c>
      <c r="I1064" s="18">
        <v>1679</v>
      </c>
    </row>
    <row r="1065" spans="1:9" x14ac:dyDescent="0.3">
      <c r="A1065" t="s">
        <v>1393</v>
      </c>
      <c r="B1065" s="18" t="s">
        <v>13</v>
      </c>
      <c r="C1065" s="18" t="s">
        <v>14</v>
      </c>
      <c r="D1065" s="18" t="s">
        <v>29</v>
      </c>
      <c r="E1065" s="18" t="s">
        <v>2072</v>
      </c>
      <c r="F1065" s="18">
        <v>4159</v>
      </c>
      <c r="G1065" s="18">
        <v>2037</v>
      </c>
      <c r="H1065" s="18">
        <v>271</v>
      </c>
      <c r="I1065" s="18">
        <v>1851</v>
      </c>
    </row>
    <row r="1066" spans="1:9" x14ac:dyDescent="0.3">
      <c r="A1066" t="s">
        <v>1215</v>
      </c>
      <c r="B1066" s="18" t="s">
        <v>13</v>
      </c>
      <c r="C1066" s="18" t="s">
        <v>14</v>
      </c>
      <c r="D1066" s="18" t="s">
        <v>30</v>
      </c>
      <c r="E1066" s="18" t="s">
        <v>2072</v>
      </c>
      <c r="F1066" s="18">
        <v>2139</v>
      </c>
      <c r="G1066" s="18">
        <v>832</v>
      </c>
      <c r="H1066" s="18">
        <v>99</v>
      </c>
      <c r="I1066" s="18">
        <v>1208</v>
      </c>
    </row>
    <row r="1067" spans="1:9" x14ac:dyDescent="0.3">
      <c r="A1067" t="s">
        <v>1162</v>
      </c>
      <c r="B1067" s="18" t="s">
        <v>13</v>
      </c>
      <c r="C1067" s="18" t="s">
        <v>14</v>
      </c>
      <c r="D1067" s="18" t="s">
        <v>31</v>
      </c>
      <c r="E1067" s="18" t="s">
        <v>2072</v>
      </c>
      <c r="F1067" s="18">
        <v>10771</v>
      </c>
      <c r="G1067" s="18">
        <v>5015</v>
      </c>
      <c r="H1067" s="18">
        <v>546</v>
      </c>
      <c r="I1067" s="18">
        <v>5210</v>
      </c>
    </row>
    <row r="1068" spans="1:9" x14ac:dyDescent="0.3">
      <c r="A1068" t="s">
        <v>1478</v>
      </c>
      <c r="B1068" s="18" t="s">
        <v>13</v>
      </c>
      <c r="C1068" s="18" t="s">
        <v>14</v>
      </c>
      <c r="D1068" s="18" t="s">
        <v>32</v>
      </c>
      <c r="E1068" s="18" t="s">
        <v>2072</v>
      </c>
      <c r="F1068" s="18">
        <v>5739</v>
      </c>
      <c r="G1068" s="18">
        <v>2443</v>
      </c>
      <c r="H1068" s="18">
        <v>219</v>
      </c>
      <c r="I1068" s="18">
        <v>3077</v>
      </c>
    </row>
    <row r="1069" spans="1:9" x14ac:dyDescent="0.3">
      <c r="A1069" t="s">
        <v>1269</v>
      </c>
      <c r="B1069" s="18" t="s">
        <v>13</v>
      </c>
      <c r="C1069" s="18" t="s">
        <v>14</v>
      </c>
      <c r="D1069" s="18" t="s">
        <v>33</v>
      </c>
      <c r="E1069" s="18" t="s">
        <v>2072</v>
      </c>
      <c r="F1069" s="18">
        <v>5189</v>
      </c>
      <c r="G1069" s="18">
        <v>2607</v>
      </c>
      <c r="H1069" s="18">
        <v>267</v>
      </c>
      <c r="I1069" s="18">
        <v>2315</v>
      </c>
    </row>
    <row r="1070" spans="1:9" x14ac:dyDescent="0.3">
      <c r="A1070" t="s">
        <v>1200</v>
      </c>
      <c r="B1070" s="18" t="s">
        <v>13</v>
      </c>
      <c r="C1070" s="18" t="s">
        <v>14</v>
      </c>
      <c r="D1070" s="18" t="s">
        <v>34</v>
      </c>
      <c r="E1070" s="18" t="s">
        <v>2072</v>
      </c>
      <c r="F1070" s="18">
        <v>14294</v>
      </c>
      <c r="G1070" s="18">
        <v>7165</v>
      </c>
      <c r="H1070" s="18">
        <v>734</v>
      </c>
      <c r="I1070" s="18">
        <v>6395</v>
      </c>
    </row>
    <row r="1071" spans="1:9" x14ac:dyDescent="0.3">
      <c r="A1071" t="s">
        <v>1479</v>
      </c>
      <c r="B1071" s="18" t="s">
        <v>13</v>
      </c>
      <c r="C1071" s="18" t="s">
        <v>14</v>
      </c>
      <c r="D1071" s="18" t="s">
        <v>35</v>
      </c>
      <c r="E1071" s="18" t="s">
        <v>2072</v>
      </c>
      <c r="F1071" s="18">
        <v>2708</v>
      </c>
      <c r="G1071" s="18">
        <v>1071</v>
      </c>
      <c r="H1071" s="18">
        <v>109</v>
      </c>
      <c r="I1071" s="18">
        <v>1528</v>
      </c>
    </row>
    <row r="1072" spans="1:9" x14ac:dyDescent="0.3">
      <c r="A1072" t="s">
        <v>1919</v>
      </c>
      <c r="B1072" s="18" t="s">
        <v>13</v>
      </c>
      <c r="C1072" s="18" t="s">
        <v>83</v>
      </c>
      <c r="D1072" s="18" t="s">
        <v>83</v>
      </c>
      <c r="E1072" s="18" t="s">
        <v>2072</v>
      </c>
      <c r="F1072" s="18">
        <v>475</v>
      </c>
      <c r="G1072" s="18">
        <v>185</v>
      </c>
      <c r="H1072" s="18">
        <v>9</v>
      </c>
      <c r="I1072" s="18">
        <v>281</v>
      </c>
    </row>
    <row r="1073" spans="1:9" x14ac:dyDescent="0.3">
      <c r="A1073" t="s">
        <v>1920</v>
      </c>
      <c r="B1073" s="18" t="s">
        <v>13</v>
      </c>
      <c r="C1073" s="18" t="s">
        <v>83</v>
      </c>
      <c r="D1073" s="18" t="s">
        <v>84</v>
      </c>
      <c r="E1073" s="18" t="s">
        <v>2072</v>
      </c>
      <c r="F1073" s="18">
        <v>728</v>
      </c>
      <c r="G1073" s="18">
        <v>257</v>
      </c>
      <c r="H1073" s="18">
        <v>19</v>
      </c>
      <c r="I1073" s="18">
        <v>452</v>
      </c>
    </row>
    <row r="1074" spans="1:9" x14ac:dyDescent="0.3">
      <c r="A1074" t="s">
        <v>1403</v>
      </c>
      <c r="B1074" s="18" t="s">
        <v>13</v>
      </c>
      <c r="C1074" s="18" t="s">
        <v>36</v>
      </c>
      <c r="D1074" s="18" t="s">
        <v>36</v>
      </c>
      <c r="E1074" s="18" t="s">
        <v>2072</v>
      </c>
      <c r="F1074" s="18">
        <v>3523</v>
      </c>
      <c r="G1074" s="18">
        <v>1360</v>
      </c>
      <c r="H1074" s="18">
        <v>192</v>
      </c>
      <c r="I1074" s="18">
        <v>1971</v>
      </c>
    </row>
    <row r="1075" spans="1:9" x14ac:dyDescent="0.3">
      <c r="A1075" t="s">
        <v>1133</v>
      </c>
      <c r="B1075" s="18" t="s">
        <v>13</v>
      </c>
      <c r="C1075" s="18" t="s">
        <v>36</v>
      </c>
      <c r="D1075" s="18" t="s">
        <v>37</v>
      </c>
      <c r="E1075" s="18" t="s">
        <v>2072</v>
      </c>
      <c r="F1075" s="18">
        <v>1125</v>
      </c>
      <c r="G1075" s="18">
        <v>431</v>
      </c>
      <c r="H1075" s="18">
        <v>73</v>
      </c>
      <c r="I1075" s="18">
        <v>621</v>
      </c>
    </row>
    <row r="1076" spans="1:9" x14ac:dyDescent="0.3">
      <c r="A1076" t="s">
        <v>1480</v>
      </c>
      <c r="B1076" s="18" t="s">
        <v>13</v>
      </c>
      <c r="C1076" s="18" t="s">
        <v>36</v>
      </c>
      <c r="D1076" s="18" t="s">
        <v>38</v>
      </c>
      <c r="E1076" s="18" t="s">
        <v>2072</v>
      </c>
      <c r="F1076" s="18">
        <v>454</v>
      </c>
      <c r="G1076" s="18">
        <v>165</v>
      </c>
      <c r="H1076" s="18">
        <v>8</v>
      </c>
      <c r="I1076" s="18">
        <v>281</v>
      </c>
    </row>
    <row r="1077" spans="1:9" x14ac:dyDescent="0.3">
      <c r="A1077" t="s">
        <v>1197</v>
      </c>
      <c r="B1077" s="18" t="s">
        <v>13</v>
      </c>
      <c r="C1077" s="18" t="s">
        <v>88</v>
      </c>
      <c r="D1077" s="18" t="s">
        <v>88</v>
      </c>
      <c r="E1077" s="18" t="s">
        <v>2072</v>
      </c>
      <c r="F1077" s="18">
        <v>1453</v>
      </c>
      <c r="G1077" s="18">
        <v>678</v>
      </c>
      <c r="H1077" s="18">
        <v>86</v>
      </c>
      <c r="I1077" s="18">
        <v>689</v>
      </c>
    </row>
    <row r="1078" spans="1:9" x14ac:dyDescent="0.3">
      <c r="A1078" t="s">
        <v>1910</v>
      </c>
      <c r="B1078" s="18" t="s">
        <v>13</v>
      </c>
      <c r="C1078" s="18" t="s">
        <v>39</v>
      </c>
      <c r="D1078" s="18" t="s">
        <v>40</v>
      </c>
      <c r="E1078" s="18" t="s">
        <v>2072</v>
      </c>
      <c r="F1078" s="18">
        <v>696</v>
      </c>
      <c r="G1078" s="18">
        <v>299</v>
      </c>
      <c r="H1078" s="18">
        <v>28</v>
      </c>
      <c r="I1078" s="18">
        <v>369</v>
      </c>
    </row>
    <row r="1079" spans="1:9" x14ac:dyDescent="0.3">
      <c r="A1079" t="s">
        <v>1307</v>
      </c>
      <c r="B1079" s="18" t="s">
        <v>13</v>
      </c>
      <c r="C1079" s="18" t="s">
        <v>39</v>
      </c>
      <c r="D1079" s="18" t="s">
        <v>39</v>
      </c>
      <c r="E1079" s="18" t="s">
        <v>2072</v>
      </c>
      <c r="F1079" s="18">
        <v>8975</v>
      </c>
      <c r="G1079" s="18">
        <v>4540</v>
      </c>
      <c r="H1079" s="18">
        <v>473</v>
      </c>
      <c r="I1079" s="18">
        <v>3962</v>
      </c>
    </row>
    <row r="1080" spans="1:9" x14ac:dyDescent="0.3">
      <c r="A1080" t="s">
        <v>1481</v>
      </c>
      <c r="B1080" s="18" t="s">
        <v>13</v>
      </c>
      <c r="C1080" s="18" t="s">
        <v>39</v>
      </c>
      <c r="D1080" s="18" t="s">
        <v>41</v>
      </c>
      <c r="E1080" s="18" t="s">
        <v>2072</v>
      </c>
      <c r="F1080" s="18">
        <v>1862</v>
      </c>
      <c r="G1080" s="18">
        <v>636</v>
      </c>
      <c r="H1080" s="18">
        <v>87</v>
      </c>
      <c r="I1080" s="18">
        <v>1139</v>
      </c>
    </row>
    <row r="1081" spans="1:9" x14ac:dyDescent="0.3">
      <c r="A1081" t="s">
        <v>1204</v>
      </c>
      <c r="B1081" s="18" t="s">
        <v>13</v>
      </c>
      <c r="C1081" s="18" t="s">
        <v>39</v>
      </c>
      <c r="D1081" s="18" t="s">
        <v>46</v>
      </c>
      <c r="E1081" s="18" t="s">
        <v>2072</v>
      </c>
      <c r="F1081" s="18">
        <v>1113</v>
      </c>
      <c r="G1081" s="18">
        <v>484</v>
      </c>
      <c r="H1081" s="18">
        <v>68</v>
      </c>
      <c r="I1081" s="18">
        <v>561</v>
      </c>
    </row>
    <row r="1082" spans="1:9" x14ac:dyDescent="0.3">
      <c r="A1082" t="s">
        <v>1911</v>
      </c>
      <c r="B1082" s="18" t="s">
        <v>13</v>
      </c>
      <c r="C1082" s="18" t="s">
        <v>39</v>
      </c>
      <c r="D1082" s="18" t="s">
        <v>42</v>
      </c>
      <c r="E1082" s="18" t="s">
        <v>2072</v>
      </c>
      <c r="F1082" s="18">
        <v>1046</v>
      </c>
      <c r="G1082" s="18">
        <v>346</v>
      </c>
      <c r="H1082" s="18">
        <v>57</v>
      </c>
      <c r="I1082" s="18">
        <v>643</v>
      </c>
    </row>
    <row r="1083" spans="1:9" x14ac:dyDescent="0.3">
      <c r="A1083" t="s">
        <v>1123</v>
      </c>
      <c r="B1083" s="18" t="s">
        <v>13</v>
      </c>
      <c r="C1083" s="18" t="s">
        <v>39</v>
      </c>
      <c r="D1083" s="18" t="s">
        <v>43</v>
      </c>
      <c r="E1083" s="18" t="s">
        <v>2072</v>
      </c>
      <c r="F1083" s="18">
        <v>612</v>
      </c>
      <c r="G1083" s="18">
        <v>303</v>
      </c>
      <c r="H1083" s="18">
        <v>35</v>
      </c>
      <c r="I1083" s="18">
        <v>274</v>
      </c>
    </row>
    <row r="1084" spans="1:9" x14ac:dyDescent="0.3">
      <c r="A1084" t="s">
        <v>1095</v>
      </c>
      <c r="B1084" s="18" t="s">
        <v>13</v>
      </c>
      <c r="C1084" s="18" t="s">
        <v>39</v>
      </c>
      <c r="D1084" s="18" t="s">
        <v>44</v>
      </c>
      <c r="E1084" s="18" t="s">
        <v>2072</v>
      </c>
      <c r="F1084" s="18">
        <v>1947</v>
      </c>
      <c r="G1084" s="18">
        <v>497</v>
      </c>
      <c r="H1084" s="18">
        <v>83</v>
      </c>
      <c r="I1084" s="18">
        <v>1367</v>
      </c>
    </row>
    <row r="1085" spans="1:9" x14ac:dyDescent="0.3">
      <c r="A1085" t="s">
        <v>1016</v>
      </c>
      <c r="B1085" s="18" t="s">
        <v>13</v>
      </c>
      <c r="C1085" s="18" t="s">
        <v>39</v>
      </c>
      <c r="D1085" s="18" t="s">
        <v>47</v>
      </c>
      <c r="E1085" s="18" t="s">
        <v>2072</v>
      </c>
      <c r="F1085" s="18">
        <v>328</v>
      </c>
      <c r="G1085" s="18">
        <v>146</v>
      </c>
      <c r="H1085" s="18">
        <v>10</v>
      </c>
      <c r="I1085" s="18">
        <v>172</v>
      </c>
    </row>
    <row r="1086" spans="1:9" x14ac:dyDescent="0.3">
      <c r="A1086" t="s">
        <v>1219</v>
      </c>
      <c r="B1086" s="18" t="s">
        <v>13</v>
      </c>
      <c r="C1086" s="18" t="s">
        <v>39</v>
      </c>
      <c r="D1086" s="18" t="s">
        <v>45</v>
      </c>
      <c r="E1086" s="18" t="s">
        <v>2072</v>
      </c>
      <c r="F1086" s="18">
        <v>1258</v>
      </c>
      <c r="G1086" s="18">
        <v>398</v>
      </c>
      <c r="H1086" s="18">
        <v>62</v>
      </c>
      <c r="I1086" s="18">
        <v>798</v>
      </c>
    </row>
    <row r="1087" spans="1:9" x14ac:dyDescent="0.3">
      <c r="A1087" t="s">
        <v>1017</v>
      </c>
      <c r="B1087" s="18" t="s">
        <v>13</v>
      </c>
      <c r="C1087" s="18" t="s">
        <v>48</v>
      </c>
      <c r="D1087" s="18" t="s">
        <v>49</v>
      </c>
      <c r="E1087" s="18" t="s">
        <v>2072</v>
      </c>
      <c r="F1087" s="18">
        <v>1244</v>
      </c>
      <c r="G1087" s="18">
        <v>437</v>
      </c>
      <c r="H1087" s="18">
        <v>30</v>
      </c>
      <c r="I1087" s="18">
        <v>777</v>
      </c>
    </row>
    <row r="1088" spans="1:9" x14ac:dyDescent="0.3">
      <c r="A1088" t="s">
        <v>1366</v>
      </c>
      <c r="B1088" s="18" t="s">
        <v>13</v>
      </c>
      <c r="C1088" s="18" t="s">
        <v>48</v>
      </c>
      <c r="D1088" s="18" t="s">
        <v>50</v>
      </c>
      <c r="E1088" s="18" t="s">
        <v>2072</v>
      </c>
      <c r="F1088" s="18">
        <v>575</v>
      </c>
      <c r="G1088" s="18">
        <v>127</v>
      </c>
      <c r="H1088" s="18">
        <v>9</v>
      </c>
      <c r="I1088" s="18">
        <v>439</v>
      </c>
    </row>
    <row r="1089" spans="1:9" x14ac:dyDescent="0.3">
      <c r="A1089" t="s">
        <v>1482</v>
      </c>
      <c r="B1089" s="18" t="s">
        <v>13</v>
      </c>
      <c r="C1089" s="18" t="s">
        <v>48</v>
      </c>
      <c r="D1089" s="18" t="s">
        <v>51</v>
      </c>
      <c r="E1089" s="18" t="s">
        <v>2072</v>
      </c>
      <c r="F1089" s="18">
        <v>554</v>
      </c>
      <c r="G1089" s="18">
        <v>205</v>
      </c>
      <c r="H1089" s="18">
        <v>10</v>
      </c>
      <c r="I1089" s="18">
        <v>339</v>
      </c>
    </row>
    <row r="1090" spans="1:9" x14ac:dyDescent="0.3">
      <c r="A1090" t="s">
        <v>1297</v>
      </c>
      <c r="B1090" s="18" t="s">
        <v>13</v>
      </c>
      <c r="C1090" s="18" t="s">
        <v>48</v>
      </c>
      <c r="D1090" s="18" t="s">
        <v>48</v>
      </c>
      <c r="E1090" s="18" t="s">
        <v>2072</v>
      </c>
      <c r="F1090" s="18">
        <v>3872</v>
      </c>
      <c r="G1090" s="18">
        <v>1164</v>
      </c>
      <c r="H1090" s="18">
        <v>177</v>
      </c>
      <c r="I1090" s="18">
        <v>2531</v>
      </c>
    </row>
    <row r="1091" spans="1:9" x14ac:dyDescent="0.3">
      <c r="A1091" t="s">
        <v>1325</v>
      </c>
      <c r="B1091" s="18" t="s">
        <v>13</v>
      </c>
      <c r="C1091" s="18" t="s">
        <v>75</v>
      </c>
      <c r="D1091" s="18" t="s">
        <v>76</v>
      </c>
      <c r="E1091" s="18" t="s">
        <v>2072</v>
      </c>
      <c r="F1091" s="18">
        <v>1034</v>
      </c>
      <c r="G1091" s="18">
        <v>350</v>
      </c>
      <c r="H1091" s="18">
        <v>44</v>
      </c>
      <c r="I1091" s="18">
        <v>640</v>
      </c>
    </row>
    <row r="1092" spans="1:9" x14ac:dyDescent="0.3">
      <c r="A1092" t="s">
        <v>1381</v>
      </c>
      <c r="B1092" s="18" t="s">
        <v>13</v>
      </c>
      <c r="C1092" s="18" t="s">
        <v>75</v>
      </c>
      <c r="D1092" s="18" t="s">
        <v>77</v>
      </c>
      <c r="E1092" s="18" t="s">
        <v>2072</v>
      </c>
      <c r="F1092" s="18">
        <v>397</v>
      </c>
      <c r="G1092" s="18">
        <v>166</v>
      </c>
      <c r="H1092" s="18">
        <v>46</v>
      </c>
      <c r="I1092" s="18">
        <v>185</v>
      </c>
    </row>
    <row r="1093" spans="1:9" x14ac:dyDescent="0.3">
      <c r="A1093" t="s">
        <v>1483</v>
      </c>
      <c r="B1093" s="18" t="s">
        <v>13</v>
      </c>
      <c r="C1093" s="18" t="s">
        <v>52</v>
      </c>
      <c r="D1093" s="18" t="s">
        <v>53</v>
      </c>
      <c r="E1093" s="18" t="s">
        <v>2072</v>
      </c>
      <c r="F1093" s="18">
        <v>819</v>
      </c>
      <c r="G1093" s="18">
        <v>344</v>
      </c>
      <c r="H1093" s="18">
        <v>11</v>
      </c>
      <c r="I1093" s="18">
        <v>464</v>
      </c>
    </row>
    <row r="1094" spans="1:9" x14ac:dyDescent="0.3">
      <c r="A1094" t="s">
        <v>1100</v>
      </c>
      <c r="B1094" s="18" t="s">
        <v>13</v>
      </c>
      <c r="C1094" s="18" t="s">
        <v>52</v>
      </c>
      <c r="D1094" s="18" t="s">
        <v>54</v>
      </c>
      <c r="E1094" s="18" t="s">
        <v>2072</v>
      </c>
      <c r="F1094" s="18">
        <v>1405</v>
      </c>
      <c r="G1094" s="18">
        <v>525</v>
      </c>
      <c r="H1094" s="18">
        <v>61</v>
      </c>
      <c r="I1094" s="18">
        <v>819</v>
      </c>
    </row>
    <row r="1095" spans="1:9" x14ac:dyDescent="0.3">
      <c r="A1095" t="s">
        <v>1081</v>
      </c>
      <c r="B1095" s="18" t="s">
        <v>13</v>
      </c>
      <c r="C1095" s="18" t="s">
        <v>52</v>
      </c>
      <c r="D1095" s="18" t="s">
        <v>59</v>
      </c>
      <c r="E1095" s="18" t="s">
        <v>2072</v>
      </c>
      <c r="F1095" s="18">
        <v>799</v>
      </c>
      <c r="G1095" s="18">
        <v>325</v>
      </c>
      <c r="H1095" s="18">
        <v>37</v>
      </c>
      <c r="I1095" s="18">
        <v>437</v>
      </c>
    </row>
    <row r="1096" spans="1:9" x14ac:dyDescent="0.3">
      <c r="A1096" t="s">
        <v>1053</v>
      </c>
      <c r="B1096" s="18" t="s">
        <v>13</v>
      </c>
      <c r="C1096" s="18" t="s">
        <v>52</v>
      </c>
      <c r="D1096" s="18" t="s">
        <v>55</v>
      </c>
      <c r="E1096" s="18" t="s">
        <v>2072</v>
      </c>
      <c r="F1096" s="18">
        <v>1411</v>
      </c>
      <c r="G1096" s="18">
        <v>604</v>
      </c>
      <c r="H1096" s="18">
        <v>78</v>
      </c>
      <c r="I1096" s="18">
        <v>729</v>
      </c>
    </row>
    <row r="1097" spans="1:9" x14ac:dyDescent="0.3">
      <c r="A1097" t="s">
        <v>1018</v>
      </c>
      <c r="B1097" s="18" t="s">
        <v>13</v>
      </c>
      <c r="C1097" s="18" t="s">
        <v>52</v>
      </c>
      <c r="D1097" s="18" t="s">
        <v>56</v>
      </c>
      <c r="E1097" s="18" t="s">
        <v>2072</v>
      </c>
      <c r="F1097" s="18">
        <v>319</v>
      </c>
      <c r="G1097" s="18">
        <v>93</v>
      </c>
      <c r="H1097" s="18">
        <v>17</v>
      </c>
      <c r="I1097" s="18">
        <v>209</v>
      </c>
    </row>
    <row r="1098" spans="1:9" x14ac:dyDescent="0.3">
      <c r="A1098" t="s">
        <v>1077</v>
      </c>
      <c r="B1098" s="18" t="s">
        <v>13</v>
      </c>
      <c r="C1098" s="18" t="s">
        <v>52</v>
      </c>
      <c r="D1098" s="18" t="s">
        <v>52</v>
      </c>
      <c r="E1098" s="18" t="s">
        <v>2072</v>
      </c>
      <c r="F1098" s="18">
        <v>4795</v>
      </c>
      <c r="G1098" s="18">
        <v>2360</v>
      </c>
      <c r="H1098" s="18">
        <v>203</v>
      </c>
      <c r="I1098" s="18">
        <v>2232</v>
      </c>
    </row>
    <row r="1099" spans="1:9" x14ac:dyDescent="0.3">
      <c r="A1099" t="s">
        <v>1075</v>
      </c>
      <c r="B1099" s="18" t="s">
        <v>13</v>
      </c>
      <c r="C1099" s="18" t="s">
        <v>52</v>
      </c>
      <c r="D1099" s="18" t="s">
        <v>57</v>
      </c>
      <c r="E1099" s="18" t="s">
        <v>2072</v>
      </c>
      <c r="F1099" s="18">
        <v>1169</v>
      </c>
      <c r="G1099" s="18">
        <v>492</v>
      </c>
      <c r="H1099" s="18">
        <v>58</v>
      </c>
      <c r="I1099" s="18">
        <v>619</v>
      </c>
    </row>
    <row r="1100" spans="1:9" x14ac:dyDescent="0.3">
      <c r="A1100" t="s">
        <v>1912</v>
      </c>
      <c r="B1100" s="18" t="s">
        <v>13</v>
      </c>
      <c r="C1100" s="18" t="s">
        <v>52</v>
      </c>
      <c r="D1100" s="18" t="s">
        <v>58</v>
      </c>
      <c r="E1100" s="18" t="s">
        <v>2072</v>
      </c>
      <c r="F1100" s="18">
        <v>556</v>
      </c>
      <c r="G1100" s="18">
        <v>137</v>
      </c>
      <c r="H1100" s="18">
        <v>34</v>
      </c>
      <c r="I1100" s="18">
        <v>385</v>
      </c>
    </row>
    <row r="1101" spans="1:9" x14ac:dyDescent="0.3">
      <c r="A1101" t="s">
        <v>1484</v>
      </c>
      <c r="B1101" s="18" t="s">
        <v>13</v>
      </c>
      <c r="C1101" s="18" t="s">
        <v>60</v>
      </c>
      <c r="D1101" s="18" t="s">
        <v>60</v>
      </c>
      <c r="E1101" s="18" t="s">
        <v>2072</v>
      </c>
      <c r="F1101" s="18">
        <v>3090</v>
      </c>
      <c r="G1101" s="18">
        <v>733</v>
      </c>
      <c r="H1101" s="18">
        <v>124</v>
      </c>
      <c r="I1101" s="18">
        <v>2233</v>
      </c>
    </row>
    <row r="1102" spans="1:9" x14ac:dyDescent="0.3">
      <c r="A1102" t="s">
        <v>1485</v>
      </c>
      <c r="B1102" s="18" t="s">
        <v>13</v>
      </c>
      <c r="C1102" s="18" t="s">
        <v>60</v>
      </c>
      <c r="D1102" s="18" t="s">
        <v>61</v>
      </c>
      <c r="E1102" s="18" t="s">
        <v>2072</v>
      </c>
      <c r="F1102" s="18">
        <v>683</v>
      </c>
      <c r="G1102" s="18">
        <v>155</v>
      </c>
      <c r="H1102" s="18">
        <v>31</v>
      </c>
      <c r="I1102" s="18">
        <v>497</v>
      </c>
    </row>
    <row r="1103" spans="1:9" x14ac:dyDescent="0.3">
      <c r="A1103" t="s">
        <v>1063</v>
      </c>
      <c r="B1103" s="18" t="s">
        <v>13</v>
      </c>
      <c r="C1103" s="18" t="s">
        <v>62</v>
      </c>
      <c r="D1103" s="18" t="s">
        <v>63</v>
      </c>
      <c r="E1103" s="18" t="s">
        <v>2072</v>
      </c>
      <c r="F1103" s="18">
        <v>345</v>
      </c>
      <c r="G1103" s="18">
        <v>176</v>
      </c>
      <c r="H1103" s="18">
        <v>24</v>
      </c>
      <c r="I1103" s="18">
        <v>145</v>
      </c>
    </row>
    <row r="1104" spans="1:9" x14ac:dyDescent="0.3">
      <c r="A1104" t="s">
        <v>1120</v>
      </c>
      <c r="B1104" s="18" t="s">
        <v>13</v>
      </c>
      <c r="C1104" s="18" t="s">
        <v>62</v>
      </c>
      <c r="D1104" s="18" t="s">
        <v>62</v>
      </c>
      <c r="E1104" s="18" t="s">
        <v>2072</v>
      </c>
      <c r="F1104" s="18">
        <v>1320</v>
      </c>
      <c r="G1104" s="18">
        <v>551</v>
      </c>
      <c r="H1104" s="18">
        <v>33</v>
      </c>
      <c r="I1104" s="18">
        <v>736</v>
      </c>
    </row>
    <row r="1105" spans="1:9" x14ac:dyDescent="0.3">
      <c r="A1105" t="s">
        <v>1389</v>
      </c>
      <c r="B1105" s="18" t="s">
        <v>13</v>
      </c>
      <c r="C1105" s="18" t="s">
        <v>64</v>
      </c>
      <c r="D1105" s="18" t="s">
        <v>65</v>
      </c>
      <c r="E1105" s="18" t="s">
        <v>2072</v>
      </c>
      <c r="F1105" s="18">
        <v>1729</v>
      </c>
      <c r="G1105" s="18">
        <v>695</v>
      </c>
      <c r="H1105" s="18">
        <v>120</v>
      </c>
      <c r="I1105" s="18">
        <v>914</v>
      </c>
    </row>
    <row r="1106" spans="1:9" x14ac:dyDescent="0.3">
      <c r="A1106" t="s">
        <v>1913</v>
      </c>
      <c r="B1106" s="18" t="s">
        <v>13</v>
      </c>
      <c r="C1106" s="18" t="s">
        <v>64</v>
      </c>
      <c r="D1106" s="18" t="s">
        <v>66</v>
      </c>
      <c r="E1106" s="18" t="s">
        <v>2072</v>
      </c>
      <c r="F1106" s="18">
        <v>931</v>
      </c>
      <c r="G1106" s="18">
        <v>213</v>
      </c>
      <c r="H1106" s="18">
        <v>32</v>
      </c>
      <c r="I1106" s="18">
        <v>686</v>
      </c>
    </row>
    <row r="1107" spans="1:9" x14ac:dyDescent="0.3">
      <c r="A1107" t="s">
        <v>1487</v>
      </c>
      <c r="B1107" s="18" t="s">
        <v>13</v>
      </c>
      <c r="C1107" s="18" t="s">
        <v>64</v>
      </c>
      <c r="D1107" s="18" t="s">
        <v>68</v>
      </c>
      <c r="E1107" s="18" t="s">
        <v>2072</v>
      </c>
      <c r="F1107" s="18">
        <v>634</v>
      </c>
      <c r="G1107" s="18">
        <v>234</v>
      </c>
      <c r="H1107" s="18">
        <v>28</v>
      </c>
      <c r="I1107" s="18">
        <v>372</v>
      </c>
    </row>
    <row r="1108" spans="1:9" x14ac:dyDescent="0.3">
      <c r="A1108" t="s">
        <v>1090</v>
      </c>
      <c r="B1108" s="18" t="s">
        <v>13</v>
      </c>
      <c r="C1108" s="18" t="s">
        <v>64</v>
      </c>
      <c r="D1108" s="18" t="s">
        <v>64</v>
      </c>
      <c r="E1108" s="18" t="s">
        <v>2072</v>
      </c>
      <c r="F1108" s="18">
        <v>4244</v>
      </c>
      <c r="G1108" s="18">
        <v>2078</v>
      </c>
      <c r="H1108" s="18">
        <v>169</v>
      </c>
      <c r="I1108" s="18">
        <v>1997</v>
      </c>
    </row>
    <row r="1109" spans="1:9" x14ac:dyDescent="0.3">
      <c r="A1109" t="s">
        <v>1486</v>
      </c>
      <c r="B1109" s="18" t="s">
        <v>13</v>
      </c>
      <c r="C1109" s="18" t="s">
        <v>64</v>
      </c>
      <c r="D1109" s="18" t="s">
        <v>67</v>
      </c>
      <c r="E1109" s="18" t="s">
        <v>2072</v>
      </c>
      <c r="F1109" s="18">
        <v>715</v>
      </c>
      <c r="G1109" s="18">
        <v>202</v>
      </c>
      <c r="H1109" s="18">
        <v>21</v>
      </c>
      <c r="I1109" s="18">
        <v>492</v>
      </c>
    </row>
    <row r="1110" spans="1:9" x14ac:dyDescent="0.3">
      <c r="A1110" t="s">
        <v>1491</v>
      </c>
      <c r="B1110" s="18" t="s">
        <v>13</v>
      </c>
      <c r="C1110" s="18" t="s">
        <v>85</v>
      </c>
      <c r="D1110" s="18" t="s">
        <v>86</v>
      </c>
      <c r="E1110" s="18" t="s">
        <v>2072</v>
      </c>
      <c r="F1110" s="18">
        <v>342</v>
      </c>
      <c r="G1110" s="18">
        <v>131</v>
      </c>
      <c r="H1110" s="18">
        <v>25</v>
      </c>
      <c r="I1110" s="18">
        <v>186</v>
      </c>
    </row>
    <row r="1111" spans="1:9" x14ac:dyDescent="0.3">
      <c r="A1111" t="s">
        <v>1922</v>
      </c>
      <c r="B1111" s="18" t="s">
        <v>13</v>
      </c>
      <c r="C1111" s="18" t="s">
        <v>85</v>
      </c>
      <c r="D1111" s="18" t="s">
        <v>87</v>
      </c>
      <c r="E1111" s="18" t="s">
        <v>2072</v>
      </c>
      <c r="F1111" s="18">
        <v>696</v>
      </c>
      <c r="G1111" s="18">
        <v>401</v>
      </c>
      <c r="H1111" s="18">
        <v>21</v>
      </c>
      <c r="I1111" s="18">
        <v>274</v>
      </c>
    </row>
    <row r="1112" spans="1:9" x14ac:dyDescent="0.3">
      <c r="A1112" t="s">
        <v>1921</v>
      </c>
      <c r="B1112" s="18" t="s">
        <v>13</v>
      </c>
      <c r="C1112" s="18" t="s">
        <v>85</v>
      </c>
      <c r="D1112" s="18" t="s">
        <v>85</v>
      </c>
      <c r="E1112" s="18" t="s">
        <v>2072</v>
      </c>
      <c r="F1112" s="18">
        <v>842</v>
      </c>
      <c r="G1112" s="18">
        <v>348</v>
      </c>
      <c r="H1112" s="18">
        <v>66</v>
      </c>
      <c r="I1112" s="18">
        <v>428</v>
      </c>
    </row>
    <row r="1113" spans="1:9" x14ac:dyDescent="0.3">
      <c r="A1113" t="s">
        <v>2055</v>
      </c>
      <c r="B1113" s="18" t="s">
        <v>13</v>
      </c>
      <c r="C1113" s="18" t="s">
        <v>69</v>
      </c>
      <c r="D1113" s="18" t="s">
        <v>1003</v>
      </c>
      <c r="E1113" s="18" t="s">
        <v>2072</v>
      </c>
      <c r="F1113" s="18">
        <v>754</v>
      </c>
      <c r="G1113" s="18">
        <v>430</v>
      </c>
      <c r="H1113" s="18">
        <v>15</v>
      </c>
      <c r="I1113" s="18">
        <v>309</v>
      </c>
    </row>
    <row r="1114" spans="1:9" x14ac:dyDescent="0.3">
      <c r="A1114" t="s">
        <v>1914</v>
      </c>
      <c r="B1114" s="18" t="s">
        <v>13</v>
      </c>
      <c r="C1114" s="18" t="s">
        <v>69</v>
      </c>
      <c r="D1114" s="18" t="s">
        <v>71</v>
      </c>
      <c r="E1114" s="18" t="s">
        <v>2072</v>
      </c>
      <c r="F1114" s="18">
        <v>484</v>
      </c>
      <c r="G1114" s="18">
        <v>240</v>
      </c>
      <c r="H1114" s="18">
        <v>4</v>
      </c>
      <c r="I1114" s="18">
        <v>240</v>
      </c>
    </row>
    <row r="1115" spans="1:9" x14ac:dyDescent="0.3">
      <c r="A1115" t="s">
        <v>1488</v>
      </c>
      <c r="B1115" s="18" t="s">
        <v>13</v>
      </c>
      <c r="C1115" s="18" t="s">
        <v>69</v>
      </c>
      <c r="D1115" s="18" t="s">
        <v>70</v>
      </c>
      <c r="E1115" s="18" t="s">
        <v>2072</v>
      </c>
      <c r="F1115" s="18">
        <v>1218</v>
      </c>
      <c r="G1115" s="18">
        <v>444</v>
      </c>
      <c r="H1115" s="18">
        <v>89</v>
      </c>
      <c r="I1115" s="18">
        <v>685</v>
      </c>
    </row>
    <row r="1116" spans="1:9" x14ac:dyDescent="0.3">
      <c r="A1116" t="s">
        <v>1915</v>
      </c>
      <c r="B1116" s="18" t="s">
        <v>13</v>
      </c>
      <c r="C1116" s="18" t="s">
        <v>69</v>
      </c>
      <c r="D1116" s="18" t="s">
        <v>72</v>
      </c>
      <c r="E1116" s="18" t="s">
        <v>2072</v>
      </c>
      <c r="F1116" s="18">
        <v>1332</v>
      </c>
      <c r="G1116" s="18">
        <v>702</v>
      </c>
      <c r="H1116" s="18">
        <v>24</v>
      </c>
      <c r="I1116" s="18">
        <v>606</v>
      </c>
    </row>
    <row r="1117" spans="1:9" x14ac:dyDescent="0.3">
      <c r="A1117" t="s">
        <v>1489</v>
      </c>
      <c r="B1117" s="18" t="s">
        <v>13</v>
      </c>
      <c r="C1117" s="18" t="s">
        <v>69</v>
      </c>
      <c r="D1117" s="18" t="s">
        <v>73</v>
      </c>
      <c r="E1117" s="18" t="s">
        <v>2072</v>
      </c>
      <c r="F1117" s="18">
        <v>1430</v>
      </c>
      <c r="G1117" s="18">
        <v>444</v>
      </c>
      <c r="H1117" s="18">
        <v>72</v>
      </c>
      <c r="I1117" s="18">
        <v>914</v>
      </c>
    </row>
    <row r="1118" spans="1:9" x14ac:dyDescent="0.3">
      <c r="A1118" t="s">
        <v>1916</v>
      </c>
      <c r="B1118" s="18" t="s">
        <v>13</v>
      </c>
      <c r="C1118" s="18" t="s">
        <v>69</v>
      </c>
      <c r="D1118" s="18" t="s">
        <v>74</v>
      </c>
      <c r="E1118" s="18" t="s">
        <v>2072</v>
      </c>
      <c r="F1118" s="18">
        <v>805</v>
      </c>
      <c r="G1118" s="18">
        <v>467</v>
      </c>
      <c r="H1118" s="18">
        <v>20</v>
      </c>
      <c r="I1118" s="18">
        <v>318</v>
      </c>
    </row>
    <row r="1119" spans="1:9" x14ac:dyDescent="0.3">
      <c r="A1119" t="s">
        <v>1193</v>
      </c>
      <c r="B1119" s="18" t="s">
        <v>13</v>
      </c>
      <c r="C1119" s="18" t="s">
        <v>69</v>
      </c>
      <c r="D1119" s="18" t="s">
        <v>69</v>
      </c>
      <c r="E1119" s="18" t="s">
        <v>2072</v>
      </c>
      <c r="F1119" s="18">
        <v>4598</v>
      </c>
      <c r="G1119" s="18">
        <v>2578</v>
      </c>
      <c r="H1119" s="18">
        <v>114</v>
      </c>
      <c r="I1119" s="18">
        <v>1906</v>
      </c>
    </row>
    <row r="1120" spans="1:9" x14ac:dyDescent="0.3">
      <c r="A1120" t="s">
        <v>1508</v>
      </c>
      <c r="B1120" s="18" t="s">
        <v>90</v>
      </c>
      <c r="C1120" s="18" t="s">
        <v>115</v>
      </c>
      <c r="D1120" s="18" t="s">
        <v>115</v>
      </c>
      <c r="E1120" s="18" t="s">
        <v>2072</v>
      </c>
      <c r="F1120" s="18">
        <v>6131</v>
      </c>
      <c r="G1120" s="18">
        <v>2068</v>
      </c>
      <c r="H1120" s="18">
        <v>444</v>
      </c>
      <c r="I1120" s="18">
        <v>3619</v>
      </c>
    </row>
    <row r="1121" spans="1:9" x14ac:dyDescent="0.3">
      <c r="A1121" t="s">
        <v>1497</v>
      </c>
      <c r="B1121" s="18" t="s">
        <v>90</v>
      </c>
      <c r="C1121" s="18" t="s">
        <v>100</v>
      </c>
      <c r="D1121" s="18" t="s">
        <v>100</v>
      </c>
      <c r="E1121" s="18" t="s">
        <v>2072</v>
      </c>
      <c r="F1121" s="18">
        <v>5363</v>
      </c>
      <c r="G1121" s="18">
        <v>1728</v>
      </c>
      <c r="H1121" s="18">
        <v>262</v>
      </c>
      <c r="I1121" s="18">
        <v>3373</v>
      </c>
    </row>
    <row r="1122" spans="1:9" x14ac:dyDescent="0.3">
      <c r="A1122" t="s">
        <v>1498</v>
      </c>
      <c r="B1122" s="18" t="s">
        <v>90</v>
      </c>
      <c r="C1122" s="18" t="s">
        <v>100</v>
      </c>
      <c r="D1122" s="18" t="s">
        <v>101</v>
      </c>
      <c r="E1122" s="18" t="s">
        <v>2072</v>
      </c>
      <c r="F1122" s="18">
        <v>2164</v>
      </c>
      <c r="G1122" s="18">
        <v>563</v>
      </c>
      <c r="H1122" s="18">
        <v>121</v>
      </c>
      <c r="I1122" s="18">
        <v>1480</v>
      </c>
    </row>
    <row r="1123" spans="1:9" x14ac:dyDescent="0.3">
      <c r="A1123" t="s">
        <v>1221</v>
      </c>
      <c r="B1123" s="18" t="s">
        <v>90</v>
      </c>
      <c r="C1123" s="18" t="s">
        <v>102</v>
      </c>
      <c r="D1123" s="18" t="s">
        <v>104</v>
      </c>
      <c r="E1123" s="18" t="s">
        <v>2072</v>
      </c>
      <c r="F1123" s="18">
        <v>1128</v>
      </c>
      <c r="G1123" s="18">
        <v>270</v>
      </c>
      <c r="H1123" s="18">
        <v>192</v>
      </c>
      <c r="I1123" s="18">
        <v>666</v>
      </c>
    </row>
    <row r="1124" spans="1:9" x14ac:dyDescent="0.3">
      <c r="A1124" t="s">
        <v>1499</v>
      </c>
      <c r="B1124" s="18" t="s">
        <v>90</v>
      </c>
      <c r="C1124" s="18" t="s">
        <v>102</v>
      </c>
      <c r="D1124" s="18" t="s">
        <v>105</v>
      </c>
      <c r="E1124" s="18" t="s">
        <v>2072</v>
      </c>
      <c r="F1124" s="18">
        <v>1049</v>
      </c>
      <c r="G1124" s="18">
        <v>293</v>
      </c>
      <c r="H1124" s="18">
        <v>51</v>
      </c>
      <c r="I1124" s="18">
        <v>705</v>
      </c>
    </row>
    <row r="1125" spans="1:9" x14ac:dyDescent="0.3">
      <c r="A1125" t="s">
        <v>1119</v>
      </c>
      <c r="B1125" s="18" t="s">
        <v>90</v>
      </c>
      <c r="C1125" s="18" t="s">
        <v>102</v>
      </c>
      <c r="D1125" s="18" t="s">
        <v>103</v>
      </c>
      <c r="E1125" s="18" t="s">
        <v>2072</v>
      </c>
      <c r="F1125" s="18">
        <v>2564</v>
      </c>
      <c r="G1125" s="18">
        <v>1034</v>
      </c>
      <c r="H1125" s="18">
        <v>232</v>
      </c>
      <c r="I1125" s="18">
        <v>1298</v>
      </c>
    </row>
    <row r="1126" spans="1:9" x14ac:dyDescent="0.3">
      <c r="A1126" t="s">
        <v>1160</v>
      </c>
      <c r="B1126" s="18" t="s">
        <v>90</v>
      </c>
      <c r="C1126" s="18" t="s">
        <v>102</v>
      </c>
      <c r="D1126" s="18" t="s">
        <v>106</v>
      </c>
      <c r="E1126" s="18" t="s">
        <v>2072</v>
      </c>
      <c r="F1126" s="18">
        <v>469</v>
      </c>
      <c r="G1126" s="18">
        <v>133</v>
      </c>
      <c r="H1126" s="18">
        <v>41</v>
      </c>
      <c r="I1126" s="18">
        <v>295</v>
      </c>
    </row>
    <row r="1127" spans="1:9" x14ac:dyDescent="0.3">
      <c r="A1127" t="s">
        <v>1500</v>
      </c>
      <c r="B1127" s="18" t="s">
        <v>90</v>
      </c>
      <c r="C1127" s="18" t="s">
        <v>102</v>
      </c>
      <c r="D1127" s="18" t="s">
        <v>107</v>
      </c>
      <c r="E1127" s="18" t="s">
        <v>2072</v>
      </c>
      <c r="F1127" s="18">
        <v>1171</v>
      </c>
      <c r="G1127" s="18">
        <v>348</v>
      </c>
      <c r="H1127" s="18">
        <v>94</v>
      </c>
      <c r="I1127" s="18">
        <v>729</v>
      </c>
    </row>
    <row r="1128" spans="1:9" x14ac:dyDescent="0.3">
      <c r="A1128" t="s">
        <v>1501</v>
      </c>
      <c r="B1128" s="18" t="s">
        <v>90</v>
      </c>
      <c r="C1128" s="18" t="s">
        <v>108</v>
      </c>
      <c r="D1128" s="18" t="s">
        <v>108</v>
      </c>
      <c r="E1128" s="18" t="s">
        <v>2072</v>
      </c>
      <c r="F1128" s="18">
        <v>5671</v>
      </c>
      <c r="G1128" s="18">
        <v>1920</v>
      </c>
      <c r="H1128" s="18">
        <v>381</v>
      </c>
      <c r="I1128" s="18">
        <v>3370</v>
      </c>
    </row>
    <row r="1129" spans="1:9" x14ac:dyDescent="0.3">
      <c r="A1129" t="s">
        <v>1923</v>
      </c>
      <c r="B1129" s="18" t="s">
        <v>90</v>
      </c>
      <c r="C1129" s="18" t="s">
        <v>91</v>
      </c>
      <c r="D1129" s="18" t="s">
        <v>92</v>
      </c>
      <c r="E1129" s="18" t="s">
        <v>2072</v>
      </c>
      <c r="F1129" s="18">
        <v>686</v>
      </c>
      <c r="G1129" s="18">
        <v>211</v>
      </c>
      <c r="H1129" s="18">
        <v>70</v>
      </c>
      <c r="I1129" s="18">
        <v>405</v>
      </c>
    </row>
    <row r="1130" spans="1:9" x14ac:dyDescent="0.3">
      <c r="A1130" t="s">
        <v>1355</v>
      </c>
      <c r="B1130" s="18" t="s">
        <v>90</v>
      </c>
      <c r="C1130" s="18" t="s">
        <v>91</v>
      </c>
      <c r="D1130" s="18" t="s">
        <v>91</v>
      </c>
      <c r="E1130" s="18" t="s">
        <v>2072</v>
      </c>
      <c r="F1130" s="18">
        <v>25599</v>
      </c>
      <c r="G1130" s="18">
        <v>9229</v>
      </c>
      <c r="H1130" s="18">
        <v>2052</v>
      </c>
      <c r="I1130" s="18">
        <v>14318</v>
      </c>
    </row>
    <row r="1131" spans="1:9" x14ac:dyDescent="0.3">
      <c r="A1131" t="s">
        <v>1137</v>
      </c>
      <c r="B1131" s="18" t="s">
        <v>90</v>
      </c>
      <c r="C1131" s="18" t="s">
        <v>91</v>
      </c>
      <c r="D1131" s="18" t="s">
        <v>93</v>
      </c>
      <c r="E1131" s="18" t="s">
        <v>2072</v>
      </c>
      <c r="F1131" s="18">
        <v>950</v>
      </c>
      <c r="G1131" s="18">
        <v>224</v>
      </c>
      <c r="H1131" s="18">
        <v>54</v>
      </c>
      <c r="I1131" s="18">
        <v>672</v>
      </c>
    </row>
    <row r="1132" spans="1:9" x14ac:dyDescent="0.3">
      <c r="A1132" t="s">
        <v>1493</v>
      </c>
      <c r="B1132" s="18" t="s">
        <v>90</v>
      </c>
      <c r="C1132" s="18" t="s">
        <v>91</v>
      </c>
      <c r="D1132" s="18" t="s">
        <v>94</v>
      </c>
      <c r="E1132" s="18" t="s">
        <v>2072</v>
      </c>
      <c r="F1132" s="18">
        <v>2192</v>
      </c>
      <c r="G1132" s="18">
        <v>637</v>
      </c>
      <c r="H1132" s="18">
        <v>114</v>
      </c>
      <c r="I1132" s="18">
        <v>1441</v>
      </c>
    </row>
    <row r="1133" spans="1:9" x14ac:dyDescent="0.3">
      <c r="A1133" t="s">
        <v>1494</v>
      </c>
      <c r="B1133" s="18" t="s">
        <v>90</v>
      </c>
      <c r="C1133" s="18" t="s">
        <v>91</v>
      </c>
      <c r="D1133" s="18" t="s">
        <v>95</v>
      </c>
      <c r="E1133" s="18" t="s">
        <v>2072</v>
      </c>
      <c r="F1133" s="18">
        <v>731</v>
      </c>
      <c r="G1133" s="18">
        <v>160</v>
      </c>
      <c r="H1133" s="18">
        <v>31</v>
      </c>
      <c r="I1133" s="18">
        <v>540</v>
      </c>
    </row>
    <row r="1134" spans="1:9" x14ac:dyDescent="0.3">
      <c r="A1134" t="s">
        <v>1496</v>
      </c>
      <c r="B1134" s="18" t="s">
        <v>90</v>
      </c>
      <c r="C1134" s="18" t="s">
        <v>91</v>
      </c>
      <c r="D1134" s="18" t="s">
        <v>99</v>
      </c>
      <c r="E1134" s="18" t="s">
        <v>2072</v>
      </c>
      <c r="F1134" s="18">
        <v>2922</v>
      </c>
      <c r="G1134" s="18">
        <v>1042</v>
      </c>
      <c r="H1134" s="18">
        <v>188</v>
      </c>
      <c r="I1134" s="18">
        <v>1692</v>
      </c>
    </row>
    <row r="1135" spans="1:9" x14ac:dyDescent="0.3">
      <c r="A1135" t="s">
        <v>1495</v>
      </c>
      <c r="B1135" s="18" t="s">
        <v>90</v>
      </c>
      <c r="C1135" s="18" t="s">
        <v>91</v>
      </c>
      <c r="D1135" s="18" t="s">
        <v>96</v>
      </c>
      <c r="E1135" s="18" t="s">
        <v>2072</v>
      </c>
      <c r="F1135" s="18">
        <v>1718</v>
      </c>
      <c r="G1135" s="18">
        <v>462</v>
      </c>
      <c r="H1135" s="18">
        <v>127</v>
      </c>
      <c r="I1135" s="18">
        <v>1129</v>
      </c>
    </row>
    <row r="1136" spans="1:9" x14ac:dyDescent="0.3">
      <c r="A1136" t="s">
        <v>1236</v>
      </c>
      <c r="B1136" s="18" t="s">
        <v>90</v>
      </c>
      <c r="C1136" s="18" t="s">
        <v>91</v>
      </c>
      <c r="D1136" s="18" t="s">
        <v>97</v>
      </c>
      <c r="E1136" s="18" t="s">
        <v>2072</v>
      </c>
      <c r="F1136" s="18">
        <v>797</v>
      </c>
      <c r="G1136" s="18">
        <v>254</v>
      </c>
      <c r="H1136" s="18">
        <v>41</v>
      </c>
      <c r="I1136" s="18">
        <v>502</v>
      </c>
    </row>
    <row r="1137" spans="1:9" x14ac:dyDescent="0.3">
      <c r="A1137" t="s">
        <v>1295</v>
      </c>
      <c r="B1137" s="18" t="s">
        <v>90</v>
      </c>
      <c r="C1137" s="18" t="s">
        <v>91</v>
      </c>
      <c r="D1137" s="18" t="s">
        <v>98</v>
      </c>
      <c r="E1137" s="18" t="s">
        <v>2072</v>
      </c>
      <c r="F1137" s="18">
        <v>3316</v>
      </c>
      <c r="G1137" s="18">
        <v>290</v>
      </c>
      <c r="H1137" s="18">
        <v>222</v>
      </c>
      <c r="I1137" s="18">
        <v>2804</v>
      </c>
    </row>
    <row r="1138" spans="1:9" x14ac:dyDescent="0.3">
      <c r="A1138" t="s">
        <v>1509</v>
      </c>
      <c r="B1138" s="18" t="s">
        <v>90</v>
      </c>
      <c r="C1138" s="18" t="s">
        <v>116</v>
      </c>
      <c r="D1138" s="18" t="s">
        <v>116</v>
      </c>
      <c r="E1138" s="18" t="s">
        <v>2072</v>
      </c>
      <c r="F1138" s="18">
        <v>2639</v>
      </c>
      <c r="G1138" s="18">
        <v>831</v>
      </c>
      <c r="H1138" s="18">
        <v>177</v>
      </c>
      <c r="I1138" s="18">
        <v>1631</v>
      </c>
    </row>
    <row r="1139" spans="1:9" x14ac:dyDescent="0.3">
      <c r="A1139" t="s">
        <v>1502</v>
      </c>
      <c r="B1139" s="18" t="s">
        <v>90</v>
      </c>
      <c r="C1139" s="18" t="s">
        <v>109</v>
      </c>
      <c r="D1139" s="18" t="s">
        <v>110</v>
      </c>
      <c r="E1139" s="18" t="s">
        <v>2072</v>
      </c>
      <c r="F1139" s="18">
        <v>1042</v>
      </c>
      <c r="G1139" s="18">
        <v>337</v>
      </c>
      <c r="H1139" s="18">
        <v>101</v>
      </c>
      <c r="I1139" s="18">
        <v>604</v>
      </c>
    </row>
    <row r="1140" spans="1:9" x14ac:dyDescent="0.3">
      <c r="A1140" t="s">
        <v>1503</v>
      </c>
      <c r="B1140" s="18" t="s">
        <v>90</v>
      </c>
      <c r="C1140" s="18" t="s">
        <v>109</v>
      </c>
      <c r="D1140" s="18" t="s">
        <v>111</v>
      </c>
      <c r="E1140" s="18" t="s">
        <v>2072</v>
      </c>
      <c r="F1140" s="18">
        <v>1202</v>
      </c>
      <c r="G1140" s="18">
        <v>288</v>
      </c>
      <c r="H1140" s="18">
        <v>30</v>
      </c>
      <c r="I1140" s="18">
        <v>884</v>
      </c>
    </row>
    <row r="1141" spans="1:9" x14ac:dyDescent="0.3">
      <c r="A1141" t="s">
        <v>1504</v>
      </c>
      <c r="B1141" s="18" t="s">
        <v>90</v>
      </c>
      <c r="C1141" s="18" t="s">
        <v>109</v>
      </c>
      <c r="D1141" s="18" t="s">
        <v>112</v>
      </c>
      <c r="E1141" s="18" t="s">
        <v>2072</v>
      </c>
      <c r="F1141" s="18">
        <v>388</v>
      </c>
      <c r="G1141" s="18">
        <v>61</v>
      </c>
      <c r="H1141" s="18">
        <v>6</v>
      </c>
      <c r="I1141" s="18">
        <v>321</v>
      </c>
    </row>
    <row r="1142" spans="1:9" x14ac:dyDescent="0.3">
      <c r="A1142" t="s">
        <v>1262</v>
      </c>
      <c r="B1142" s="18" t="s">
        <v>90</v>
      </c>
      <c r="C1142" s="18" t="s">
        <v>109</v>
      </c>
      <c r="D1142" s="18" t="s">
        <v>109</v>
      </c>
      <c r="E1142" s="18" t="s">
        <v>2072</v>
      </c>
      <c r="F1142" s="18">
        <v>5824</v>
      </c>
      <c r="G1142" s="18">
        <v>2462</v>
      </c>
      <c r="H1142" s="18">
        <v>294</v>
      </c>
      <c r="I1142" s="18">
        <v>3068</v>
      </c>
    </row>
    <row r="1143" spans="1:9" x14ac:dyDescent="0.3">
      <c r="A1143" t="s">
        <v>1505</v>
      </c>
      <c r="B1143" s="18" t="s">
        <v>90</v>
      </c>
      <c r="C1143" s="18" t="s">
        <v>109</v>
      </c>
      <c r="D1143" s="18" t="s">
        <v>113</v>
      </c>
      <c r="E1143" s="18" t="s">
        <v>2072</v>
      </c>
      <c r="F1143" s="18">
        <v>2072</v>
      </c>
      <c r="G1143" s="18">
        <v>440</v>
      </c>
      <c r="H1143" s="18">
        <v>197</v>
      </c>
      <c r="I1143" s="18">
        <v>1435</v>
      </c>
    </row>
    <row r="1144" spans="1:9" x14ac:dyDescent="0.3">
      <c r="A1144" t="s">
        <v>1507</v>
      </c>
      <c r="B1144" s="18" t="s">
        <v>90</v>
      </c>
      <c r="C1144" s="18" t="s">
        <v>109</v>
      </c>
      <c r="D1144" s="18" t="s">
        <v>84</v>
      </c>
      <c r="E1144" s="18" t="s">
        <v>2072</v>
      </c>
      <c r="F1144" s="18">
        <v>419</v>
      </c>
      <c r="G1144" s="18">
        <v>128</v>
      </c>
      <c r="H1144" s="18">
        <v>9</v>
      </c>
      <c r="I1144" s="18">
        <v>282</v>
      </c>
    </row>
    <row r="1145" spans="1:9" x14ac:dyDescent="0.3">
      <c r="A1145" t="s">
        <v>1506</v>
      </c>
      <c r="B1145" s="18" t="s">
        <v>90</v>
      </c>
      <c r="C1145" s="18" t="s">
        <v>109</v>
      </c>
      <c r="D1145" s="18" t="s">
        <v>114</v>
      </c>
      <c r="E1145" s="18" t="s">
        <v>2072</v>
      </c>
      <c r="F1145" s="18">
        <v>662</v>
      </c>
      <c r="G1145" s="18">
        <v>156</v>
      </c>
      <c r="H1145" s="18">
        <v>32</v>
      </c>
      <c r="I1145" s="18">
        <v>474</v>
      </c>
    </row>
    <row r="1146" spans="1:9" x14ac:dyDescent="0.3">
      <c r="A1146" t="s">
        <v>1167</v>
      </c>
      <c r="B1146" s="18" t="s">
        <v>117</v>
      </c>
      <c r="C1146" s="18" t="s">
        <v>118</v>
      </c>
      <c r="D1146" s="18" t="s">
        <v>118</v>
      </c>
      <c r="E1146" s="18" t="s">
        <v>2072</v>
      </c>
      <c r="F1146" s="18">
        <v>17427</v>
      </c>
      <c r="G1146" s="18">
        <v>8592</v>
      </c>
      <c r="H1146" s="18">
        <v>1061</v>
      </c>
      <c r="I1146" s="18">
        <v>7774</v>
      </c>
    </row>
    <row r="1147" spans="1:9" x14ac:dyDescent="0.3">
      <c r="A1147" t="s">
        <v>1057</v>
      </c>
      <c r="B1147" s="18" t="s">
        <v>117</v>
      </c>
      <c r="C1147" s="18" t="s">
        <v>118</v>
      </c>
      <c r="D1147" s="18" t="s">
        <v>119</v>
      </c>
      <c r="E1147" s="18" t="s">
        <v>2072</v>
      </c>
      <c r="F1147" s="18">
        <v>1591</v>
      </c>
      <c r="G1147" s="18">
        <v>514</v>
      </c>
      <c r="H1147" s="18">
        <v>59</v>
      </c>
      <c r="I1147" s="18">
        <v>1018</v>
      </c>
    </row>
    <row r="1148" spans="1:9" x14ac:dyDescent="0.3">
      <c r="A1148" t="s">
        <v>1089</v>
      </c>
      <c r="B1148" s="18" t="s">
        <v>117</v>
      </c>
      <c r="C1148" s="18" t="s">
        <v>118</v>
      </c>
      <c r="D1148" s="18" t="s">
        <v>120</v>
      </c>
      <c r="E1148" s="18" t="s">
        <v>2072</v>
      </c>
      <c r="F1148" s="18">
        <v>3897</v>
      </c>
      <c r="G1148" s="18">
        <v>1572</v>
      </c>
      <c r="H1148" s="18">
        <v>213</v>
      </c>
      <c r="I1148" s="18">
        <v>2112</v>
      </c>
    </row>
    <row r="1149" spans="1:9" x14ac:dyDescent="0.3">
      <c r="A1149" t="s">
        <v>1087</v>
      </c>
      <c r="B1149" s="18" t="s">
        <v>117</v>
      </c>
      <c r="C1149" s="18" t="s">
        <v>118</v>
      </c>
      <c r="D1149" s="18" t="s">
        <v>121</v>
      </c>
      <c r="E1149" s="18" t="s">
        <v>2072</v>
      </c>
      <c r="F1149" s="18">
        <v>3579</v>
      </c>
      <c r="G1149" s="18">
        <v>1535</v>
      </c>
      <c r="H1149" s="18">
        <v>208</v>
      </c>
      <c r="I1149" s="18">
        <v>1836</v>
      </c>
    </row>
    <row r="1150" spans="1:9" x14ac:dyDescent="0.3">
      <c r="A1150" t="s">
        <v>1062</v>
      </c>
      <c r="B1150" s="18" t="s">
        <v>117</v>
      </c>
      <c r="C1150" s="18" t="s">
        <v>118</v>
      </c>
      <c r="D1150" s="18" t="s">
        <v>122</v>
      </c>
      <c r="E1150" s="18" t="s">
        <v>2072</v>
      </c>
      <c r="F1150" s="18">
        <v>1650</v>
      </c>
      <c r="G1150" s="18">
        <v>657</v>
      </c>
      <c r="H1150" s="18">
        <v>118</v>
      </c>
      <c r="I1150" s="18">
        <v>875</v>
      </c>
    </row>
    <row r="1151" spans="1:9" x14ac:dyDescent="0.3">
      <c r="A1151" t="s">
        <v>1510</v>
      </c>
      <c r="B1151" s="18" t="s">
        <v>117</v>
      </c>
      <c r="C1151" s="18" t="s">
        <v>118</v>
      </c>
      <c r="D1151" s="18" t="s">
        <v>123</v>
      </c>
      <c r="E1151" s="18" t="s">
        <v>2072</v>
      </c>
      <c r="F1151" s="18">
        <v>753</v>
      </c>
      <c r="G1151" s="18">
        <v>137</v>
      </c>
      <c r="H1151" s="18">
        <v>95</v>
      </c>
      <c r="I1151" s="18">
        <v>521</v>
      </c>
    </row>
    <row r="1152" spans="1:9" x14ac:dyDescent="0.3">
      <c r="A1152" t="s">
        <v>1511</v>
      </c>
      <c r="B1152" s="18" t="s">
        <v>117</v>
      </c>
      <c r="C1152" s="18" t="s">
        <v>118</v>
      </c>
      <c r="D1152" s="18" t="s">
        <v>124</v>
      </c>
      <c r="E1152" s="18" t="s">
        <v>2072</v>
      </c>
      <c r="F1152" s="18">
        <v>588</v>
      </c>
      <c r="G1152" s="18">
        <v>118</v>
      </c>
      <c r="H1152" s="18">
        <v>63</v>
      </c>
      <c r="I1152" s="18">
        <v>407</v>
      </c>
    </row>
    <row r="1153" spans="1:9" x14ac:dyDescent="0.3">
      <c r="A1153" t="s">
        <v>1088</v>
      </c>
      <c r="B1153" s="18" t="s">
        <v>117</v>
      </c>
      <c r="C1153" s="18" t="s">
        <v>118</v>
      </c>
      <c r="D1153" s="18" t="s">
        <v>109</v>
      </c>
      <c r="E1153" s="18" t="s">
        <v>2072</v>
      </c>
      <c r="F1153" s="18">
        <v>1537</v>
      </c>
      <c r="G1153" s="18">
        <v>626</v>
      </c>
      <c r="H1153" s="18">
        <v>98</v>
      </c>
      <c r="I1153" s="18">
        <v>813</v>
      </c>
    </row>
    <row r="1154" spans="1:9" x14ac:dyDescent="0.3">
      <c r="A1154" t="s">
        <v>1512</v>
      </c>
      <c r="B1154" s="18" t="s">
        <v>117</v>
      </c>
      <c r="C1154" s="18" t="s">
        <v>118</v>
      </c>
      <c r="D1154" s="18" t="s">
        <v>125</v>
      </c>
      <c r="E1154" s="18" t="s">
        <v>2072</v>
      </c>
      <c r="F1154" s="18">
        <v>498</v>
      </c>
      <c r="G1154" s="18">
        <v>163</v>
      </c>
      <c r="H1154" s="18">
        <v>21</v>
      </c>
      <c r="I1154" s="18">
        <v>314</v>
      </c>
    </row>
    <row r="1155" spans="1:9" x14ac:dyDescent="0.3">
      <c r="A1155" t="s">
        <v>1122</v>
      </c>
      <c r="B1155" s="18" t="s">
        <v>117</v>
      </c>
      <c r="C1155" s="18" t="s">
        <v>126</v>
      </c>
      <c r="D1155" s="18" t="s">
        <v>126</v>
      </c>
      <c r="E1155" s="18" t="s">
        <v>2072</v>
      </c>
      <c r="F1155" s="18">
        <v>5507</v>
      </c>
      <c r="G1155" s="18">
        <v>2244</v>
      </c>
      <c r="H1155" s="18">
        <v>299</v>
      </c>
      <c r="I1155" s="18">
        <v>2964</v>
      </c>
    </row>
    <row r="1156" spans="1:9" x14ac:dyDescent="0.3">
      <c r="A1156" t="s">
        <v>1513</v>
      </c>
      <c r="B1156" s="18" t="s">
        <v>117</v>
      </c>
      <c r="C1156" s="18" t="s">
        <v>126</v>
      </c>
      <c r="D1156" s="18" t="s">
        <v>130</v>
      </c>
      <c r="E1156" s="18" t="s">
        <v>2072</v>
      </c>
      <c r="F1156" s="18">
        <v>729</v>
      </c>
      <c r="G1156" s="18">
        <v>218</v>
      </c>
      <c r="H1156" s="18">
        <v>59</v>
      </c>
      <c r="I1156" s="18">
        <v>452</v>
      </c>
    </row>
    <row r="1157" spans="1:9" x14ac:dyDescent="0.3">
      <c r="A1157" t="s">
        <v>1256</v>
      </c>
      <c r="B1157" s="18" t="s">
        <v>117</v>
      </c>
      <c r="C1157" s="18" t="s">
        <v>126</v>
      </c>
      <c r="D1157" s="18" t="s">
        <v>127</v>
      </c>
      <c r="E1157" s="18" t="s">
        <v>2072</v>
      </c>
      <c r="F1157" s="18">
        <v>963</v>
      </c>
      <c r="G1157" s="18">
        <v>322</v>
      </c>
      <c r="H1157" s="18">
        <v>34</v>
      </c>
      <c r="I1157" s="18">
        <v>607</v>
      </c>
    </row>
    <row r="1158" spans="1:9" x14ac:dyDescent="0.3">
      <c r="A1158" t="s">
        <v>1048</v>
      </c>
      <c r="B1158" s="18" t="s">
        <v>117</v>
      </c>
      <c r="C1158" s="18" t="s">
        <v>126</v>
      </c>
      <c r="D1158" s="18" t="s">
        <v>128</v>
      </c>
      <c r="E1158" s="18" t="s">
        <v>2072</v>
      </c>
      <c r="F1158" s="18">
        <v>620</v>
      </c>
      <c r="G1158" s="18">
        <v>244</v>
      </c>
      <c r="H1158" s="18">
        <v>35</v>
      </c>
      <c r="I1158" s="18">
        <v>341</v>
      </c>
    </row>
    <row r="1159" spans="1:9" x14ac:dyDescent="0.3">
      <c r="A1159" t="s">
        <v>1106</v>
      </c>
      <c r="B1159" s="18" t="s">
        <v>117</v>
      </c>
      <c r="C1159" s="18" t="s">
        <v>126</v>
      </c>
      <c r="D1159" s="18" t="s">
        <v>129</v>
      </c>
      <c r="E1159" s="18" t="s">
        <v>2072</v>
      </c>
      <c r="F1159" s="18">
        <v>484</v>
      </c>
      <c r="G1159" s="18">
        <v>167</v>
      </c>
      <c r="H1159" s="18">
        <v>24</v>
      </c>
      <c r="I1159" s="18">
        <v>293</v>
      </c>
    </row>
    <row r="1160" spans="1:9" x14ac:dyDescent="0.3">
      <c r="A1160" t="s">
        <v>1115</v>
      </c>
      <c r="B1160" s="18" t="s">
        <v>117</v>
      </c>
      <c r="C1160" s="18" t="s">
        <v>117</v>
      </c>
      <c r="D1160" s="18" t="s">
        <v>117</v>
      </c>
      <c r="E1160" s="18" t="s">
        <v>2072</v>
      </c>
      <c r="F1160" s="18">
        <v>7391</v>
      </c>
      <c r="G1160" s="18">
        <v>3430</v>
      </c>
      <c r="H1160" s="18">
        <v>395</v>
      </c>
      <c r="I1160" s="18">
        <v>3566</v>
      </c>
    </row>
    <row r="1161" spans="1:9" x14ac:dyDescent="0.3">
      <c r="A1161" t="s">
        <v>1924</v>
      </c>
      <c r="B1161" s="18" t="s">
        <v>117</v>
      </c>
      <c r="C1161" s="18" t="s">
        <v>117</v>
      </c>
      <c r="D1161" s="18" t="s">
        <v>131</v>
      </c>
      <c r="E1161" s="18" t="s">
        <v>2072</v>
      </c>
      <c r="F1161" s="18">
        <v>1261</v>
      </c>
      <c r="G1161" s="18">
        <v>243</v>
      </c>
      <c r="H1161" s="18">
        <v>74</v>
      </c>
      <c r="I1161" s="18">
        <v>944</v>
      </c>
    </row>
    <row r="1162" spans="1:9" x14ac:dyDescent="0.3">
      <c r="A1162" t="s">
        <v>1020</v>
      </c>
      <c r="B1162" s="18" t="s">
        <v>117</v>
      </c>
      <c r="C1162" s="18" t="s">
        <v>117</v>
      </c>
      <c r="D1162" s="18" t="s">
        <v>132</v>
      </c>
      <c r="E1162" s="18" t="s">
        <v>2072</v>
      </c>
      <c r="F1162" s="18">
        <v>1161</v>
      </c>
      <c r="G1162" s="18">
        <v>392</v>
      </c>
      <c r="H1162" s="18">
        <v>59</v>
      </c>
      <c r="I1162" s="18">
        <v>710</v>
      </c>
    </row>
    <row r="1163" spans="1:9" x14ac:dyDescent="0.3">
      <c r="A1163" t="s">
        <v>1519</v>
      </c>
      <c r="B1163" s="18" t="s">
        <v>117</v>
      </c>
      <c r="C1163" s="18" t="s">
        <v>117</v>
      </c>
      <c r="D1163" s="18" t="s">
        <v>141</v>
      </c>
      <c r="E1163" s="18" t="s">
        <v>2072</v>
      </c>
      <c r="F1163" s="18">
        <v>1467</v>
      </c>
      <c r="G1163" s="18">
        <v>454</v>
      </c>
      <c r="H1163" s="18">
        <v>88</v>
      </c>
      <c r="I1163" s="18">
        <v>925</v>
      </c>
    </row>
    <row r="1164" spans="1:9" x14ac:dyDescent="0.3">
      <c r="A1164" t="s">
        <v>1514</v>
      </c>
      <c r="B1164" s="18" t="s">
        <v>117</v>
      </c>
      <c r="C1164" s="18" t="s">
        <v>117</v>
      </c>
      <c r="D1164" s="18" t="s">
        <v>133</v>
      </c>
      <c r="E1164" s="18" t="s">
        <v>2072</v>
      </c>
      <c r="F1164" s="18">
        <v>874</v>
      </c>
      <c r="G1164" s="18">
        <v>131</v>
      </c>
      <c r="H1164" s="18">
        <v>69</v>
      </c>
      <c r="I1164" s="18">
        <v>674</v>
      </c>
    </row>
    <row r="1165" spans="1:9" x14ac:dyDescent="0.3">
      <c r="A1165" t="s">
        <v>1206</v>
      </c>
      <c r="B1165" s="18" t="s">
        <v>117</v>
      </c>
      <c r="C1165" s="18" t="s">
        <v>117</v>
      </c>
      <c r="D1165" s="18" t="s">
        <v>134</v>
      </c>
      <c r="E1165" s="18" t="s">
        <v>2072</v>
      </c>
      <c r="F1165" s="18">
        <v>1286</v>
      </c>
      <c r="G1165" s="18">
        <v>341</v>
      </c>
      <c r="H1165" s="18">
        <v>65</v>
      </c>
      <c r="I1165" s="18">
        <v>880</v>
      </c>
    </row>
    <row r="1166" spans="1:9" x14ac:dyDescent="0.3">
      <c r="A1166" t="s">
        <v>1021</v>
      </c>
      <c r="B1166" s="18" t="s">
        <v>117</v>
      </c>
      <c r="C1166" s="18" t="s">
        <v>117</v>
      </c>
      <c r="D1166" s="18" t="s">
        <v>135</v>
      </c>
      <c r="E1166" s="18" t="s">
        <v>2072</v>
      </c>
      <c r="F1166" s="18">
        <v>2573</v>
      </c>
      <c r="G1166" s="18">
        <v>814</v>
      </c>
      <c r="H1166" s="18">
        <v>123</v>
      </c>
      <c r="I1166" s="18">
        <v>1636</v>
      </c>
    </row>
    <row r="1167" spans="1:9" x14ac:dyDescent="0.3">
      <c r="A1167" t="s">
        <v>1515</v>
      </c>
      <c r="B1167" s="18" t="s">
        <v>117</v>
      </c>
      <c r="C1167" s="18" t="s">
        <v>117</v>
      </c>
      <c r="D1167" s="18" t="s">
        <v>136</v>
      </c>
      <c r="E1167" s="18" t="s">
        <v>2072</v>
      </c>
      <c r="F1167" s="18">
        <v>2907</v>
      </c>
      <c r="G1167" s="18">
        <v>859</v>
      </c>
      <c r="H1167" s="18">
        <v>154</v>
      </c>
      <c r="I1167" s="18">
        <v>1894</v>
      </c>
    </row>
    <row r="1168" spans="1:9" x14ac:dyDescent="0.3">
      <c r="A1168" t="s">
        <v>1516</v>
      </c>
      <c r="B1168" s="18" t="s">
        <v>117</v>
      </c>
      <c r="C1168" s="18" t="s">
        <v>117</v>
      </c>
      <c r="D1168" s="18" t="s">
        <v>137</v>
      </c>
      <c r="E1168" s="18" t="s">
        <v>2072</v>
      </c>
      <c r="F1168" s="18">
        <v>729</v>
      </c>
      <c r="G1168" s="18">
        <v>203</v>
      </c>
      <c r="H1168" s="18">
        <v>73</v>
      </c>
      <c r="I1168" s="18">
        <v>453</v>
      </c>
    </row>
    <row r="1169" spans="1:9" x14ac:dyDescent="0.3">
      <c r="A1169" t="s">
        <v>1517</v>
      </c>
      <c r="B1169" s="18" t="s">
        <v>117</v>
      </c>
      <c r="C1169" s="18" t="s">
        <v>117</v>
      </c>
      <c r="D1169" s="18" t="s">
        <v>138</v>
      </c>
      <c r="E1169" s="18" t="s">
        <v>2072</v>
      </c>
      <c r="F1169" s="18">
        <v>770</v>
      </c>
      <c r="G1169" s="18">
        <v>234</v>
      </c>
      <c r="H1169" s="18">
        <v>22</v>
      </c>
      <c r="I1169" s="18">
        <v>514</v>
      </c>
    </row>
    <row r="1170" spans="1:9" x14ac:dyDescent="0.3">
      <c r="A1170" t="s">
        <v>1925</v>
      </c>
      <c r="B1170" s="18" t="s">
        <v>117</v>
      </c>
      <c r="C1170" s="18" t="s">
        <v>117</v>
      </c>
      <c r="D1170" s="18" t="s">
        <v>140</v>
      </c>
      <c r="E1170" s="18" t="s">
        <v>2072</v>
      </c>
      <c r="F1170" s="18">
        <v>503</v>
      </c>
      <c r="G1170" s="18">
        <v>111</v>
      </c>
      <c r="H1170" s="18">
        <v>14</v>
      </c>
      <c r="I1170" s="18">
        <v>378</v>
      </c>
    </row>
    <row r="1171" spans="1:9" x14ac:dyDescent="0.3">
      <c r="A1171" t="s">
        <v>1518</v>
      </c>
      <c r="B1171" s="18" t="s">
        <v>117</v>
      </c>
      <c r="C1171" s="18" t="s">
        <v>117</v>
      </c>
      <c r="D1171" s="18" t="s">
        <v>139</v>
      </c>
      <c r="E1171" s="18" t="s">
        <v>2072</v>
      </c>
      <c r="F1171" s="18">
        <v>703</v>
      </c>
      <c r="G1171" s="18">
        <v>142</v>
      </c>
      <c r="H1171" s="18">
        <v>67</v>
      </c>
      <c r="I1171" s="18">
        <v>494</v>
      </c>
    </row>
    <row r="1172" spans="1:9" x14ac:dyDescent="0.3">
      <c r="A1172" t="s">
        <v>1319</v>
      </c>
      <c r="B1172" s="18" t="s">
        <v>117</v>
      </c>
      <c r="C1172" s="18" t="s">
        <v>146</v>
      </c>
      <c r="D1172" s="18" t="s">
        <v>146</v>
      </c>
      <c r="E1172" s="18" t="s">
        <v>2072</v>
      </c>
      <c r="F1172" s="18">
        <v>1852</v>
      </c>
      <c r="G1172" s="18">
        <v>617</v>
      </c>
      <c r="H1172" s="18">
        <v>110</v>
      </c>
      <c r="I1172" s="18">
        <v>1125</v>
      </c>
    </row>
    <row r="1173" spans="1:9" x14ac:dyDescent="0.3">
      <c r="A1173" t="s">
        <v>1059</v>
      </c>
      <c r="B1173" s="18" t="s">
        <v>117</v>
      </c>
      <c r="C1173" s="18" t="s">
        <v>146</v>
      </c>
      <c r="D1173" s="18" t="s">
        <v>147</v>
      </c>
      <c r="E1173" s="18" t="s">
        <v>2072</v>
      </c>
      <c r="F1173" s="18">
        <v>753</v>
      </c>
      <c r="G1173" s="18">
        <v>245</v>
      </c>
      <c r="H1173" s="18">
        <v>75</v>
      </c>
      <c r="I1173" s="18">
        <v>433</v>
      </c>
    </row>
    <row r="1174" spans="1:9" x14ac:dyDescent="0.3">
      <c r="A1174" t="s">
        <v>1188</v>
      </c>
      <c r="B1174" s="18" t="s">
        <v>117</v>
      </c>
      <c r="C1174" s="18" t="s">
        <v>145</v>
      </c>
      <c r="D1174" s="18" t="s">
        <v>145</v>
      </c>
      <c r="E1174" s="18" t="s">
        <v>2072</v>
      </c>
      <c r="F1174" s="18">
        <v>3762</v>
      </c>
      <c r="G1174" s="18">
        <v>1350</v>
      </c>
      <c r="H1174" s="18">
        <v>227</v>
      </c>
      <c r="I1174" s="18">
        <v>2185</v>
      </c>
    </row>
    <row r="1175" spans="1:9" x14ac:dyDescent="0.3">
      <c r="A1175" t="s">
        <v>1240</v>
      </c>
      <c r="B1175" s="18" t="s">
        <v>117</v>
      </c>
      <c r="C1175" s="18" t="s">
        <v>142</v>
      </c>
      <c r="D1175" s="18" t="s">
        <v>142</v>
      </c>
      <c r="E1175" s="18" t="s">
        <v>2072</v>
      </c>
      <c r="F1175" s="18">
        <v>17614</v>
      </c>
      <c r="G1175" s="18">
        <v>6697</v>
      </c>
      <c r="H1175" s="18">
        <v>1002</v>
      </c>
      <c r="I1175" s="18">
        <v>9915</v>
      </c>
    </row>
    <row r="1176" spans="1:9" x14ac:dyDescent="0.3">
      <c r="A1176" t="s">
        <v>1070</v>
      </c>
      <c r="B1176" s="18" t="s">
        <v>117</v>
      </c>
      <c r="C1176" s="18" t="s">
        <v>142</v>
      </c>
      <c r="D1176" s="18" t="s">
        <v>143</v>
      </c>
      <c r="E1176" s="18" t="s">
        <v>2072</v>
      </c>
      <c r="F1176" s="18">
        <v>1719</v>
      </c>
      <c r="G1176" s="18">
        <v>529</v>
      </c>
      <c r="H1176" s="18">
        <v>95</v>
      </c>
      <c r="I1176" s="18">
        <v>1095</v>
      </c>
    </row>
    <row r="1177" spans="1:9" x14ac:dyDescent="0.3">
      <c r="A1177" t="s">
        <v>1926</v>
      </c>
      <c r="B1177" s="18" t="s">
        <v>117</v>
      </c>
      <c r="C1177" s="18" t="s">
        <v>142</v>
      </c>
      <c r="D1177" s="18" t="s">
        <v>144</v>
      </c>
      <c r="E1177" s="18" t="s">
        <v>2072</v>
      </c>
      <c r="F1177" s="18">
        <v>3819</v>
      </c>
      <c r="G1177" s="18">
        <v>1028</v>
      </c>
      <c r="H1177" s="18">
        <v>465</v>
      </c>
      <c r="I1177" s="18">
        <v>2326</v>
      </c>
    </row>
    <row r="1178" spans="1:9" x14ac:dyDescent="0.3">
      <c r="A1178" t="s">
        <v>1022</v>
      </c>
      <c r="B1178" s="18" t="s">
        <v>117</v>
      </c>
      <c r="C1178" s="18" t="s">
        <v>148</v>
      </c>
      <c r="D1178" s="18" t="s">
        <v>148</v>
      </c>
      <c r="E1178" s="18" t="s">
        <v>2072</v>
      </c>
      <c r="F1178" s="18">
        <v>1995</v>
      </c>
      <c r="G1178" s="18">
        <v>479</v>
      </c>
      <c r="H1178" s="18">
        <v>153</v>
      </c>
      <c r="I1178" s="18">
        <v>1363</v>
      </c>
    </row>
    <row r="1179" spans="1:9" x14ac:dyDescent="0.3">
      <c r="A1179" t="s">
        <v>1174</v>
      </c>
      <c r="B1179" s="18" t="s">
        <v>149</v>
      </c>
      <c r="C1179" s="18" t="s">
        <v>90</v>
      </c>
      <c r="D1179" s="18" t="s">
        <v>90</v>
      </c>
      <c r="E1179" s="18" t="s">
        <v>2072</v>
      </c>
      <c r="F1179" s="18">
        <v>2286</v>
      </c>
      <c r="G1179" s="18">
        <v>1073</v>
      </c>
      <c r="H1179" s="18">
        <v>126</v>
      </c>
      <c r="I1179" s="18">
        <v>1087</v>
      </c>
    </row>
    <row r="1180" spans="1:9" x14ac:dyDescent="0.3">
      <c r="A1180" t="s">
        <v>1526</v>
      </c>
      <c r="B1180" s="18" t="s">
        <v>149</v>
      </c>
      <c r="C1180" s="18" t="s">
        <v>90</v>
      </c>
      <c r="D1180" s="18" t="s">
        <v>160</v>
      </c>
      <c r="E1180" s="18" t="s">
        <v>2072</v>
      </c>
      <c r="F1180" s="18">
        <v>566</v>
      </c>
      <c r="G1180" s="18">
        <v>242</v>
      </c>
      <c r="H1180" s="18">
        <v>21</v>
      </c>
      <c r="I1180" s="18">
        <v>303</v>
      </c>
    </row>
    <row r="1181" spans="1:9" x14ac:dyDescent="0.3">
      <c r="A1181" t="s">
        <v>1210</v>
      </c>
      <c r="B1181" s="18" t="s">
        <v>149</v>
      </c>
      <c r="C1181" s="18" t="s">
        <v>90</v>
      </c>
      <c r="D1181" s="18" t="s">
        <v>161</v>
      </c>
      <c r="E1181" s="18" t="s">
        <v>2072</v>
      </c>
      <c r="F1181" s="18">
        <v>1017</v>
      </c>
      <c r="G1181" s="18">
        <v>414</v>
      </c>
      <c r="H1181" s="18">
        <v>96</v>
      </c>
      <c r="I1181" s="18">
        <v>507</v>
      </c>
    </row>
    <row r="1182" spans="1:9" x14ac:dyDescent="0.3">
      <c r="A1182" t="s">
        <v>1527</v>
      </c>
      <c r="B1182" s="18" t="s">
        <v>149</v>
      </c>
      <c r="C1182" s="18" t="s">
        <v>90</v>
      </c>
      <c r="D1182" s="18" t="s">
        <v>162</v>
      </c>
      <c r="E1182" s="18" t="s">
        <v>2072</v>
      </c>
      <c r="F1182" s="18">
        <v>652</v>
      </c>
      <c r="G1182" s="18">
        <v>257</v>
      </c>
      <c r="H1182" s="18">
        <v>18</v>
      </c>
      <c r="I1182" s="18">
        <v>377</v>
      </c>
    </row>
    <row r="1183" spans="1:9" x14ac:dyDescent="0.3">
      <c r="A1183" t="s">
        <v>1528</v>
      </c>
      <c r="B1183" s="18" t="s">
        <v>149</v>
      </c>
      <c r="C1183" s="18" t="s">
        <v>90</v>
      </c>
      <c r="D1183" s="18" t="s">
        <v>164</v>
      </c>
      <c r="E1183" s="18" t="s">
        <v>2072</v>
      </c>
      <c r="F1183" s="18">
        <v>736</v>
      </c>
      <c r="G1183" s="18">
        <v>279</v>
      </c>
      <c r="H1183" s="18">
        <v>34</v>
      </c>
      <c r="I1183" s="18">
        <v>423</v>
      </c>
    </row>
    <row r="1184" spans="1:9" x14ac:dyDescent="0.3">
      <c r="A1184" t="s">
        <v>1091</v>
      </c>
      <c r="B1184" s="18" t="s">
        <v>149</v>
      </c>
      <c r="C1184" s="18" t="s">
        <v>90</v>
      </c>
      <c r="D1184" s="18" t="s">
        <v>163</v>
      </c>
      <c r="E1184" s="18" t="s">
        <v>2072</v>
      </c>
      <c r="F1184" s="18">
        <v>897</v>
      </c>
      <c r="G1184" s="18">
        <v>389</v>
      </c>
      <c r="H1184" s="18">
        <v>23</v>
      </c>
      <c r="I1184" s="18">
        <v>485</v>
      </c>
    </row>
    <row r="1185" spans="1:9" x14ac:dyDescent="0.3">
      <c r="A1185" t="s">
        <v>1134</v>
      </c>
      <c r="B1185" s="18" t="s">
        <v>149</v>
      </c>
      <c r="C1185" s="18" t="s">
        <v>165</v>
      </c>
      <c r="D1185" s="18" t="s">
        <v>166</v>
      </c>
      <c r="E1185" s="18" t="s">
        <v>2072</v>
      </c>
      <c r="F1185" s="18">
        <v>2808</v>
      </c>
      <c r="G1185" s="18">
        <v>1294</v>
      </c>
      <c r="H1185" s="18">
        <v>149</v>
      </c>
      <c r="I1185" s="18">
        <v>1365</v>
      </c>
    </row>
    <row r="1186" spans="1:9" x14ac:dyDescent="0.3">
      <c r="A1186" t="s">
        <v>1529</v>
      </c>
      <c r="B1186" s="18" t="s">
        <v>149</v>
      </c>
      <c r="C1186" s="18" t="s">
        <v>165</v>
      </c>
      <c r="D1186" s="18" t="s">
        <v>167</v>
      </c>
      <c r="E1186" s="18" t="s">
        <v>2072</v>
      </c>
      <c r="F1186" s="18">
        <v>282</v>
      </c>
      <c r="G1186" s="18">
        <v>78</v>
      </c>
      <c r="H1186" s="18">
        <v>9</v>
      </c>
      <c r="I1186" s="18">
        <v>195</v>
      </c>
    </row>
    <row r="1187" spans="1:9" x14ac:dyDescent="0.3">
      <c r="A1187" t="s">
        <v>1530</v>
      </c>
      <c r="B1187" s="18" t="s">
        <v>149</v>
      </c>
      <c r="C1187" s="18" t="s">
        <v>165</v>
      </c>
      <c r="D1187" s="18" t="s">
        <v>168</v>
      </c>
      <c r="E1187" s="18" t="s">
        <v>2072</v>
      </c>
      <c r="F1187" s="18">
        <v>1477</v>
      </c>
      <c r="G1187" s="18">
        <v>507</v>
      </c>
      <c r="H1187" s="18">
        <v>34</v>
      </c>
      <c r="I1187" s="18">
        <v>936</v>
      </c>
    </row>
    <row r="1188" spans="1:9" x14ac:dyDescent="0.3">
      <c r="A1188" t="s">
        <v>1153</v>
      </c>
      <c r="B1188" s="18" t="s">
        <v>149</v>
      </c>
      <c r="C1188" s="18" t="s">
        <v>165</v>
      </c>
      <c r="D1188" s="18" t="s">
        <v>169</v>
      </c>
      <c r="E1188" s="18" t="s">
        <v>2072</v>
      </c>
      <c r="F1188" s="18">
        <v>1211</v>
      </c>
      <c r="G1188" s="18">
        <v>438</v>
      </c>
      <c r="H1188" s="18">
        <v>50</v>
      </c>
      <c r="I1188" s="18">
        <v>723</v>
      </c>
    </row>
    <row r="1189" spans="1:9" x14ac:dyDescent="0.3">
      <c r="A1189" t="s">
        <v>1216</v>
      </c>
      <c r="B1189" s="18" t="s">
        <v>149</v>
      </c>
      <c r="C1189" s="18" t="s">
        <v>170</v>
      </c>
      <c r="D1189" s="18" t="s">
        <v>171</v>
      </c>
      <c r="E1189" s="18" t="s">
        <v>2072</v>
      </c>
      <c r="F1189" s="18">
        <v>1059</v>
      </c>
      <c r="G1189" s="18">
        <v>323</v>
      </c>
      <c r="H1189" s="18">
        <v>43</v>
      </c>
      <c r="I1189" s="18">
        <v>693</v>
      </c>
    </row>
    <row r="1190" spans="1:9" x14ac:dyDescent="0.3">
      <c r="A1190" t="s">
        <v>1531</v>
      </c>
      <c r="B1190" s="18" t="s">
        <v>149</v>
      </c>
      <c r="C1190" s="18" t="s">
        <v>170</v>
      </c>
      <c r="D1190" s="18" t="s">
        <v>172</v>
      </c>
      <c r="E1190" s="18" t="s">
        <v>2072</v>
      </c>
      <c r="F1190" s="18">
        <v>698</v>
      </c>
      <c r="G1190" s="18">
        <v>174</v>
      </c>
      <c r="H1190" s="18">
        <v>32</v>
      </c>
      <c r="I1190" s="18">
        <v>492</v>
      </c>
    </row>
    <row r="1191" spans="1:9" x14ac:dyDescent="0.3">
      <c r="A1191" t="s">
        <v>1290</v>
      </c>
      <c r="B1191" s="18" t="s">
        <v>149</v>
      </c>
      <c r="C1191" s="18" t="s">
        <v>170</v>
      </c>
      <c r="D1191" s="18" t="s">
        <v>173</v>
      </c>
      <c r="E1191" s="18" t="s">
        <v>2072</v>
      </c>
      <c r="F1191" s="18">
        <v>557</v>
      </c>
      <c r="G1191" s="18">
        <v>184</v>
      </c>
      <c r="H1191" s="18">
        <v>19</v>
      </c>
      <c r="I1191" s="18">
        <v>354</v>
      </c>
    </row>
    <row r="1192" spans="1:9" x14ac:dyDescent="0.3">
      <c r="A1192" t="s">
        <v>1180</v>
      </c>
      <c r="B1192" s="18" t="s">
        <v>149</v>
      </c>
      <c r="C1192" s="18" t="s">
        <v>170</v>
      </c>
      <c r="D1192" s="18" t="s">
        <v>170</v>
      </c>
      <c r="E1192" s="18" t="s">
        <v>2072</v>
      </c>
      <c r="F1192" s="18">
        <v>2819</v>
      </c>
      <c r="G1192" s="18">
        <v>1163</v>
      </c>
      <c r="H1192" s="18">
        <v>167</v>
      </c>
      <c r="I1192" s="18">
        <v>1489</v>
      </c>
    </row>
    <row r="1193" spans="1:9" x14ac:dyDescent="0.3">
      <c r="A1193" t="s">
        <v>1927</v>
      </c>
      <c r="B1193" s="18" t="s">
        <v>149</v>
      </c>
      <c r="C1193" s="18" t="s">
        <v>174</v>
      </c>
      <c r="D1193" s="18" t="s">
        <v>177</v>
      </c>
      <c r="E1193" s="18" t="s">
        <v>2072</v>
      </c>
      <c r="F1193" s="18">
        <v>254</v>
      </c>
      <c r="G1193" s="18">
        <v>78</v>
      </c>
      <c r="H1193" s="18">
        <v>14</v>
      </c>
      <c r="I1193" s="18">
        <v>162</v>
      </c>
    </row>
    <row r="1194" spans="1:9" x14ac:dyDescent="0.3">
      <c r="A1194" t="s">
        <v>1532</v>
      </c>
      <c r="B1194" s="18" t="s">
        <v>149</v>
      </c>
      <c r="C1194" s="18" t="s">
        <v>174</v>
      </c>
      <c r="D1194" s="18" t="s">
        <v>176</v>
      </c>
      <c r="E1194" s="18" t="s">
        <v>2072</v>
      </c>
      <c r="F1194" s="18">
        <v>1185</v>
      </c>
      <c r="G1194" s="18">
        <v>489</v>
      </c>
      <c r="H1194" s="18">
        <v>81</v>
      </c>
      <c r="I1194" s="18">
        <v>615</v>
      </c>
    </row>
    <row r="1195" spans="1:9" x14ac:dyDescent="0.3">
      <c r="A1195" t="s">
        <v>1533</v>
      </c>
      <c r="B1195" s="18" t="s">
        <v>149</v>
      </c>
      <c r="C1195" s="18" t="s">
        <v>174</v>
      </c>
      <c r="D1195" s="18" t="s">
        <v>178</v>
      </c>
      <c r="E1195" s="18" t="s">
        <v>2072</v>
      </c>
      <c r="F1195" s="18">
        <v>432</v>
      </c>
      <c r="G1195" s="18">
        <v>179</v>
      </c>
      <c r="H1195" s="18">
        <v>29</v>
      </c>
      <c r="I1195" s="18">
        <v>224</v>
      </c>
    </row>
    <row r="1196" spans="1:9" x14ac:dyDescent="0.3">
      <c r="A1196" t="s">
        <v>1928</v>
      </c>
      <c r="B1196" s="18" t="s">
        <v>149</v>
      </c>
      <c r="C1196" s="18" t="s">
        <v>174</v>
      </c>
      <c r="D1196" s="18" t="s">
        <v>179</v>
      </c>
      <c r="E1196" s="18" t="s">
        <v>2072</v>
      </c>
      <c r="F1196" s="18">
        <v>1364</v>
      </c>
      <c r="G1196" s="18">
        <v>500</v>
      </c>
      <c r="H1196" s="18">
        <v>153</v>
      </c>
      <c r="I1196" s="18">
        <v>711</v>
      </c>
    </row>
    <row r="1197" spans="1:9" x14ac:dyDescent="0.3">
      <c r="A1197" t="s">
        <v>1929</v>
      </c>
      <c r="B1197" s="18" t="s">
        <v>149</v>
      </c>
      <c r="C1197" s="18" t="s">
        <v>174</v>
      </c>
      <c r="D1197" s="18" t="s">
        <v>180</v>
      </c>
      <c r="E1197" s="18" t="s">
        <v>2072</v>
      </c>
      <c r="F1197" s="18">
        <v>367</v>
      </c>
      <c r="G1197" s="18">
        <v>68</v>
      </c>
      <c r="H1197" s="18">
        <v>3</v>
      </c>
      <c r="I1197" s="18">
        <v>296</v>
      </c>
    </row>
    <row r="1198" spans="1:9" x14ac:dyDescent="0.3">
      <c r="A1198" t="s">
        <v>1179</v>
      </c>
      <c r="B1198" s="18" t="s">
        <v>149</v>
      </c>
      <c r="C1198" s="18" t="s">
        <v>174</v>
      </c>
      <c r="D1198" s="18" t="s">
        <v>175</v>
      </c>
      <c r="E1198" s="18" t="s">
        <v>2072</v>
      </c>
      <c r="F1198" s="18">
        <v>8317</v>
      </c>
      <c r="G1198" s="18">
        <v>3661</v>
      </c>
      <c r="H1198" s="18">
        <v>673</v>
      </c>
      <c r="I1198" s="18">
        <v>3983</v>
      </c>
    </row>
    <row r="1199" spans="1:9" x14ac:dyDescent="0.3">
      <c r="A1199" t="s">
        <v>1145</v>
      </c>
      <c r="B1199" s="18" t="s">
        <v>149</v>
      </c>
      <c r="C1199" s="18" t="s">
        <v>181</v>
      </c>
      <c r="D1199" s="18" t="s">
        <v>182</v>
      </c>
      <c r="E1199" s="18" t="s">
        <v>2072</v>
      </c>
      <c r="F1199" s="18">
        <v>2506</v>
      </c>
      <c r="G1199" s="18">
        <v>932</v>
      </c>
      <c r="H1199" s="18">
        <v>129</v>
      </c>
      <c r="I1199" s="18">
        <v>1445</v>
      </c>
    </row>
    <row r="1200" spans="1:9" x14ac:dyDescent="0.3">
      <c r="A1200" t="s">
        <v>1930</v>
      </c>
      <c r="B1200" s="18" t="s">
        <v>149</v>
      </c>
      <c r="C1200" s="18" t="s">
        <v>181</v>
      </c>
      <c r="D1200" s="18" t="s">
        <v>183</v>
      </c>
      <c r="E1200" s="18" t="s">
        <v>2072</v>
      </c>
      <c r="F1200" s="18">
        <v>598</v>
      </c>
      <c r="G1200" s="18">
        <v>208</v>
      </c>
      <c r="H1200" s="18">
        <v>25</v>
      </c>
      <c r="I1200" s="18">
        <v>365</v>
      </c>
    </row>
    <row r="1201" spans="1:9" x14ac:dyDescent="0.3">
      <c r="A1201" t="s">
        <v>1056</v>
      </c>
      <c r="B1201" s="18" t="s">
        <v>149</v>
      </c>
      <c r="C1201" s="18" t="s">
        <v>150</v>
      </c>
      <c r="D1201" s="18" t="s">
        <v>151</v>
      </c>
      <c r="E1201" s="18" t="s">
        <v>2072</v>
      </c>
      <c r="F1201" s="18">
        <v>863</v>
      </c>
      <c r="G1201" s="18">
        <v>281</v>
      </c>
      <c r="H1201" s="18">
        <v>68</v>
      </c>
      <c r="I1201" s="18">
        <v>514</v>
      </c>
    </row>
    <row r="1202" spans="1:9" x14ac:dyDescent="0.3">
      <c r="A1202" t="s">
        <v>1524</v>
      </c>
      <c r="B1202" s="18" t="s">
        <v>149</v>
      </c>
      <c r="C1202" s="18" t="s">
        <v>150</v>
      </c>
      <c r="D1202" s="18" t="s">
        <v>158</v>
      </c>
      <c r="E1202" s="18" t="s">
        <v>2072</v>
      </c>
      <c r="F1202" s="18">
        <v>1352</v>
      </c>
      <c r="G1202" s="18">
        <v>434</v>
      </c>
      <c r="H1202" s="18">
        <v>61</v>
      </c>
      <c r="I1202" s="18">
        <v>857</v>
      </c>
    </row>
    <row r="1203" spans="1:9" x14ac:dyDescent="0.3">
      <c r="A1203" t="s">
        <v>1116</v>
      </c>
      <c r="B1203" s="18" t="s">
        <v>149</v>
      </c>
      <c r="C1203" s="18" t="s">
        <v>150</v>
      </c>
      <c r="D1203" s="18" t="s">
        <v>152</v>
      </c>
      <c r="E1203" s="18" t="s">
        <v>2072</v>
      </c>
      <c r="F1203" s="18">
        <v>4081</v>
      </c>
      <c r="G1203" s="18">
        <v>1654</v>
      </c>
      <c r="H1203" s="18">
        <v>189</v>
      </c>
      <c r="I1203" s="18">
        <v>2238</v>
      </c>
    </row>
    <row r="1204" spans="1:9" x14ac:dyDescent="0.3">
      <c r="A1204" t="s">
        <v>1520</v>
      </c>
      <c r="B1204" s="18" t="s">
        <v>149</v>
      </c>
      <c r="C1204" s="18" t="s">
        <v>150</v>
      </c>
      <c r="D1204" s="18" t="s">
        <v>153</v>
      </c>
      <c r="E1204" s="18" t="s">
        <v>2072</v>
      </c>
      <c r="F1204" s="18">
        <v>729</v>
      </c>
      <c r="G1204" s="18">
        <v>324</v>
      </c>
      <c r="H1204" s="18">
        <v>14</v>
      </c>
      <c r="I1204" s="18">
        <v>391</v>
      </c>
    </row>
    <row r="1205" spans="1:9" x14ac:dyDescent="0.3">
      <c r="A1205" t="s">
        <v>1521</v>
      </c>
      <c r="B1205" s="18" t="s">
        <v>149</v>
      </c>
      <c r="C1205" s="18" t="s">
        <v>150</v>
      </c>
      <c r="D1205" s="18" t="s">
        <v>154</v>
      </c>
      <c r="E1205" s="18" t="s">
        <v>2072</v>
      </c>
      <c r="F1205" s="18">
        <v>271</v>
      </c>
      <c r="G1205" s="18">
        <v>95</v>
      </c>
      <c r="H1205" s="18">
        <v>11</v>
      </c>
      <c r="I1205" s="18">
        <v>165</v>
      </c>
    </row>
    <row r="1206" spans="1:9" x14ac:dyDescent="0.3">
      <c r="A1206" t="s">
        <v>1525</v>
      </c>
      <c r="B1206" s="18" t="s">
        <v>149</v>
      </c>
      <c r="C1206" s="18" t="s">
        <v>150</v>
      </c>
      <c r="D1206" s="18" t="s">
        <v>159</v>
      </c>
      <c r="E1206" s="18" t="s">
        <v>2072</v>
      </c>
      <c r="F1206" s="18">
        <v>929</v>
      </c>
      <c r="G1206" s="18">
        <v>324</v>
      </c>
      <c r="H1206" s="18">
        <v>30</v>
      </c>
      <c r="I1206" s="18">
        <v>575</v>
      </c>
    </row>
    <row r="1207" spans="1:9" x14ac:dyDescent="0.3">
      <c r="A1207" t="s">
        <v>1522</v>
      </c>
      <c r="B1207" s="18" t="s">
        <v>149</v>
      </c>
      <c r="C1207" s="18" t="s">
        <v>150</v>
      </c>
      <c r="D1207" s="18" t="s">
        <v>155</v>
      </c>
      <c r="E1207" s="18" t="s">
        <v>2072</v>
      </c>
      <c r="F1207" s="18">
        <v>413</v>
      </c>
      <c r="G1207" s="18">
        <v>42</v>
      </c>
      <c r="H1207" s="18">
        <v>55</v>
      </c>
      <c r="I1207" s="18">
        <v>316</v>
      </c>
    </row>
    <row r="1208" spans="1:9" x14ac:dyDescent="0.3">
      <c r="A1208" t="s">
        <v>1523</v>
      </c>
      <c r="B1208" s="18" t="s">
        <v>149</v>
      </c>
      <c r="C1208" s="18" t="s">
        <v>150</v>
      </c>
      <c r="D1208" s="18" t="s">
        <v>156</v>
      </c>
      <c r="E1208" s="18" t="s">
        <v>2072</v>
      </c>
      <c r="F1208" s="18">
        <v>1049</v>
      </c>
      <c r="G1208" s="18">
        <v>306</v>
      </c>
      <c r="H1208" s="18">
        <v>96</v>
      </c>
      <c r="I1208" s="18">
        <v>647</v>
      </c>
    </row>
    <row r="1209" spans="1:9" x14ac:dyDescent="0.3">
      <c r="A1209" t="s">
        <v>1429</v>
      </c>
      <c r="B1209" s="18" t="s">
        <v>149</v>
      </c>
      <c r="C1209" s="18" t="s">
        <v>150</v>
      </c>
      <c r="D1209" s="18" t="s">
        <v>150</v>
      </c>
      <c r="E1209" s="18" t="s">
        <v>2072</v>
      </c>
      <c r="F1209" s="18">
        <v>26374</v>
      </c>
      <c r="G1209" s="18">
        <v>12286</v>
      </c>
      <c r="H1209" s="18">
        <v>2143</v>
      </c>
      <c r="I1209" s="18">
        <v>11945</v>
      </c>
    </row>
    <row r="1210" spans="1:9" x14ac:dyDescent="0.3">
      <c r="A1210" t="s">
        <v>1138</v>
      </c>
      <c r="B1210" s="18" t="s">
        <v>149</v>
      </c>
      <c r="C1210" s="18" t="s">
        <v>150</v>
      </c>
      <c r="D1210" s="18" t="s">
        <v>157</v>
      </c>
      <c r="E1210" s="18" t="s">
        <v>2072</v>
      </c>
      <c r="F1210" s="18">
        <v>683</v>
      </c>
      <c r="G1210" s="18">
        <v>224</v>
      </c>
      <c r="H1210" s="18">
        <v>57</v>
      </c>
      <c r="I1210" s="18">
        <v>402</v>
      </c>
    </row>
    <row r="1211" spans="1:9" x14ac:dyDescent="0.3">
      <c r="A1211" t="s">
        <v>1431</v>
      </c>
      <c r="B1211" s="18" t="s">
        <v>225</v>
      </c>
      <c r="C1211" s="18" t="s">
        <v>237</v>
      </c>
      <c r="D1211" s="18" t="s">
        <v>238</v>
      </c>
      <c r="E1211" s="18" t="s">
        <v>2072</v>
      </c>
      <c r="F1211" s="18">
        <v>3006</v>
      </c>
      <c r="G1211" s="18">
        <v>593</v>
      </c>
      <c r="H1211" s="18">
        <v>295</v>
      </c>
      <c r="I1211" s="18">
        <v>2118</v>
      </c>
    </row>
    <row r="1212" spans="1:9" x14ac:dyDescent="0.3">
      <c r="A1212" t="s">
        <v>1121</v>
      </c>
      <c r="B1212" s="18" t="s">
        <v>225</v>
      </c>
      <c r="C1212" s="18" t="s">
        <v>237</v>
      </c>
      <c r="D1212" s="18" t="s">
        <v>237</v>
      </c>
      <c r="E1212" s="18" t="s">
        <v>2072</v>
      </c>
      <c r="F1212" s="18">
        <v>4014</v>
      </c>
      <c r="G1212" s="18">
        <v>1577</v>
      </c>
      <c r="H1212" s="18">
        <v>451</v>
      </c>
      <c r="I1212" s="18">
        <v>1986</v>
      </c>
    </row>
    <row r="1213" spans="1:9" x14ac:dyDescent="0.3">
      <c r="A1213" t="s">
        <v>1058</v>
      </c>
      <c r="B1213" s="18" t="s">
        <v>225</v>
      </c>
      <c r="C1213" s="18" t="s">
        <v>237</v>
      </c>
      <c r="D1213" s="18" t="s">
        <v>239</v>
      </c>
      <c r="E1213" s="18" t="s">
        <v>2072</v>
      </c>
      <c r="F1213" s="18">
        <v>708</v>
      </c>
      <c r="G1213" s="18">
        <v>142</v>
      </c>
      <c r="H1213" s="18">
        <v>112</v>
      </c>
      <c r="I1213" s="18">
        <v>454</v>
      </c>
    </row>
    <row r="1214" spans="1:9" x14ac:dyDescent="0.3">
      <c r="A1214" t="s">
        <v>1545</v>
      </c>
      <c r="B1214" s="18" t="s">
        <v>225</v>
      </c>
      <c r="C1214" s="18" t="s">
        <v>237</v>
      </c>
      <c r="D1214" s="18" t="s">
        <v>240</v>
      </c>
      <c r="E1214" s="18" t="s">
        <v>2072</v>
      </c>
      <c r="F1214" s="18">
        <v>694</v>
      </c>
      <c r="G1214" s="18">
        <v>193</v>
      </c>
      <c r="H1214" s="18">
        <v>52</v>
      </c>
      <c r="I1214" s="18">
        <v>449</v>
      </c>
    </row>
    <row r="1215" spans="1:9" x14ac:dyDescent="0.3">
      <c r="A1215" t="s">
        <v>1546</v>
      </c>
      <c r="B1215" s="18" t="s">
        <v>225</v>
      </c>
      <c r="C1215" s="18" t="s">
        <v>237</v>
      </c>
      <c r="D1215" s="18" t="s">
        <v>241</v>
      </c>
      <c r="E1215" s="18" t="s">
        <v>2072</v>
      </c>
      <c r="F1215" s="18">
        <v>726</v>
      </c>
      <c r="G1215" s="18">
        <v>266</v>
      </c>
      <c r="H1215" s="18">
        <v>41</v>
      </c>
      <c r="I1215" s="18">
        <v>419</v>
      </c>
    </row>
    <row r="1216" spans="1:9" x14ac:dyDescent="0.3">
      <c r="A1216" t="s">
        <v>1547</v>
      </c>
      <c r="B1216" s="18" t="s">
        <v>225</v>
      </c>
      <c r="C1216" s="18" t="s">
        <v>237</v>
      </c>
      <c r="D1216" s="18" t="s">
        <v>242</v>
      </c>
      <c r="E1216" s="18" t="s">
        <v>2072</v>
      </c>
      <c r="F1216" s="18">
        <v>101</v>
      </c>
      <c r="G1216" s="18">
        <v>39</v>
      </c>
      <c r="H1216" s="18">
        <v>11</v>
      </c>
      <c r="I1216" s="18">
        <v>51</v>
      </c>
    </row>
    <row r="1217" spans="1:9" x14ac:dyDescent="0.3">
      <c r="A1217" t="s">
        <v>1932</v>
      </c>
      <c r="B1217" s="18" t="s">
        <v>225</v>
      </c>
      <c r="C1217" s="18" t="s">
        <v>237</v>
      </c>
      <c r="D1217" s="18" t="s">
        <v>243</v>
      </c>
      <c r="E1217" s="18" t="s">
        <v>2072</v>
      </c>
      <c r="F1217" s="18">
        <v>256</v>
      </c>
      <c r="G1217" s="18">
        <v>39</v>
      </c>
      <c r="H1217" s="18">
        <v>15</v>
      </c>
      <c r="I1217" s="18">
        <v>202</v>
      </c>
    </row>
    <row r="1218" spans="1:9" x14ac:dyDescent="0.3">
      <c r="A1218" t="s">
        <v>1933</v>
      </c>
      <c r="B1218" s="18" t="s">
        <v>225</v>
      </c>
      <c r="C1218" s="18" t="s">
        <v>237</v>
      </c>
      <c r="D1218" s="18" t="s">
        <v>244</v>
      </c>
      <c r="E1218" s="18" t="s">
        <v>2072</v>
      </c>
      <c r="F1218" s="18">
        <v>269</v>
      </c>
      <c r="G1218" s="18">
        <v>42</v>
      </c>
      <c r="H1218" s="18">
        <v>27</v>
      </c>
      <c r="I1218" s="18">
        <v>200</v>
      </c>
    </row>
    <row r="1219" spans="1:9" x14ac:dyDescent="0.3">
      <c r="A1219" t="s">
        <v>1934</v>
      </c>
      <c r="B1219" s="18" t="s">
        <v>225</v>
      </c>
      <c r="C1219" s="18" t="s">
        <v>237</v>
      </c>
      <c r="D1219" s="18" t="s">
        <v>245</v>
      </c>
      <c r="E1219" s="18" t="s">
        <v>2072</v>
      </c>
      <c r="F1219" s="18">
        <v>1353</v>
      </c>
      <c r="G1219" s="18">
        <v>314</v>
      </c>
      <c r="H1219" s="18">
        <v>59</v>
      </c>
      <c r="I1219" s="18">
        <v>980</v>
      </c>
    </row>
    <row r="1220" spans="1:9" x14ac:dyDescent="0.3">
      <c r="A1220" t="s">
        <v>1455</v>
      </c>
      <c r="B1220" s="18" t="s">
        <v>225</v>
      </c>
      <c r="C1220" s="18" t="s">
        <v>237</v>
      </c>
      <c r="D1220" s="18" t="s">
        <v>246</v>
      </c>
      <c r="E1220" s="18" t="s">
        <v>2072</v>
      </c>
      <c r="F1220" s="18">
        <v>3310</v>
      </c>
      <c r="G1220" s="18">
        <v>777</v>
      </c>
      <c r="H1220" s="18">
        <v>330</v>
      </c>
      <c r="I1220" s="18">
        <v>2203</v>
      </c>
    </row>
    <row r="1221" spans="1:9" x14ac:dyDescent="0.3">
      <c r="A1221" t="s">
        <v>1231</v>
      </c>
      <c r="B1221" s="18" t="s">
        <v>225</v>
      </c>
      <c r="C1221" s="18" t="s">
        <v>253</v>
      </c>
      <c r="D1221" s="18" t="s">
        <v>253</v>
      </c>
      <c r="E1221" s="18" t="s">
        <v>2072</v>
      </c>
      <c r="F1221" s="18">
        <v>5434</v>
      </c>
      <c r="G1221" s="18">
        <v>2789</v>
      </c>
      <c r="H1221" s="18">
        <v>265</v>
      </c>
      <c r="I1221" s="18">
        <v>2380</v>
      </c>
    </row>
    <row r="1222" spans="1:9" x14ac:dyDescent="0.3">
      <c r="A1222" t="s">
        <v>1935</v>
      </c>
      <c r="B1222" s="18" t="s">
        <v>225</v>
      </c>
      <c r="C1222" s="18" t="s">
        <v>254</v>
      </c>
      <c r="D1222" s="18" t="s">
        <v>255</v>
      </c>
      <c r="E1222" s="18" t="s">
        <v>2072</v>
      </c>
      <c r="F1222" s="18">
        <v>280</v>
      </c>
      <c r="G1222" s="18">
        <v>127</v>
      </c>
      <c r="H1222" s="18">
        <v>3</v>
      </c>
      <c r="I1222" s="18">
        <v>150</v>
      </c>
    </row>
    <row r="1223" spans="1:9" x14ac:dyDescent="0.3">
      <c r="A1223" t="s">
        <v>1178</v>
      </c>
      <c r="B1223" s="18" t="s">
        <v>225</v>
      </c>
      <c r="C1223" s="18" t="s">
        <v>254</v>
      </c>
      <c r="D1223" s="18" t="s">
        <v>254</v>
      </c>
      <c r="E1223" s="18" t="s">
        <v>2072</v>
      </c>
      <c r="F1223" s="18">
        <v>2717</v>
      </c>
      <c r="G1223" s="18">
        <v>1233</v>
      </c>
      <c r="H1223" s="18">
        <v>109</v>
      </c>
      <c r="I1223" s="18">
        <v>1375</v>
      </c>
    </row>
    <row r="1224" spans="1:9" x14ac:dyDescent="0.3">
      <c r="A1224" t="s">
        <v>1936</v>
      </c>
      <c r="B1224" s="18" t="s">
        <v>225</v>
      </c>
      <c r="C1224" s="18" t="s">
        <v>254</v>
      </c>
      <c r="D1224" s="18" t="s">
        <v>256</v>
      </c>
      <c r="E1224" s="18" t="s">
        <v>2072</v>
      </c>
      <c r="F1224" s="18">
        <v>279</v>
      </c>
      <c r="G1224" s="18">
        <v>101</v>
      </c>
      <c r="H1224" s="18">
        <v>1</v>
      </c>
      <c r="I1224" s="18">
        <v>177</v>
      </c>
    </row>
    <row r="1225" spans="1:9" x14ac:dyDescent="0.3">
      <c r="A1225" t="s">
        <v>1550</v>
      </c>
      <c r="B1225" s="18" t="s">
        <v>225</v>
      </c>
      <c r="C1225" s="18" t="s">
        <v>254</v>
      </c>
      <c r="D1225" s="18" t="s">
        <v>257</v>
      </c>
      <c r="E1225" s="18" t="s">
        <v>2072</v>
      </c>
      <c r="F1225" s="18">
        <v>448</v>
      </c>
      <c r="G1225" s="18">
        <v>109</v>
      </c>
      <c r="H1225" s="18">
        <v>15</v>
      </c>
      <c r="I1225" s="18">
        <v>324</v>
      </c>
    </row>
    <row r="1226" spans="1:9" x14ac:dyDescent="0.3">
      <c r="A1226" t="s">
        <v>1937</v>
      </c>
      <c r="B1226" s="18" t="s">
        <v>225</v>
      </c>
      <c r="C1226" s="18" t="s">
        <v>254</v>
      </c>
      <c r="D1226" s="18" t="s">
        <v>258</v>
      </c>
      <c r="E1226" s="18" t="s">
        <v>2072</v>
      </c>
      <c r="F1226" s="18">
        <v>541</v>
      </c>
      <c r="G1226" s="18">
        <v>143</v>
      </c>
      <c r="H1226" s="18">
        <v>58</v>
      </c>
      <c r="I1226" s="18">
        <v>340</v>
      </c>
    </row>
    <row r="1227" spans="1:9" x14ac:dyDescent="0.3">
      <c r="A1227" t="s">
        <v>1548</v>
      </c>
      <c r="B1227" s="18" t="s">
        <v>225</v>
      </c>
      <c r="C1227" s="18" t="s">
        <v>247</v>
      </c>
      <c r="D1227" s="18" t="s">
        <v>249</v>
      </c>
      <c r="E1227" s="18" t="s">
        <v>2072</v>
      </c>
      <c r="F1227" s="18">
        <v>284</v>
      </c>
      <c r="G1227" s="18">
        <v>54</v>
      </c>
      <c r="H1227" s="18">
        <v>14</v>
      </c>
      <c r="I1227" s="18">
        <v>216</v>
      </c>
    </row>
    <row r="1228" spans="1:9" x14ac:dyDescent="0.3">
      <c r="A1228" t="s">
        <v>1306</v>
      </c>
      <c r="B1228" s="18" t="s">
        <v>225</v>
      </c>
      <c r="C1228" s="18" t="s">
        <v>247</v>
      </c>
      <c r="D1228" s="18" t="s">
        <v>250</v>
      </c>
      <c r="E1228" s="18" t="s">
        <v>2072</v>
      </c>
      <c r="F1228" s="18">
        <v>3861</v>
      </c>
      <c r="G1228" s="18">
        <v>650</v>
      </c>
      <c r="H1228" s="18">
        <v>467</v>
      </c>
      <c r="I1228" s="18">
        <v>2744</v>
      </c>
    </row>
    <row r="1229" spans="1:9" x14ac:dyDescent="0.3">
      <c r="A1229" t="s">
        <v>1549</v>
      </c>
      <c r="B1229" s="18" t="s">
        <v>225</v>
      </c>
      <c r="C1229" s="18" t="s">
        <v>247</v>
      </c>
      <c r="D1229" s="18" t="s">
        <v>251</v>
      </c>
      <c r="E1229" s="18" t="s">
        <v>2072</v>
      </c>
      <c r="F1229" s="18">
        <v>1163</v>
      </c>
      <c r="G1229" s="18">
        <v>268</v>
      </c>
      <c r="H1229" s="18">
        <v>28</v>
      </c>
      <c r="I1229" s="18">
        <v>867</v>
      </c>
    </row>
    <row r="1230" spans="1:9" x14ac:dyDescent="0.3">
      <c r="A1230" t="s">
        <v>1208</v>
      </c>
      <c r="B1230" s="18" t="s">
        <v>225</v>
      </c>
      <c r="C1230" s="18" t="s">
        <v>247</v>
      </c>
      <c r="D1230" s="18" t="s">
        <v>252</v>
      </c>
      <c r="E1230" s="18" t="s">
        <v>2072</v>
      </c>
      <c r="F1230" s="18">
        <v>1506</v>
      </c>
      <c r="G1230" s="18">
        <v>343</v>
      </c>
      <c r="H1230" s="18">
        <v>237</v>
      </c>
      <c r="I1230" s="18">
        <v>926</v>
      </c>
    </row>
    <row r="1231" spans="1:9" x14ac:dyDescent="0.3">
      <c r="A1231" t="s">
        <v>1140</v>
      </c>
      <c r="B1231" s="18" t="s">
        <v>225</v>
      </c>
      <c r="C1231" s="18" t="s">
        <v>247</v>
      </c>
      <c r="D1231" s="18" t="s">
        <v>248</v>
      </c>
      <c r="E1231" s="18" t="s">
        <v>2072</v>
      </c>
      <c r="F1231" s="18">
        <v>6119</v>
      </c>
      <c r="G1231" s="18">
        <v>1919</v>
      </c>
      <c r="H1231" s="18">
        <v>482</v>
      </c>
      <c r="I1231" s="18">
        <v>3718</v>
      </c>
    </row>
    <row r="1232" spans="1:9" x14ac:dyDescent="0.3">
      <c r="A1232" t="s">
        <v>1560</v>
      </c>
      <c r="B1232" s="18" t="s">
        <v>225</v>
      </c>
      <c r="C1232" s="18" t="s">
        <v>279</v>
      </c>
      <c r="D1232" s="18" t="s">
        <v>279</v>
      </c>
      <c r="E1232" s="18" t="s">
        <v>2072</v>
      </c>
      <c r="F1232" s="18">
        <v>6339</v>
      </c>
      <c r="G1232" s="18">
        <v>2680</v>
      </c>
      <c r="H1232" s="18">
        <v>622</v>
      </c>
      <c r="I1232" s="18">
        <v>3037</v>
      </c>
    </row>
    <row r="1233" spans="1:9" x14ac:dyDescent="0.3">
      <c r="A1233" t="s">
        <v>1551</v>
      </c>
      <c r="B1233" s="18" t="s">
        <v>225</v>
      </c>
      <c r="C1233" s="18" t="s">
        <v>259</v>
      </c>
      <c r="D1233" s="18" t="s">
        <v>260</v>
      </c>
      <c r="E1233" s="18" t="s">
        <v>2072</v>
      </c>
      <c r="F1233" s="18">
        <v>2470</v>
      </c>
      <c r="G1233" s="18">
        <v>1090</v>
      </c>
      <c r="H1233" s="18">
        <v>76</v>
      </c>
      <c r="I1233" s="18">
        <v>1304</v>
      </c>
    </row>
    <row r="1234" spans="1:9" x14ac:dyDescent="0.3">
      <c r="A1234" t="s">
        <v>1255</v>
      </c>
      <c r="B1234" s="18" t="s">
        <v>225</v>
      </c>
      <c r="C1234" s="18" t="s">
        <v>259</v>
      </c>
      <c r="D1234" s="18" t="s">
        <v>259</v>
      </c>
      <c r="E1234" s="18" t="s">
        <v>2072</v>
      </c>
      <c r="F1234" s="18">
        <v>7385</v>
      </c>
      <c r="G1234" s="18">
        <v>2999</v>
      </c>
      <c r="H1234" s="18">
        <v>705</v>
      </c>
      <c r="I1234" s="18">
        <v>3681</v>
      </c>
    </row>
    <row r="1235" spans="1:9" x14ac:dyDescent="0.3">
      <c r="A1235" t="s">
        <v>1198</v>
      </c>
      <c r="B1235" s="18" t="s">
        <v>225</v>
      </c>
      <c r="C1235" s="18" t="s">
        <v>259</v>
      </c>
      <c r="D1235" s="18" t="s">
        <v>261</v>
      </c>
      <c r="E1235" s="18" t="s">
        <v>2072</v>
      </c>
      <c r="F1235" s="18">
        <v>3685</v>
      </c>
      <c r="G1235" s="18">
        <v>1331</v>
      </c>
      <c r="H1235" s="18">
        <v>243</v>
      </c>
      <c r="I1235" s="18">
        <v>2111</v>
      </c>
    </row>
    <row r="1236" spans="1:9" x14ac:dyDescent="0.3">
      <c r="A1236" t="s">
        <v>1552</v>
      </c>
      <c r="B1236" s="18" t="s">
        <v>225</v>
      </c>
      <c r="C1236" s="18" t="s">
        <v>262</v>
      </c>
      <c r="D1236" s="18" t="s">
        <v>263</v>
      </c>
      <c r="E1236" s="18" t="s">
        <v>2072</v>
      </c>
      <c r="F1236" s="18">
        <v>95</v>
      </c>
      <c r="G1236" s="18">
        <v>39</v>
      </c>
      <c r="H1236" s="18">
        <v>3</v>
      </c>
      <c r="I1236" s="18">
        <v>53</v>
      </c>
    </row>
    <row r="1237" spans="1:9" x14ac:dyDescent="0.3">
      <c r="A1237" t="s">
        <v>1315</v>
      </c>
      <c r="B1237" s="18" t="s">
        <v>225</v>
      </c>
      <c r="C1237" s="18" t="s">
        <v>262</v>
      </c>
      <c r="D1237" s="18" t="s">
        <v>262</v>
      </c>
      <c r="E1237" s="18" t="s">
        <v>2072</v>
      </c>
      <c r="F1237" s="18">
        <v>9346</v>
      </c>
      <c r="G1237" s="18">
        <v>4521</v>
      </c>
      <c r="H1237" s="18">
        <v>509</v>
      </c>
      <c r="I1237" s="18">
        <v>4316</v>
      </c>
    </row>
    <row r="1238" spans="1:9" x14ac:dyDescent="0.3">
      <c r="A1238" t="s">
        <v>1553</v>
      </c>
      <c r="B1238" s="18" t="s">
        <v>225</v>
      </c>
      <c r="C1238" s="18" t="s">
        <v>262</v>
      </c>
      <c r="D1238" s="18" t="s">
        <v>264</v>
      </c>
      <c r="E1238" s="18" t="s">
        <v>2072</v>
      </c>
      <c r="F1238" s="18">
        <v>501</v>
      </c>
      <c r="G1238" s="18">
        <v>186</v>
      </c>
      <c r="H1238" s="18">
        <v>10</v>
      </c>
      <c r="I1238" s="18">
        <v>305</v>
      </c>
    </row>
    <row r="1239" spans="1:9" x14ac:dyDescent="0.3">
      <c r="A1239" t="s">
        <v>1938</v>
      </c>
      <c r="B1239" s="18" t="s">
        <v>225</v>
      </c>
      <c r="C1239" s="18" t="s">
        <v>262</v>
      </c>
      <c r="D1239" s="18" t="s">
        <v>265</v>
      </c>
      <c r="E1239" s="18" t="s">
        <v>2072</v>
      </c>
      <c r="F1239" s="18">
        <v>270</v>
      </c>
      <c r="G1239" s="18">
        <v>119</v>
      </c>
      <c r="H1239" s="18">
        <v>8</v>
      </c>
      <c r="I1239" s="18">
        <v>143</v>
      </c>
    </row>
    <row r="1240" spans="1:9" x14ac:dyDescent="0.3">
      <c r="A1240" t="s">
        <v>1245</v>
      </c>
      <c r="B1240" s="18" t="s">
        <v>225</v>
      </c>
      <c r="C1240" s="18" t="s">
        <v>262</v>
      </c>
      <c r="D1240" s="18" t="s">
        <v>266</v>
      </c>
      <c r="E1240" s="18" t="s">
        <v>2072</v>
      </c>
      <c r="F1240" s="18">
        <v>5321</v>
      </c>
      <c r="G1240" s="18">
        <v>1926</v>
      </c>
      <c r="H1240" s="18">
        <v>410</v>
      </c>
      <c r="I1240" s="18">
        <v>2985</v>
      </c>
    </row>
    <row r="1241" spans="1:9" x14ac:dyDescent="0.3">
      <c r="A1241" t="s">
        <v>1046</v>
      </c>
      <c r="B1241" s="18" t="s">
        <v>225</v>
      </c>
      <c r="C1241" s="18" t="s">
        <v>262</v>
      </c>
      <c r="D1241" s="18" t="s">
        <v>38</v>
      </c>
      <c r="E1241" s="18" t="s">
        <v>2072</v>
      </c>
      <c r="F1241" s="18">
        <v>1371</v>
      </c>
      <c r="G1241" s="18">
        <v>552</v>
      </c>
      <c r="H1241" s="18">
        <v>87</v>
      </c>
      <c r="I1241" s="18">
        <v>732</v>
      </c>
    </row>
    <row r="1242" spans="1:9" x14ac:dyDescent="0.3">
      <c r="A1242" t="s">
        <v>1285</v>
      </c>
      <c r="B1242" s="18" t="s">
        <v>225</v>
      </c>
      <c r="C1242" s="18" t="s">
        <v>262</v>
      </c>
      <c r="D1242" s="18" t="s">
        <v>267</v>
      </c>
      <c r="E1242" s="18" t="s">
        <v>2072</v>
      </c>
      <c r="F1242" s="18">
        <v>1778</v>
      </c>
      <c r="G1242" s="18">
        <v>524</v>
      </c>
      <c r="H1242" s="18">
        <v>95</v>
      </c>
      <c r="I1242" s="18">
        <v>1159</v>
      </c>
    </row>
    <row r="1243" spans="1:9" x14ac:dyDescent="0.3">
      <c r="A1243" t="s">
        <v>1939</v>
      </c>
      <c r="B1243" s="18" t="s">
        <v>225</v>
      </c>
      <c r="C1243" s="18" t="s">
        <v>262</v>
      </c>
      <c r="D1243" s="18" t="s">
        <v>268</v>
      </c>
      <c r="E1243" s="18" t="s">
        <v>2072</v>
      </c>
      <c r="F1243" s="18">
        <v>354</v>
      </c>
      <c r="G1243" s="18">
        <v>156</v>
      </c>
      <c r="H1243" s="18">
        <v>3</v>
      </c>
      <c r="I1243" s="18">
        <v>195</v>
      </c>
    </row>
    <row r="1244" spans="1:9" x14ac:dyDescent="0.3">
      <c r="A1244" t="s">
        <v>1940</v>
      </c>
      <c r="B1244" s="18" t="s">
        <v>225</v>
      </c>
      <c r="C1244" s="18" t="s">
        <v>262</v>
      </c>
      <c r="D1244" s="18" t="s">
        <v>269</v>
      </c>
      <c r="E1244" s="18" t="s">
        <v>2072</v>
      </c>
      <c r="F1244" s="18">
        <v>582</v>
      </c>
      <c r="G1244" s="18">
        <v>384</v>
      </c>
      <c r="H1244" s="18">
        <v>8</v>
      </c>
      <c r="I1244" s="18">
        <v>190</v>
      </c>
    </row>
    <row r="1245" spans="1:9" x14ac:dyDescent="0.3">
      <c r="A1245" t="s">
        <v>1554</v>
      </c>
      <c r="B1245" s="18" t="s">
        <v>225</v>
      </c>
      <c r="C1245" s="18" t="s">
        <v>262</v>
      </c>
      <c r="D1245" s="18" t="s">
        <v>2065</v>
      </c>
      <c r="E1245" s="18" t="s">
        <v>2072</v>
      </c>
      <c r="F1245" s="18">
        <v>113</v>
      </c>
      <c r="G1245" s="18">
        <v>70</v>
      </c>
      <c r="H1245" s="18">
        <v>1</v>
      </c>
      <c r="I1245" s="18">
        <v>42</v>
      </c>
    </row>
    <row r="1246" spans="1:9" x14ac:dyDescent="0.3">
      <c r="A1246" t="s">
        <v>1391</v>
      </c>
      <c r="B1246" s="18" t="s">
        <v>225</v>
      </c>
      <c r="C1246" s="18" t="s">
        <v>271</v>
      </c>
      <c r="D1246" s="18" t="s">
        <v>271</v>
      </c>
      <c r="E1246" s="18" t="s">
        <v>2072</v>
      </c>
      <c r="F1246" s="18">
        <v>4515</v>
      </c>
      <c r="G1246" s="18">
        <v>1967</v>
      </c>
      <c r="H1246" s="18">
        <v>170</v>
      </c>
      <c r="I1246" s="18">
        <v>2378</v>
      </c>
    </row>
    <row r="1247" spans="1:9" x14ac:dyDescent="0.3">
      <c r="A1247" t="s">
        <v>1559</v>
      </c>
      <c r="B1247" s="18" t="s">
        <v>225</v>
      </c>
      <c r="C1247" s="18" t="s">
        <v>272</v>
      </c>
      <c r="D1247" s="18" t="s">
        <v>278</v>
      </c>
      <c r="E1247" s="18" t="s">
        <v>2072</v>
      </c>
      <c r="F1247" s="18">
        <v>95</v>
      </c>
      <c r="G1247" s="18">
        <v>24</v>
      </c>
      <c r="H1247" s="18">
        <v>14</v>
      </c>
      <c r="I1247" s="18">
        <v>57</v>
      </c>
    </row>
    <row r="1248" spans="1:9" x14ac:dyDescent="0.3">
      <c r="A1248" t="s">
        <v>1556</v>
      </c>
      <c r="B1248" s="18" t="s">
        <v>225</v>
      </c>
      <c r="C1248" s="18" t="s">
        <v>272</v>
      </c>
      <c r="D1248" s="18" t="s">
        <v>273</v>
      </c>
      <c r="E1248" s="18" t="s">
        <v>2072</v>
      </c>
      <c r="F1248" s="18">
        <v>542</v>
      </c>
      <c r="G1248" s="18">
        <v>189</v>
      </c>
      <c r="H1248" s="18">
        <v>29</v>
      </c>
      <c r="I1248" s="18">
        <v>324</v>
      </c>
    </row>
    <row r="1249" spans="1:9" x14ac:dyDescent="0.3">
      <c r="A1249" t="s">
        <v>1942</v>
      </c>
      <c r="B1249" s="18" t="s">
        <v>225</v>
      </c>
      <c r="C1249" s="18" t="s">
        <v>272</v>
      </c>
      <c r="D1249" s="18" t="s">
        <v>277</v>
      </c>
      <c r="E1249" s="18" t="s">
        <v>2072</v>
      </c>
      <c r="F1249" s="18">
        <v>159</v>
      </c>
      <c r="G1249" s="18">
        <v>75</v>
      </c>
      <c r="H1249" s="18">
        <v>4</v>
      </c>
      <c r="I1249" s="18">
        <v>80</v>
      </c>
    </row>
    <row r="1250" spans="1:9" x14ac:dyDescent="0.3">
      <c r="A1250" t="s">
        <v>1941</v>
      </c>
      <c r="B1250" s="18" t="s">
        <v>225</v>
      </c>
      <c r="C1250" s="18" t="s">
        <v>272</v>
      </c>
      <c r="D1250" s="18" t="s">
        <v>274</v>
      </c>
      <c r="E1250" s="18" t="s">
        <v>2072</v>
      </c>
      <c r="F1250" s="18">
        <v>346</v>
      </c>
      <c r="G1250" s="18">
        <v>155</v>
      </c>
      <c r="H1250" s="18">
        <v>14</v>
      </c>
      <c r="I1250" s="18">
        <v>177</v>
      </c>
    </row>
    <row r="1251" spans="1:9" x14ac:dyDescent="0.3">
      <c r="A1251" t="s">
        <v>1555</v>
      </c>
      <c r="B1251" s="18" t="s">
        <v>225</v>
      </c>
      <c r="C1251" s="18" t="s">
        <v>272</v>
      </c>
      <c r="D1251" s="18" t="s">
        <v>272</v>
      </c>
      <c r="E1251" s="18" t="s">
        <v>2072</v>
      </c>
      <c r="F1251" s="18">
        <v>997</v>
      </c>
      <c r="G1251" s="18">
        <v>396</v>
      </c>
      <c r="H1251" s="18">
        <v>37</v>
      </c>
      <c r="I1251" s="18">
        <v>564</v>
      </c>
    </row>
    <row r="1252" spans="1:9" x14ac:dyDescent="0.3">
      <c r="A1252" t="s">
        <v>1557</v>
      </c>
      <c r="B1252" s="18" t="s">
        <v>225</v>
      </c>
      <c r="C1252" s="18" t="s">
        <v>272</v>
      </c>
      <c r="D1252" s="18" t="s">
        <v>275</v>
      </c>
      <c r="E1252" s="18" t="s">
        <v>2072</v>
      </c>
      <c r="F1252" s="18">
        <v>229</v>
      </c>
      <c r="G1252" s="18">
        <v>92</v>
      </c>
      <c r="H1252" s="18">
        <v>16</v>
      </c>
      <c r="I1252" s="18">
        <v>121</v>
      </c>
    </row>
    <row r="1253" spans="1:9" x14ac:dyDescent="0.3">
      <c r="A1253" t="s">
        <v>1558</v>
      </c>
      <c r="B1253" s="18" t="s">
        <v>225</v>
      </c>
      <c r="C1253" s="18" t="s">
        <v>272</v>
      </c>
      <c r="D1253" s="18" t="s">
        <v>276</v>
      </c>
      <c r="E1253" s="18" t="s">
        <v>2072</v>
      </c>
      <c r="F1253" s="18">
        <v>495</v>
      </c>
      <c r="G1253" s="18">
        <v>218</v>
      </c>
      <c r="H1253" s="18">
        <v>15</v>
      </c>
      <c r="I1253" s="18">
        <v>262</v>
      </c>
    </row>
    <row r="1254" spans="1:9" x14ac:dyDescent="0.3">
      <c r="A1254" t="s">
        <v>1066</v>
      </c>
      <c r="B1254" s="18" t="s">
        <v>225</v>
      </c>
      <c r="C1254" s="18" t="s">
        <v>226</v>
      </c>
      <c r="D1254" s="18" t="s">
        <v>227</v>
      </c>
      <c r="E1254" s="18" t="s">
        <v>2072</v>
      </c>
      <c r="F1254" s="18">
        <v>1086</v>
      </c>
      <c r="G1254" s="18">
        <v>287</v>
      </c>
      <c r="H1254" s="18">
        <v>31</v>
      </c>
      <c r="I1254" s="18">
        <v>768</v>
      </c>
    </row>
    <row r="1255" spans="1:9" x14ac:dyDescent="0.3">
      <c r="A1255" t="s">
        <v>1080</v>
      </c>
      <c r="B1255" s="18" t="s">
        <v>225</v>
      </c>
      <c r="C1255" s="18" t="s">
        <v>226</v>
      </c>
      <c r="D1255" s="18" t="s">
        <v>228</v>
      </c>
      <c r="E1255" s="18" t="s">
        <v>2072</v>
      </c>
      <c r="F1255" s="18">
        <v>2627</v>
      </c>
      <c r="G1255" s="18">
        <v>1117</v>
      </c>
      <c r="H1255" s="18">
        <v>175</v>
      </c>
      <c r="I1255" s="18">
        <v>1335</v>
      </c>
    </row>
    <row r="1256" spans="1:9" x14ac:dyDescent="0.3">
      <c r="A1256" t="s">
        <v>1052</v>
      </c>
      <c r="B1256" s="18" t="s">
        <v>225</v>
      </c>
      <c r="C1256" s="18" t="s">
        <v>226</v>
      </c>
      <c r="D1256" s="18" t="s">
        <v>229</v>
      </c>
      <c r="E1256" s="18" t="s">
        <v>2072</v>
      </c>
      <c r="F1256" s="18">
        <v>1367</v>
      </c>
      <c r="G1256" s="18">
        <v>605</v>
      </c>
      <c r="H1256" s="18">
        <v>92</v>
      </c>
      <c r="I1256" s="18">
        <v>670</v>
      </c>
    </row>
    <row r="1257" spans="1:9" x14ac:dyDescent="0.3">
      <c r="A1257" t="s">
        <v>1139</v>
      </c>
      <c r="B1257" s="18" t="s">
        <v>225</v>
      </c>
      <c r="C1257" s="18" t="s">
        <v>226</v>
      </c>
      <c r="D1257" s="18" t="s">
        <v>230</v>
      </c>
      <c r="E1257" s="18" t="s">
        <v>2072</v>
      </c>
      <c r="F1257" s="18">
        <v>1288</v>
      </c>
      <c r="G1257" s="18">
        <v>184</v>
      </c>
      <c r="H1257" s="18">
        <v>88</v>
      </c>
      <c r="I1257" s="18">
        <v>1016</v>
      </c>
    </row>
    <row r="1258" spans="1:9" x14ac:dyDescent="0.3">
      <c r="A1258" t="s">
        <v>1061</v>
      </c>
      <c r="B1258" s="18" t="s">
        <v>225</v>
      </c>
      <c r="C1258" s="18" t="s">
        <v>226</v>
      </c>
      <c r="D1258" s="18" t="s">
        <v>231</v>
      </c>
      <c r="E1258" s="18" t="s">
        <v>2072</v>
      </c>
      <c r="F1258" s="18">
        <v>4409</v>
      </c>
      <c r="G1258" s="18">
        <v>2030</v>
      </c>
      <c r="H1258" s="18">
        <v>348</v>
      </c>
      <c r="I1258" s="18">
        <v>2031</v>
      </c>
    </row>
    <row r="1259" spans="1:9" x14ac:dyDescent="0.3">
      <c r="A1259" t="s">
        <v>1383</v>
      </c>
      <c r="B1259" s="18" t="s">
        <v>225</v>
      </c>
      <c r="C1259" s="18" t="s">
        <v>226</v>
      </c>
      <c r="D1259" s="18" t="s">
        <v>232</v>
      </c>
      <c r="E1259" s="18" t="s">
        <v>2072</v>
      </c>
      <c r="F1259" s="18">
        <v>2902</v>
      </c>
      <c r="G1259" s="18">
        <v>854</v>
      </c>
      <c r="H1259" s="18">
        <v>291</v>
      </c>
      <c r="I1259" s="18">
        <v>1757</v>
      </c>
    </row>
    <row r="1260" spans="1:9" x14ac:dyDescent="0.3">
      <c r="A1260" t="s">
        <v>1544</v>
      </c>
      <c r="B1260" s="18" t="s">
        <v>225</v>
      </c>
      <c r="C1260" s="18" t="s">
        <v>226</v>
      </c>
      <c r="D1260" s="18" t="s">
        <v>233</v>
      </c>
      <c r="E1260" s="18" t="s">
        <v>2072</v>
      </c>
      <c r="F1260" s="18">
        <v>1681</v>
      </c>
      <c r="G1260" s="18">
        <v>401</v>
      </c>
      <c r="H1260" s="18">
        <v>150</v>
      </c>
      <c r="I1260" s="18">
        <v>1130</v>
      </c>
    </row>
    <row r="1261" spans="1:9" x14ac:dyDescent="0.3">
      <c r="A1261" t="s">
        <v>1073</v>
      </c>
      <c r="B1261" s="18" t="s">
        <v>225</v>
      </c>
      <c r="C1261" s="18" t="s">
        <v>226</v>
      </c>
      <c r="D1261" s="18" t="s">
        <v>234</v>
      </c>
      <c r="E1261" s="18" t="s">
        <v>2072</v>
      </c>
      <c r="F1261" s="18">
        <v>2049</v>
      </c>
      <c r="G1261" s="18">
        <v>866</v>
      </c>
      <c r="H1261" s="18">
        <v>164</v>
      </c>
      <c r="I1261" s="18">
        <v>1019</v>
      </c>
    </row>
    <row r="1262" spans="1:9" x14ac:dyDescent="0.3">
      <c r="A1262" t="s">
        <v>1417</v>
      </c>
      <c r="B1262" s="18" t="s">
        <v>225</v>
      </c>
      <c r="C1262" s="18" t="s">
        <v>226</v>
      </c>
      <c r="D1262" s="18" t="s">
        <v>235</v>
      </c>
      <c r="E1262" s="18" t="s">
        <v>2072</v>
      </c>
      <c r="F1262" s="18">
        <v>1898</v>
      </c>
      <c r="G1262" s="18">
        <v>805</v>
      </c>
      <c r="H1262" s="18">
        <v>78</v>
      </c>
      <c r="I1262" s="18">
        <v>1015</v>
      </c>
    </row>
    <row r="1263" spans="1:9" x14ac:dyDescent="0.3">
      <c r="A1263" t="s">
        <v>1351</v>
      </c>
      <c r="B1263" s="18" t="s">
        <v>225</v>
      </c>
      <c r="C1263" s="18" t="s">
        <v>226</v>
      </c>
      <c r="D1263" s="18" t="s">
        <v>226</v>
      </c>
      <c r="E1263" s="18" t="s">
        <v>2072</v>
      </c>
      <c r="F1263" s="18">
        <v>79017</v>
      </c>
      <c r="G1263" s="18">
        <v>41787</v>
      </c>
      <c r="H1263" s="18">
        <v>5209</v>
      </c>
      <c r="I1263" s="18">
        <v>32021</v>
      </c>
    </row>
    <row r="1264" spans="1:9" x14ac:dyDescent="0.3">
      <c r="A1264" t="s">
        <v>1259</v>
      </c>
      <c r="B1264" s="18" t="s">
        <v>225</v>
      </c>
      <c r="C1264" s="18" t="s">
        <v>226</v>
      </c>
      <c r="D1264" s="18" t="s">
        <v>44</v>
      </c>
      <c r="E1264" s="18" t="s">
        <v>2072</v>
      </c>
      <c r="F1264" s="18">
        <v>2611</v>
      </c>
      <c r="G1264" s="18">
        <v>1001</v>
      </c>
      <c r="H1264" s="18">
        <v>251</v>
      </c>
      <c r="I1264" s="18">
        <v>1359</v>
      </c>
    </row>
    <row r="1265" spans="1:9" x14ac:dyDescent="0.3">
      <c r="A1265" t="s">
        <v>1144</v>
      </c>
      <c r="B1265" s="18" t="s">
        <v>225</v>
      </c>
      <c r="C1265" s="18" t="s">
        <v>226</v>
      </c>
      <c r="D1265" s="18" t="s">
        <v>236</v>
      </c>
      <c r="E1265" s="18" t="s">
        <v>2072</v>
      </c>
      <c r="F1265" s="18">
        <v>7520</v>
      </c>
      <c r="G1265" s="18">
        <v>4050</v>
      </c>
      <c r="H1265" s="18">
        <v>527</v>
      </c>
      <c r="I1265" s="18">
        <v>2943</v>
      </c>
    </row>
    <row r="1266" spans="1:9" x14ac:dyDescent="0.3">
      <c r="A1266" t="s">
        <v>1534</v>
      </c>
      <c r="B1266" s="18" t="s">
        <v>184</v>
      </c>
      <c r="C1266" s="18" t="s">
        <v>196</v>
      </c>
      <c r="D1266" s="18" t="s">
        <v>197</v>
      </c>
      <c r="E1266" s="18" t="s">
        <v>2072</v>
      </c>
      <c r="F1266" s="18">
        <v>1481</v>
      </c>
      <c r="G1266" s="18">
        <v>408</v>
      </c>
      <c r="H1266" s="18">
        <v>126</v>
      </c>
      <c r="I1266" s="18">
        <v>947</v>
      </c>
    </row>
    <row r="1267" spans="1:9" x14ac:dyDescent="0.3">
      <c r="A1267" t="s">
        <v>1338</v>
      </c>
      <c r="B1267" s="18" t="s">
        <v>184</v>
      </c>
      <c r="C1267" s="18" t="s">
        <v>196</v>
      </c>
      <c r="D1267" s="18" t="s">
        <v>196</v>
      </c>
      <c r="E1267" s="18" t="s">
        <v>2072</v>
      </c>
      <c r="F1267" s="18">
        <v>17591</v>
      </c>
      <c r="G1267" s="18">
        <v>6844</v>
      </c>
      <c r="H1267" s="18">
        <v>1385</v>
      </c>
      <c r="I1267" s="18">
        <v>9362</v>
      </c>
    </row>
    <row r="1268" spans="1:9" x14ac:dyDescent="0.3">
      <c r="A1268" t="s">
        <v>1535</v>
      </c>
      <c r="B1268" s="18" t="s">
        <v>184</v>
      </c>
      <c r="C1268" s="18" t="s">
        <v>196</v>
      </c>
      <c r="D1268" s="18" t="s">
        <v>198</v>
      </c>
      <c r="E1268" s="18" t="s">
        <v>2072</v>
      </c>
      <c r="F1268" s="18">
        <v>765</v>
      </c>
      <c r="G1268" s="18">
        <v>251</v>
      </c>
      <c r="H1268" s="18">
        <v>32</v>
      </c>
      <c r="I1268" s="18">
        <v>482</v>
      </c>
    </row>
    <row r="1269" spans="1:9" x14ac:dyDescent="0.3">
      <c r="A1269" t="s">
        <v>1395</v>
      </c>
      <c r="B1269" s="18" t="s">
        <v>184</v>
      </c>
      <c r="C1269" s="18" t="s">
        <v>185</v>
      </c>
      <c r="D1269" s="18" t="s">
        <v>186</v>
      </c>
      <c r="E1269" s="18" t="s">
        <v>2072</v>
      </c>
      <c r="F1269" s="18">
        <v>3203</v>
      </c>
      <c r="G1269" s="18">
        <v>1357</v>
      </c>
      <c r="H1269" s="18">
        <v>181</v>
      </c>
      <c r="I1269" s="18">
        <v>1665</v>
      </c>
    </row>
    <row r="1270" spans="1:9" x14ac:dyDescent="0.3">
      <c r="A1270" t="s">
        <v>1362</v>
      </c>
      <c r="B1270" s="18" t="s">
        <v>184</v>
      </c>
      <c r="C1270" s="18" t="s">
        <v>185</v>
      </c>
      <c r="D1270" s="18" t="s">
        <v>187</v>
      </c>
      <c r="E1270" s="18" t="s">
        <v>2072</v>
      </c>
      <c r="F1270" s="18">
        <v>2901</v>
      </c>
      <c r="G1270" s="18">
        <v>1233</v>
      </c>
      <c r="H1270" s="18">
        <v>152</v>
      </c>
      <c r="I1270" s="18">
        <v>1516</v>
      </c>
    </row>
    <row r="1271" spans="1:9" x14ac:dyDescent="0.3">
      <c r="A1271" t="s">
        <v>1336</v>
      </c>
      <c r="B1271" s="18" t="s">
        <v>184</v>
      </c>
      <c r="C1271" s="18" t="s">
        <v>185</v>
      </c>
      <c r="D1271" s="18" t="s">
        <v>188</v>
      </c>
      <c r="E1271" s="18" t="s">
        <v>2072</v>
      </c>
      <c r="F1271" s="18">
        <v>4574</v>
      </c>
      <c r="G1271" s="18">
        <v>2085</v>
      </c>
      <c r="H1271" s="18">
        <v>427</v>
      </c>
      <c r="I1271" s="18">
        <v>2062</v>
      </c>
    </row>
    <row r="1272" spans="1:9" x14ac:dyDescent="0.3">
      <c r="A1272" t="s">
        <v>1459</v>
      </c>
      <c r="B1272" s="18" t="s">
        <v>184</v>
      </c>
      <c r="C1272" s="18" t="s">
        <v>185</v>
      </c>
      <c r="D1272" s="18" t="s">
        <v>189</v>
      </c>
      <c r="E1272" s="18" t="s">
        <v>2072</v>
      </c>
      <c r="F1272" s="18">
        <v>1015</v>
      </c>
      <c r="G1272" s="18">
        <v>491</v>
      </c>
      <c r="H1272" s="18">
        <v>56</v>
      </c>
      <c r="I1272" s="18">
        <v>468</v>
      </c>
    </row>
    <row r="1273" spans="1:9" x14ac:dyDescent="0.3">
      <c r="A1273" t="s">
        <v>1410</v>
      </c>
      <c r="B1273" s="18" t="s">
        <v>184</v>
      </c>
      <c r="C1273" s="18" t="s">
        <v>185</v>
      </c>
      <c r="D1273" s="18" t="s">
        <v>185</v>
      </c>
      <c r="E1273" s="18" t="s">
        <v>2072</v>
      </c>
      <c r="F1273" s="18">
        <v>50399</v>
      </c>
      <c r="G1273" s="18">
        <v>24681</v>
      </c>
      <c r="H1273" s="18">
        <v>3356</v>
      </c>
      <c r="I1273" s="18">
        <v>22362</v>
      </c>
    </row>
    <row r="1274" spans="1:9" x14ac:dyDescent="0.3">
      <c r="A1274" t="s">
        <v>1426</v>
      </c>
      <c r="B1274" s="18" t="s">
        <v>184</v>
      </c>
      <c r="C1274" s="18" t="s">
        <v>185</v>
      </c>
      <c r="D1274" s="18" t="s">
        <v>190</v>
      </c>
      <c r="E1274" s="18" t="s">
        <v>2072</v>
      </c>
      <c r="F1274" s="18">
        <v>3540</v>
      </c>
      <c r="G1274" s="18">
        <v>1561</v>
      </c>
      <c r="H1274" s="18">
        <v>171</v>
      </c>
      <c r="I1274" s="18">
        <v>1808</v>
      </c>
    </row>
    <row r="1275" spans="1:9" x14ac:dyDescent="0.3">
      <c r="A1275" t="s">
        <v>1184</v>
      </c>
      <c r="B1275" s="18" t="s">
        <v>184</v>
      </c>
      <c r="C1275" s="18" t="s">
        <v>185</v>
      </c>
      <c r="D1275" s="18" t="s">
        <v>191</v>
      </c>
      <c r="E1275" s="18" t="s">
        <v>2072</v>
      </c>
      <c r="F1275" s="18">
        <v>1285</v>
      </c>
      <c r="G1275" s="18">
        <v>541</v>
      </c>
      <c r="H1275" s="18">
        <v>76</v>
      </c>
      <c r="I1275" s="18">
        <v>668</v>
      </c>
    </row>
    <row r="1276" spans="1:9" x14ac:dyDescent="0.3">
      <c r="A1276" t="s">
        <v>1402</v>
      </c>
      <c r="B1276" s="18" t="s">
        <v>184</v>
      </c>
      <c r="C1276" s="18" t="s">
        <v>185</v>
      </c>
      <c r="D1276" s="18" t="s">
        <v>192</v>
      </c>
      <c r="E1276" s="18" t="s">
        <v>2072</v>
      </c>
      <c r="F1276" s="18">
        <v>1956</v>
      </c>
      <c r="G1276" s="18">
        <v>657</v>
      </c>
      <c r="H1276" s="18">
        <v>98</v>
      </c>
      <c r="I1276" s="18">
        <v>1201</v>
      </c>
    </row>
    <row r="1277" spans="1:9" x14ac:dyDescent="0.3">
      <c r="A1277" t="s">
        <v>1474</v>
      </c>
      <c r="B1277" s="18" t="s">
        <v>184</v>
      </c>
      <c r="C1277" s="18" t="s">
        <v>185</v>
      </c>
      <c r="D1277" s="18" t="s">
        <v>193</v>
      </c>
      <c r="E1277" s="18" t="s">
        <v>2072</v>
      </c>
      <c r="F1277" s="18">
        <v>5590</v>
      </c>
      <c r="G1277" s="18">
        <v>2521</v>
      </c>
      <c r="H1277" s="18">
        <v>287</v>
      </c>
      <c r="I1277" s="18">
        <v>2782</v>
      </c>
    </row>
    <row r="1278" spans="1:9" x14ac:dyDescent="0.3">
      <c r="A1278" t="s">
        <v>1299</v>
      </c>
      <c r="B1278" s="18" t="s">
        <v>184</v>
      </c>
      <c r="C1278" s="18" t="s">
        <v>185</v>
      </c>
      <c r="D1278" s="18" t="s">
        <v>2063</v>
      </c>
      <c r="E1278" s="18" t="s">
        <v>2072</v>
      </c>
      <c r="F1278" s="18">
        <v>5975</v>
      </c>
      <c r="G1278" s="18">
        <v>2808</v>
      </c>
      <c r="H1278" s="18">
        <v>305</v>
      </c>
      <c r="I1278" s="18">
        <v>2862</v>
      </c>
    </row>
    <row r="1279" spans="1:9" x14ac:dyDescent="0.3">
      <c r="A1279" t="s">
        <v>1320</v>
      </c>
      <c r="B1279" s="18" t="s">
        <v>184</v>
      </c>
      <c r="C1279" s="18" t="s">
        <v>185</v>
      </c>
      <c r="D1279" s="18" t="s">
        <v>195</v>
      </c>
      <c r="E1279" s="18" t="s">
        <v>2072</v>
      </c>
      <c r="F1279" s="18">
        <v>4211</v>
      </c>
      <c r="G1279" s="18">
        <v>1614</v>
      </c>
      <c r="H1279" s="18">
        <v>171</v>
      </c>
      <c r="I1279" s="18">
        <v>2426</v>
      </c>
    </row>
    <row r="1280" spans="1:9" x14ac:dyDescent="0.3">
      <c r="A1280" t="s">
        <v>1536</v>
      </c>
      <c r="B1280" s="18" t="s">
        <v>184</v>
      </c>
      <c r="C1280" s="18" t="s">
        <v>199</v>
      </c>
      <c r="D1280" s="18" t="s">
        <v>200</v>
      </c>
      <c r="E1280" s="18" t="s">
        <v>2072</v>
      </c>
      <c r="F1280" s="18">
        <v>2198</v>
      </c>
      <c r="G1280" s="18">
        <v>1167</v>
      </c>
      <c r="H1280" s="18">
        <v>100</v>
      </c>
      <c r="I1280" s="18">
        <v>931</v>
      </c>
    </row>
    <row r="1281" spans="1:9" x14ac:dyDescent="0.3">
      <c r="A1281" t="s">
        <v>1537</v>
      </c>
      <c r="B1281" s="18" t="s">
        <v>184</v>
      </c>
      <c r="C1281" s="18" t="s">
        <v>199</v>
      </c>
      <c r="D1281" s="18" t="s">
        <v>201</v>
      </c>
      <c r="E1281" s="18" t="s">
        <v>2072</v>
      </c>
      <c r="F1281" s="18">
        <v>5132</v>
      </c>
      <c r="G1281" s="18">
        <v>1354</v>
      </c>
      <c r="H1281" s="18">
        <v>138</v>
      </c>
      <c r="I1281" s="18">
        <v>3640</v>
      </c>
    </row>
    <row r="1282" spans="1:9" x14ac:dyDescent="0.3">
      <c r="A1282" t="s">
        <v>1538</v>
      </c>
      <c r="B1282" s="18" t="s">
        <v>184</v>
      </c>
      <c r="C1282" s="18" t="s">
        <v>199</v>
      </c>
      <c r="D1282" s="18" t="s">
        <v>202</v>
      </c>
      <c r="E1282" s="18" t="s">
        <v>2072</v>
      </c>
      <c r="F1282" s="18">
        <v>255</v>
      </c>
      <c r="G1282" s="18">
        <v>152</v>
      </c>
      <c r="H1282" s="18">
        <v>23</v>
      </c>
      <c r="I1282" s="18">
        <v>80</v>
      </c>
    </row>
    <row r="1283" spans="1:9" x14ac:dyDescent="0.3">
      <c r="A1283" t="s">
        <v>1931</v>
      </c>
      <c r="B1283" s="18" t="s">
        <v>184</v>
      </c>
      <c r="C1283" s="18" t="s">
        <v>199</v>
      </c>
      <c r="D1283" s="18" t="s">
        <v>203</v>
      </c>
      <c r="E1283" s="18" t="s">
        <v>2072</v>
      </c>
      <c r="F1283" s="18">
        <v>666</v>
      </c>
      <c r="G1283" s="18">
        <v>346</v>
      </c>
      <c r="H1283" s="18">
        <v>5</v>
      </c>
      <c r="I1283" s="18">
        <v>315</v>
      </c>
    </row>
    <row r="1284" spans="1:9" x14ac:dyDescent="0.3">
      <c r="A1284" t="s">
        <v>1539</v>
      </c>
      <c r="B1284" s="18" t="s">
        <v>184</v>
      </c>
      <c r="C1284" s="18" t="s">
        <v>204</v>
      </c>
      <c r="D1284" s="18" t="s">
        <v>205</v>
      </c>
      <c r="E1284" s="18" t="s">
        <v>2072</v>
      </c>
      <c r="F1284" s="18">
        <v>1422</v>
      </c>
      <c r="G1284" s="18">
        <v>200</v>
      </c>
      <c r="H1284" s="18">
        <v>146</v>
      </c>
      <c r="I1284" s="18">
        <v>1076</v>
      </c>
    </row>
    <row r="1285" spans="1:9" x14ac:dyDescent="0.3">
      <c r="A1285" t="s">
        <v>1104</v>
      </c>
      <c r="B1285" s="18" t="s">
        <v>184</v>
      </c>
      <c r="C1285" s="18" t="s">
        <v>204</v>
      </c>
      <c r="D1285" s="18" t="s">
        <v>206</v>
      </c>
      <c r="E1285" s="18" t="s">
        <v>2072</v>
      </c>
      <c r="F1285" s="18">
        <v>1674</v>
      </c>
      <c r="G1285" s="18">
        <v>222</v>
      </c>
      <c r="H1285" s="18">
        <v>124</v>
      </c>
      <c r="I1285" s="18">
        <v>1328</v>
      </c>
    </row>
    <row r="1286" spans="1:9" x14ac:dyDescent="0.3">
      <c r="A1286" t="s">
        <v>1173</v>
      </c>
      <c r="B1286" s="18" t="s">
        <v>184</v>
      </c>
      <c r="C1286" s="18" t="s">
        <v>204</v>
      </c>
      <c r="D1286" s="18" t="s">
        <v>207</v>
      </c>
      <c r="E1286" s="18" t="s">
        <v>2072</v>
      </c>
      <c r="F1286" s="18">
        <v>1443</v>
      </c>
      <c r="G1286" s="18">
        <v>551</v>
      </c>
      <c r="H1286" s="18">
        <v>95</v>
      </c>
      <c r="I1286" s="18">
        <v>797</v>
      </c>
    </row>
    <row r="1287" spans="1:9" x14ac:dyDescent="0.3">
      <c r="A1287" t="s">
        <v>1540</v>
      </c>
      <c r="B1287" s="18" t="s">
        <v>184</v>
      </c>
      <c r="C1287" s="18" t="s">
        <v>204</v>
      </c>
      <c r="D1287" s="18" t="s">
        <v>208</v>
      </c>
      <c r="E1287" s="18" t="s">
        <v>2072</v>
      </c>
      <c r="F1287" s="18">
        <v>741</v>
      </c>
      <c r="G1287" s="18">
        <v>106</v>
      </c>
      <c r="H1287" s="18">
        <v>36</v>
      </c>
      <c r="I1287" s="18">
        <v>599</v>
      </c>
    </row>
    <row r="1288" spans="1:9" x14ac:dyDescent="0.3">
      <c r="A1288" t="s">
        <v>1356</v>
      </c>
      <c r="B1288" s="18" t="s">
        <v>184</v>
      </c>
      <c r="C1288" s="18" t="s">
        <v>204</v>
      </c>
      <c r="D1288" s="18" t="s">
        <v>204</v>
      </c>
      <c r="E1288" s="18" t="s">
        <v>2072</v>
      </c>
      <c r="F1288" s="18">
        <v>17048</v>
      </c>
      <c r="G1288" s="18">
        <v>6676</v>
      </c>
      <c r="H1288" s="18">
        <v>2010</v>
      </c>
      <c r="I1288" s="18">
        <v>8362</v>
      </c>
    </row>
    <row r="1289" spans="1:9" x14ac:dyDescent="0.3">
      <c r="A1289" t="s">
        <v>1541</v>
      </c>
      <c r="B1289" s="18" t="s">
        <v>184</v>
      </c>
      <c r="C1289" s="18" t="s">
        <v>204</v>
      </c>
      <c r="D1289" s="18" t="s">
        <v>209</v>
      </c>
      <c r="E1289" s="18" t="s">
        <v>2072</v>
      </c>
      <c r="F1289" s="18">
        <v>1539</v>
      </c>
      <c r="G1289" s="18">
        <v>585</v>
      </c>
      <c r="H1289" s="18">
        <v>70</v>
      </c>
      <c r="I1289" s="18">
        <v>884</v>
      </c>
    </row>
    <row r="1290" spans="1:9" x14ac:dyDescent="0.3">
      <c r="A1290" t="s">
        <v>1421</v>
      </c>
      <c r="B1290" s="18" t="s">
        <v>184</v>
      </c>
      <c r="C1290" s="18" t="s">
        <v>204</v>
      </c>
      <c r="D1290" s="18" t="s">
        <v>210</v>
      </c>
      <c r="E1290" s="18" t="s">
        <v>2072</v>
      </c>
      <c r="F1290" s="18">
        <v>2901</v>
      </c>
      <c r="G1290" s="18">
        <v>263</v>
      </c>
      <c r="H1290" s="18">
        <v>308</v>
      </c>
      <c r="I1290" s="18">
        <v>2330</v>
      </c>
    </row>
    <row r="1291" spans="1:9" x14ac:dyDescent="0.3">
      <c r="A1291" t="s">
        <v>1023</v>
      </c>
      <c r="B1291" s="18" t="s">
        <v>184</v>
      </c>
      <c r="C1291" s="18" t="s">
        <v>211</v>
      </c>
      <c r="D1291" s="18" t="s">
        <v>212</v>
      </c>
      <c r="E1291" s="18" t="s">
        <v>2072</v>
      </c>
      <c r="F1291" s="18">
        <v>1424</v>
      </c>
      <c r="G1291" s="18">
        <v>600</v>
      </c>
      <c r="H1291" s="18">
        <v>141</v>
      </c>
      <c r="I1291" s="18">
        <v>683</v>
      </c>
    </row>
    <row r="1292" spans="1:9" x14ac:dyDescent="0.3">
      <c r="A1292" t="s">
        <v>1233</v>
      </c>
      <c r="B1292" s="18" t="s">
        <v>184</v>
      </c>
      <c r="C1292" s="18" t="s">
        <v>211</v>
      </c>
      <c r="D1292" s="18" t="s">
        <v>213</v>
      </c>
      <c r="E1292" s="18" t="s">
        <v>2072</v>
      </c>
      <c r="F1292" s="18">
        <v>2447</v>
      </c>
      <c r="G1292" s="18">
        <v>891</v>
      </c>
      <c r="H1292" s="18">
        <v>123</v>
      </c>
      <c r="I1292" s="18">
        <v>1433</v>
      </c>
    </row>
    <row r="1293" spans="1:9" x14ac:dyDescent="0.3">
      <c r="A1293" t="s">
        <v>1232</v>
      </c>
      <c r="B1293" s="18" t="s">
        <v>184</v>
      </c>
      <c r="C1293" s="18" t="s">
        <v>211</v>
      </c>
      <c r="D1293" s="18" t="s">
        <v>214</v>
      </c>
      <c r="E1293" s="18" t="s">
        <v>2072</v>
      </c>
      <c r="F1293" s="18">
        <v>2972</v>
      </c>
      <c r="G1293" s="18">
        <v>1367</v>
      </c>
      <c r="H1293" s="18">
        <v>129</v>
      </c>
      <c r="I1293" s="18">
        <v>1476</v>
      </c>
    </row>
    <row r="1294" spans="1:9" x14ac:dyDescent="0.3">
      <c r="A1294" t="s">
        <v>1323</v>
      </c>
      <c r="B1294" s="18" t="s">
        <v>184</v>
      </c>
      <c r="C1294" s="18" t="s">
        <v>211</v>
      </c>
      <c r="D1294" s="18" t="s">
        <v>215</v>
      </c>
      <c r="E1294" s="18" t="s">
        <v>2072</v>
      </c>
      <c r="F1294" s="18">
        <v>3127</v>
      </c>
      <c r="G1294" s="18">
        <v>1461</v>
      </c>
      <c r="H1294" s="18">
        <v>208</v>
      </c>
      <c r="I1294" s="18">
        <v>1458</v>
      </c>
    </row>
    <row r="1295" spans="1:9" x14ac:dyDescent="0.3">
      <c r="A1295" t="s">
        <v>1092</v>
      </c>
      <c r="B1295" s="18" t="s">
        <v>184</v>
      </c>
      <c r="C1295" s="18" t="s">
        <v>211</v>
      </c>
      <c r="D1295" s="18" t="s">
        <v>216</v>
      </c>
      <c r="E1295" s="18" t="s">
        <v>2072</v>
      </c>
      <c r="F1295" s="18">
        <v>1681</v>
      </c>
      <c r="G1295" s="18">
        <v>725</v>
      </c>
      <c r="H1295" s="18">
        <v>121</v>
      </c>
      <c r="I1295" s="18">
        <v>835</v>
      </c>
    </row>
    <row r="1296" spans="1:9" x14ac:dyDescent="0.3">
      <c r="A1296" t="s">
        <v>1284</v>
      </c>
      <c r="B1296" s="18" t="s">
        <v>184</v>
      </c>
      <c r="C1296" s="18" t="s">
        <v>211</v>
      </c>
      <c r="D1296" s="18" t="s">
        <v>109</v>
      </c>
      <c r="E1296" s="18" t="s">
        <v>2072</v>
      </c>
      <c r="F1296" s="18">
        <v>15787</v>
      </c>
      <c r="G1296" s="18">
        <v>7232</v>
      </c>
      <c r="H1296" s="18">
        <v>1141</v>
      </c>
      <c r="I1296" s="18">
        <v>7414</v>
      </c>
    </row>
    <row r="1297" spans="1:9" x14ac:dyDescent="0.3">
      <c r="A1297" t="s">
        <v>1207</v>
      </c>
      <c r="B1297" s="18" t="s">
        <v>184</v>
      </c>
      <c r="C1297" s="18" t="s">
        <v>217</v>
      </c>
      <c r="D1297" s="18" t="s">
        <v>1004</v>
      </c>
      <c r="E1297" s="18" t="s">
        <v>2072</v>
      </c>
      <c r="F1297" s="18">
        <v>1446</v>
      </c>
      <c r="G1297" s="18">
        <v>479</v>
      </c>
      <c r="H1297" s="18">
        <v>68</v>
      </c>
      <c r="I1297" s="18">
        <v>899</v>
      </c>
    </row>
    <row r="1298" spans="1:9" x14ac:dyDescent="0.3">
      <c r="A1298" t="s">
        <v>1168</v>
      </c>
      <c r="B1298" s="18" t="s">
        <v>184</v>
      </c>
      <c r="C1298" s="18" t="s">
        <v>217</v>
      </c>
      <c r="D1298" s="18" t="s">
        <v>218</v>
      </c>
      <c r="E1298" s="18" t="s">
        <v>2072</v>
      </c>
      <c r="F1298" s="18">
        <v>845</v>
      </c>
      <c r="G1298" s="18">
        <v>295</v>
      </c>
      <c r="H1298" s="18">
        <v>16</v>
      </c>
      <c r="I1298" s="18">
        <v>534</v>
      </c>
    </row>
    <row r="1299" spans="1:9" x14ac:dyDescent="0.3">
      <c r="A1299" t="s">
        <v>1024</v>
      </c>
      <c r="B1299" s="18" t="s">
        <v>184</v>
      </c>
      <c r="C1299" s="18" t="s">
        <v>217</v>
      </c>
      <c r="D1299" s="18" t="s">
        <v>219</v>
      </c>
      <c r="E1299" s="18" t="s">
        <v>2072</v>
      </c>
      <c r="F1299" s="18">
        <v>1036</v>
      </c>
      <c r="G1299" s="18">
        <v>316</v>
      </c>
      <c r="H1299" s="18">
        <v>94</v>
      </c>
      <c r="I1299" s="18">
        <v>626</v>
      </c>
    </row>
    <row r="1300" spans="1:9" x14ac:dyDescent="0.3">
      <c r="A1300" t="s">
        <v>1275</v>
      </c>
      <c r="B1300" s="18" t="s">
        <v>184</v>
      </c>
      <c r="C1300" s="18" t="s">
        <v>217</v>
      </c>
      <c r="D1300" s="18" t="s">
        <v>217</v>
      </c>
      <c r="E1300" s="18" t="s">
        <v>2072</v>
      </c>
      <c r="F1300" s="18">
        <v>6370</v>
      </c>
      <c r="G1300" s="18">
        <v>2935</v>
      </c>
      <c r="H1300" s="18">
        <v>311</v>
      </c>
      <c r="I1300" s="18">
        <v>3124</v>
      </c>
    </row>
    <row r="1301" spans="1:9" x14ac:dyDescent="0.3">
      <c r="A1301" t="s">
        <v>1330</v>
      </c>
      <c r="B1301" s="18" t="s">
        <v>184</v>
      </c>
      <c r="C1301" s="18" t="s">
        <v>220</v>
      </c>
      <c r="D1301" s="18" t="s">
        <v>221</v>
      </c>
      <c r="E1301" s="18" t="s">
        <v>2072</v>
      </c>
      <c r="F1301" s="18">
        <v>2191</v>
      </c>
      <c r="G1301" s="18">
        <v>676</v>
      </c>
      <c r="H1301" s="18">
        <v>132</v>
      </c>
      <c r="I1301" s="18">
        <v>1383</v>
      </c>
    </row>
    <row r="1302" spans="1:9" x14ac:dyDescent="0.3">
      <c r="A1302" t="s">
        <v>1365</v>
      </c>
      <c r="B1302" s="18" t="s">
        <v>184</v>
      </c>
      <c r="C1302" s="18" t="s">
        <v>220</v>
      </c>
      <c r="D1302" s="18" t="s">
        <v>2064</v>
      </c>
      <c r="E1302" s="18" t="s">
        <v>2072</v>
      </c>
      <c r="F1302" s="18">
        <v>805</v>
      </c>
      <c r="G1302" s="18">
        <v>288</v>
      </c>
      <c r="H1302" s="18">
        <v>14</v>
      </c>
      <c r="I1302" s="18">
        <v>503</v>
      </c>
    </row>
    <row r="1303" spans="1:9" x14ac:dyDescent="0.3">
      <c r="A1303" t="s">
        <v>1542</v>
      </c>
      <c r="B1303" s="18" t="s">
        <v>184</v>
      </c>
      <c r="C1303" s="18" t="s">
        <v>220</v>
      </c>
      <c r="D1303" s="18" t="s">
        <v>223</v>
      </c>
      <c r="E1303" s="18" t="s">
        <v>2072</v>
      </c>
      <c r="F1303" s="18">
        <v>673</v>
      </c>
      <c r="G1303" s="18">
        <v>275</v>
      </c>
      <c r="H1303" s="18">
        <v>15</v>
      </c>
      <c r="I1303" s="18">
        <v>383</v>
      </c>
    </row>
    <row r="1304" spans="1:9" x14ac:dyDescent="0.3">
      <c r="A1304" t="s">
        <v>1543</v>
      </c>
      <c r="B1304" s="18" t="s">
        <v>184</v>
      </c>
      <c r="C1304" s="18" t="s">
        <v>220</v>
      </c>
      <c r="D1304" s="18" t="s">
        <v>224</v>
      </c>
      <c r="E1304" s="18" t="s">
        <v>2072</v>
      </c>
      <c r="F1304" s="18">
        <v>383</v>
      </c>
      <c r="G1304" s="18">
        <v>188</v>
      </c>
      <c r="H1304" s="18">
        <v>12</v>
      </c>
      <c r="I1304" s="18">
        <v>183</v>
      </c>
    </row>
    <row r="1305" spans="1:9" x14ac:dyDescent="0.3">
      <c r="A1305" t="s">
        <v>1347</v>
      </c>
      <c r="B1305" s="18" t="s">
        <v>184</v>
      </c>
      <c r="C1305" s="18" t="s">
        <v>220</v>
      </c>
      <c r="D1305" s="18" t="s">
        <v>220</v>
      </c>
      <c r="E1305" s="18" t="s">
        <v>2072</v>
      </c>
      <c r="F1305" s="18">
        <v>2920</v>
      </c>
      <c r="G1305" s="18">
        <v>920</v>
      </c>
      <c r="H1305" s="18">
        <v>172</v>
      </c>
      <c r="I1305" s="18">
        <v>1828</v>
      </c>
    </row>
    <row r="1306" spans="1:9" x14ac:dyDescent="0.3">
      <c r="A1306" t="s">
        <v>1161</v>
      </c>
      <c r="B1306" s="18" t="s">
        <v>280</v>
      </c>
      <c r="C1306" s="18" t="s">
        <v>283</v>
      </c>
      <c r="D1306" s="18" t="s">
        <v>283</v>
      </c>
      <c r="E1306" s="18" t="s">
        <v>2072</v>
      </c>
      <c r="F1306" s="18">
        <v>9195</v>
      </c>
      <c r="G1306" s="18">
        <v>3345</v>
      </c>
      <c r="H1306" s="18">
        <v>629</v>
      </c>
      <c r="I1306" s="18">
        <v>5221</v>
      </c>
    </row>
    <row r="1307" spans="1:9" x14ac:dyDescent="0.3">
      <c r="A1307" t="s">
        <v>1562</v>
      </c>
      <c r="B1307" s="18" t="s">
        <v>280</v>
      </c>
      <c r="C1307" s="18" t="s">
        <v>283</v>
      </c>
      <c r="D1307" s="18" t="s">
        <v>286</v>
      </c>
      <c r="E1307" s="18" t="s">
        <v>2072</v>
      </c>
      <c r="F1307" s="18">
        <v>331</v>
      </c>
      <c r="G1307" s="18">
        <v>86</v>
      </c>
      <c r="H1307" s="18">
        <v>25</v>
      </c>
      <c r="I1307" s="18">
        <v>220</v>
      </c>
    </row>
    <row r="1308" spans="1:9" x14ac:dyDescent="0.3">
      <c r="A1308" t="s">
        <v>1561</v>
      </c>
      <c r="B1308" s="18" t="s">
        <v>280</v>
      </c>
      <c r="C1308" s="18" t="s">
        <v>283</v>
      </c>
      <c r="D1308" s="18" t="s">
        <v>284</v>
      </c>
      <c r="E1308" s="18" t="s">
        <v>2072</v>
      </c>
      <c r="F1308" s="18">
        <v>709</v>
      </c>
      <c r="G1308" s="18">
        <v>234</v>
      </c>
      <c r="H1308" s="18">
        <v>55</v>
      </c>
      <c r="I1308" s="18">
        <v>420</v>
      </c>
    </row>
    <row r="1309" spans="1:9" x14ac:dyDescent="0.3">
      <c r="A1309" t="s">
        <v>1943</v>
      </c>
      <c r="B1309" s="18" t="s">
        <v>280</v>
      </c>
      <c r="C1309" s="18" t="s">
        <v>283</v>
      </c>
      <c r="D1309" s="18" t="s">
        <v>287</v>
      </c>
      <c r="E1309" s="18" t="s">
        <v>2072</v>
      </c>
      <c r="F1309" s="18">
        <v>804</v>
      </c>
      <c r="G1309" s="18">
        <v>204</v>
      </c>
      <c r="H1309" s="18">
        <v>60</v>
      </c>
      <c r="I1309" s="18">
        <v>540</v>
      </c>
    </row>
    <row r="1310" spans="1:9" x14ac:dyDescent="0.3">
      <c r="A1310" t="s">
        <v>1247</v>
      </c>
      <c r="B1310" s="18" t="s">
        <v>280</v>
      </c>
      <c r="C1310" s="18" t="s">
        <v>283</v>
      </c>
      <c r="D1310" s="18" t="s">
        <v>285</v>
      </c>
      <c r="E1310" s="18" t="s">
        <v>2072</v>
      </c>
      <c r="F1310" s="18">
        <v>1253</v>
      </c>
      <c r="G1310" s="18">
        <v>311</v>
      </c>
      <c r="H1310" s="18">
        <v>96</v>
      </c>
      <c r="I1310" s="18">
        <v>846</v>
      </c>
    </row>
    <row r="1311" spans="1:9" x14ac:dyDescent="0.3">
      <c r="A1311" t="s">
        <v>1945</v>
      </c>
      <c r="B1311" s="18" t="s">
        <v>280</v>
      </c>
      <c r="C1311" s="18" t="s">
        <v>288</v>
      </c>
      <c r="D1311" s="18" t="s">
        <v>289</v>
      </c>
      <c r="E1311" s="18" t="s">
        <v>2072</v>
      </c>
      <c r="F1311" s="18">
        <v>557</v>
      </c>
      <c r="G1311" s="18">
        <v>176</v>
      </c>
      <c r="H1311" s="18">
        <v>29</v>
      </c>
      <c r="I1311" s="18">
        <v>352</v>
      </c>
    </row>
    <row r="1312" spans="1:9" x14ac:dyDescent="0.3">
      <c r="A1312" t="s">
        <v>1946</v>
      </c>
      <c r="B1312" s="18" t="s">
        <v>280</v>
      </c>
      <c r="C1312" s="18" t="s">
        <v>288</v>
      </c>
      <c r="D1312" s="18" t="s">
        <v>290</v>
      </c>
      <c r="E1312" s="18" t="s">
        <v>2072</v>
      </c>
      <c r="F1312" s="18">
        <v>367</v>
      </c>
      <c r="G1312" s="18">
        <v>137</v>
      </c>
      <c r="H1312" s="18">
        <v>13</v>
      </c>
      <c r="I1312" s="18">
        <v>217</v>
      </c>
    </row>
    <row r="1313" spans="1:9" x14ac:dyDescent="0.3">
      <c r="A1313" t="s">
        <v>1947</v>
      </c>
      <c r="B1313" s="18" t="s">
        <v>280</v>
      </c>
      <c r="C1313" s="18" t="s">
        <v>288</v>
      </c>
      <c r="D1313" s="18" t="s">
        <v>291</v>
      </c>
      <c r="E1313" s="18" t="s">
        <v>2072</v>
      </c>
      <c r="F1313" s="18">
        <v>158</v>
      </c>
      <c r="G1313" s="18">
        <v>70</v>
      </c>
      <c r="H1313" s="18">
        <v>9</v>
      </c>
      <c r="I1313" s="18">
        <v>79</v>
      </c>
    </row>
    <row r="1314" spans="1:9" x14ac:dyDescent="0.3">
      <c r="A1314" t="s">
        <v>1944</v>
      </c>
      <c r="B1314" s="18" t="s">
        <v>280</v>
      </c>
      <c r="C1314" s="18" t="s">
        <v>288</v>
      </c>
      <c r="D1314" s="18" t="s">
        <v>24</v>
      </c>
      <c r="E1314" s="18" t="s">
        <v>2072</v>
      </c>
      <c r="F1314" s="18">
        <v>991</v>
      </c>
      <c r="G1314" s="18">
        <v>347</v>
      </c>
      <c r="H1314" s="18">
        <v>36</v>
      </c>
      <c r="I1314" s="18">
        <v>608</v>
      </c>
    </row>
    <row r="1315" spans="1:9" x14ac:dyDescent="0.3">
      <c r="A1315" t="s">
        <v>1948</v>
      </c>
      <c r="B1315" s="18" t="s">
        <v>280</v>
      </c>
      <c r="C1315" s="18" t="s">
        <v>288</v>
      </c>
      <c r="D1315" s="18" t="s">
        <v>292</v>
      </c>
      <c r="E1315" s="18" t="s">
        <v>2072</v>
      </c>
      <c r="F1315" s="18">
        <v>168</v>
      </c>
      <c r="G1315" s="18">
        <v>59</v>
      </c>
      <c r="H1315" s="18">
        <v>9</v>
      </c>
      <c r="I1315" s="18">
        <v>100</v>
      </c>
    </row>
    <row r="1316" spans="1:9" x14ac:dyDescent="0.3">
      <c r="A1316" t="s">
        <v>1563</v>
      </c>
      <c r="B1316" s="18" t="s">
        <v>280</v>
      </c>
      <c r="C1316" s="18" t="s">
        <v>288</v>
      </c>
      <c r="D1316" s="18" t="s">
        <v>293</v>
      </c>
      <c r="E1316" s="18" t="s">
        <v>2072</v>
      </c>
      <c r="F1316" s="18">
        <v>107</v>
      </c>
      <c r="G1316" s="18">
        <v>33</v>
      </c>
      <c r="H1316" s="18">
        <v>1</v>
      </c>
      <c r="I1316" s="18">
        <v>73</v>
      </c>
    </row>
    <row r="1317" spans="1:9" x14ac:dyDescent="0.3">
      <c r="A1317" t="s">
        <v>1158</v>
      </c>
      <c r="B1317" s="18" t="s">
        <v>280</v>
      </c>
      <c r="C1317" s="18" t="s">
        <v>294</v>
      </c>
      <c r="D1317" s="18" t="s">
        <v>294</v>
      </c>
      <c r="E1317" s="18" t="s">
        <v>2072</v>
      </c>
      <c r="F1317" s="18">
        <v>2311</v>
      </c>
      <c r="G1317" s="18">
        <v>891</v>
      </c>
      <c r="H1317" s="18">
        <v>154</v>
      </c>
      <c r="I1317" s="18">
        <v>1266</v>
      </c>
    </row>
    <row r="1318" spans="1:9" x14ac:dyDescent="0.3">
      <c r="A1318" t="s">
        <v>1564</v>
      </c>
      <c r="B1318" s="18" t="s">
        <v>280</v>
      </c>
      <c r="C1318" s="18" t="s">
        <v>294</v>
      </c>
      <c r="D1318" s="18" t="s">
        <v>295</v>
      </c>
      <c r="E1318" s="18" t="s">
        <v>2072</v>
      </c>
      <c r="F1318" s="18">
        <v>568</v>
      </c>
      <c r="G1318" s="18">
        <v>135</v>
      </c>
      <c r="H1318" s="18">
        <v>36</v>
      </c>
      <c r="I1318" s="18">
        <v>397</v>
      </c>
    </row>
    <row r="1319" spans="1:9" x14ac:dyDescent="0.3">
      <c r="A1319" t="s">
        <v>1565</v>
      </c>
      <c r="B1319" s="18" t="s">
        <v>280</v>
      </c>
      <c r="C1319" s="18" t="s">
        <v>296</v>
      </c>
      <c r="D1319" s="18" t="s">
        <v>296</v>
      </c>
      <c r="E1319" s="18" t="s">
        <v>2072</v>
      </c>
      <c r="F1319" s="18">
        <v>869</v>
      </c>
      <c r="G1319" s="18">
        <v>236</v>
      </c>
      <c r="H1319" s="18">
        <v>36</v>
      </c>
      <c r="I1319" s="18">
        <v>597</v>
      </c>
    </row>
    <row r="1320" spans="1:9" x14ac:dyDescent="0.3">
      <c r="A1320" t="s">
        <v>1566</v>
      </c>
      <c r="B1320" s="18" t="s">
        <v>280</v>
      </c>
      <c r="C1320" s="18" t="s">
        <v>297</v>
      </c>
      <c r="D1320" s="18" t="s">
        <v>298</v>
      </c>
      <c r="E1320" s="18" t="s">
        <v>2072</v>
      </c>
      <c r="F1320" s="18">
        <v>2511</v>
      </c>
      <c r="G1320" s="18">
        <v>737</v>
      </c>
      <c r="H1320" s="18">
        <v>175</v>
      </c>
      <c r="I1320" s="18">
        <v>1599</v>
      </c>
    </row>
    <row r="1321" spans="1:9" x14ac:dyDescent="0.3">
      <c r="A1321" t="s">
        <v>1294</v>
      </c>
      <c r="B1321" s="18" t="s">
        <v>280</v>
      </c>
      <c r="C1321" s="18" t="s">
        <v>297</v>
      </c>
      <c r="D1321" s="18" t="s">
        <v>297</v>
      </c>
      <c r="E1321" s="18" t="s">
        <v>2072</v>
      </c>
      <c r="F1321" s="18">
        <v>12974</v>
      </c>
      <c r="G1321" s="18">
        <v>4767</v>
      </c>
      <c r="H1321" s="18">
        <v>794</v>
      </c>
      <c r="I1321" s="18">
        <v>7413</v>
      </c>
    </row>
    <row r="1322" spans="1:9" x14ac:dyDescent="0.3">
      <c r="A1322" t="s">
        <v>1567</v>
      </c>
      <c r="B1322" s="18" t="s">
        <v>280</v>
      </c>
      <c r="C1322" s="18" t="s">
        <v>297</v>
      </c>
      <c r="D1322" s="18" t="s">
        <v>299</v>
      </c>
      <c r="E1322" s="18" t="s">
        <v>2072</v>
      </c>
      <c r="F1322" s="18">
        <v>1578</v>
      </c>
      <c r="G1322" s="18">
        <v>538</v>
      </c>
      <c r="H1322" s="18">
        <v>92</v>
      </c>
      <c r="I1322" s="18">
        <v>948</v>
      </c>
    </row>
    <row r="1323" spans="1:9" x14ac:dyDescent="0.3">
      <c r="A1323" t="s">
        <v>1569</v>
      </c>
      <c r="B1323" s="18" t="s">
        <v>280</v>
      </c>
      <c r="C1323" s="18" t="s">
        <v>297</v>
      </c>
      <c r="D1323" s="18" t="s">
        <v>301</v>
      </c>
      <c r="E1323" s="18" t="s">
        <v>2072</v>
      </c>
      <c r="F1323" s="18">
        <v>2413</v>
      </c>
      <c r="G1323" s="18">
        <v>719</v>
      </c>
      <c r="H1323" s="18">
        <v>190</v>
      </c>
      <c r="I1323" s="18">
        <v>1504</v>
      </c>
    </row>
    <row r="1324" spans="1:9" x14ac:dyDescent="0.3">
      <c r="A1324" t="s">
        <v>1568</v>
      </c>
      <c r="B1324" s="18" t="s">
        <v>280</v>
      </c>
      <c r="C1324" s="18" t="s">
        <v>297</v>
      </c>
      <c r="D1324" s="18" t="s">
        <v>300</v>
      </c>
      <c r="E1324" s="18" t="s">
        <v>2072</v>
      </c>
      <c r="F1324" s="18">
        <v>1720</v>
      </c>
      <c r="G1324" s="18">
        <v>486</v>
      </c>
      <c r="H1324" s="18">
        <v>93</v>
      </c>
      <c r="I1324" s="18">
        <v>1141</v>
      </c>
    </row>
    <row r="1325" spans="1:9" x14ac:dyDescent="0.3">
      <c r="A1325" t="s">
        <v>1439</v>
      </c>
      <c r="B1325" s="18" t="s">
        <v>280</v>
      </c>
      <c r="C1325" s="18" t="s">
        <v>302</v>
      </c>
      <c r="D1325" s="18" t="s">
        <v>302</v>
      </c>
      <c r="E1325" s="18" t="s">
        <v>2072</v>
      </c>
      <c r="F1325" s="18">
        <v>21510</v>
      </c>
      <c r="G1325" s="18">
        <v>8412</v>
      </c>
      <c r="H1325" s="18">
        <v>1502</v>
      </c>
      <c r="I1325" s="18">
        <v>11596</v>
      </c>
    </row>
    <row r="1326" spans="1:9" x14ac:dyDescent="0.3">
      <c r="A1326" t="s">
        <v>1583</v>
      </c>
      <c r="B1326" s="18" t="s">
        <v>280</v>
      </c>
      <c r="C1326" s="18" t="s">
        <v>339</v>
      </c>
      <c r="D1326" s="18" t="s">
        <v>340</v>
      </c>
      <c r="E1326" s="18" t="s">
        <v>2072</v>
      </c>
      <c r="F1326" s="18">
        <v>334</v>
      </c>
      <c r="G1326" s="18">
        <v>111</v>
      </c>
      <c r="H1326" s="18">
        <v>15</v>
      </c>
      <c r="I1326" s="18">
        <v>208</v>
      </c>
    </row>
    <row r="1327" spans="1:9" x14ac:dyDescent="0.3">
      <c r="A1327" t="s">
        <v>1582</v>
      </c>
      <c r="B1327" s="18" t="s">
        <v>280</v>
      </c>
      <c r="C1327" s="18" t="s">
        <v>339</v>
      </c>
      <c r="D1327" s="18" t="s">
        <v>168</v>
      </c>
      <c r="E1327" s="18" t="s">
        <v>2072</v>
      </c>
      <c r="F1327" s="18">
        <v>327</v>
      </c>
      <c r="G1327" s="18">
        <v>74</v>
      </c>
      <c r="H1327" s="18">
        <v>21</v>
      </c>
      <c r="I1327" s="18">
        <v>232</v>
      </c>
    </row>
    <row r="1328" spans="1:9" x14ac:dyDescent="0.3">
      <c r="A1328" t="s">
        <v>1371</v>
      </c>
      <c r="B1328" s="18" t="s">
        <v>280</v>
      </c>
      <c r="C1328" s="18" t="s">
        <v>339</v>
      </c>
      <c r="D1328" s="18" t="s">
        <v>207</v>
      </c>
      <c r="E1328" s="18" t="s">
        <v>2072</v>
      </c>
      <c r="F1328" s="18">
        <v>1309</v>
      </c>
      <c r="G1328" s="18">
        <v>268</v>
      </c>
      <c r="H1328" s="18">
        <v>128</v>
      </c>
      <c r="I1328" s="18">
        <v>913</v>
      </c>
    </row>
    <row r="1329" spans="1:9" x14ac:dyDescent="0.3">
      <c r="A1329" t="s">
        <v>1964</v>
      </c>
      <c r="B1329" s="18" t="s">
        <v>280</v>
      </c>
      <c r="C1329" s="18" t="s">
        <v>339</v>
      </c>
      <c r="D1329" s="18" t="s">
        <v>169</v>
      </c>
      <c r="E1329" s="18" t="s">
        <v>2072</v>
      </c>
      <c r="F1329" s="18">
        <v>261</v>
      </c>
      <c r="G1329" s="18">
        <v>62</v>
      </c>
      <c r="H1329" s="18">
        <v>14</v>
      </c>
      <c r="I1329" s="18">
        <v>185</v>
      </c>
    </row>
    <row r="1330" spans="1:9" x14ac:dyDescent="0.3">
      <c r="A1330" t="s">
        <v>1071</v>
      </c>
      <c r="B1330" s="18" t="s">
        <v>280</v>
      </c>
      <c r="C1330" s="18" t="s">
        <v>281</v>
      </c>
      <c r="D1330" s="18" t="s">
        <v>282</v>
      </c>
      <c r="E1330" s="18" t="s">
        <v>2072</v>
      </c>
      <c r="F1330" s="18">
        <v>1641</v>
      </c>
      <c r="G1330" s="18">
        <v>592</v>
      </c>
      <c r="H1330" s="18">
        <v>147</v>
      </c>
      <c r="I1330" s="18">
        <v>902</v>
      </c>
    </row>
    <row r="1331" spans="1:9" x14ac:dyDescent="0.3">
      <c r="A1331" t="s">
        <v>1273</v>
      </c>
      <c r="B1331" s="18" t="s">
        <v>280</v>
      </c>
      <c r="C1331" s="18" t="s">
        <v>281</v>
      </c>
      <c r="D1331" s="18" t="s">
        <v>281</v>
      </c>
      <c r="E1331" s="18" t="s">
        <v>2072</v>
      </c>
      <c r="F1331" s="18">
        <v>117265</v>
      </c>
      <c r="G1331" s="18">
        <v>48532</v>
      </c>
      <c r="H1331" s="18">
        <v>9706</v>
      </c>
      <c r="I1331" s="18">
        <v>59027</v>
      </c>
    </row>
    <row r="1332" spans="1:9" x14ac:dyDescent="0.3">
      <c r="A1332" t="s">
        <v>1949</v>
      </c>
      <c r="B1332" s="18" t="s">
        <v>280</v>
      </c>
      <c r="C1332" s="18" t="s">
        <v>303</v>
      </c>
      <c r="D1332" s="18" t="s">
        <v>304</v>
      </c>
      <c r="E1332" s="18" t="s">
        <v>2072</v>
      </c>
      <c r="F1332" s="18">
        <v>105</v>
      </c>
      <c r="G1332" s="18">
        <v>20</v>
      </c>
      <c r="H1332" s="18">
        <v>7</v>
      </c>
      <c r="I1332" s="18">
        <v>78</v>
      </c>
    </row>
    <row r="1333" spans="1:9" x14ac:dyDescent="0.3">
      <c r="A1333" t="s">
        <v>1190</v>
      </c>
      <c r="B1333" s="18" t="s">
        <v>280</v>
      </c>
      <c r="C1333" s="18" t="s">
        <v>303</v>
      </c>
      <c r="D1333" s="18" t="s">
        <v>303</v>
      </c>
      <c r="E1333" s="18" t="s">
        <v>2072</v>
      </c>
      <c r="F1333" s="18">
        <v>2444</v>
      </c>
      <c r="G1333" s="18">
        <v>913</v>
      </c>
      <c r="H1333" s="18">
        <v>148</v>
      </c>
      <c r="I1333" s="18">
        <v>1383</v>
      </c>
    </row>
    <row r="1334" spans="1:9" x14ac:dyDescent="0.3">
      <c r="A1334" t="s">
        <v>1570</v>
      </c>
      <c r="B1334" s="18" t="s">
        <v>280</v>
      </c>
      <c r="C1334" s="18" t="s">
        <v>305</v>
      </c>
      <c r="D1334" s="18" t="s">
        <v>306</v>
      </c>
      <c r="E1334" s="18" t="s">
        <v>2072</v>
      </c>
      <c r="F1334" s="18">
        <v>2778</v>
      </c>
      <c r="G1334" s="18">
        <v>925</v>
      </c>
      <c r="H1334" s="18">
        <v>113</v>
      </c>
      <c r="I1334" s="18">
        <v>1740</v>
      </c>
    </row>
    <row r="1335" spans="1:9" x14ac:dyDescent="0.3">
      <c r="A1335" t="s">
        <v>1951</v>
      </c>
      <c r="B1335" s="18" t="s">
        <v>280</v>
      </c>
      <c r="C1335" s="18" t="s">
        <v>305</v>
      </c>
      <c r="D1335" s="18" t="s">
        <v>311</v>
      </c>
      <c r="E1335" s="18" t="s">
        <v>2072</v>
      </c>
      <c r="F1335" s="18">
        <v>776</v>
      </c>
      <c r="G1335" s="18">
        <v>251</v>
      </c>
      <c r="H1335" s="18">
        <v>59</v>
      </c>
      <c r="I1335" s="18">
        <v>466</v>
      </c>
    </row>
    <row r="1336" spans="1:9" x14ac:dyDescent="0.3">
      <c r="A1336" t="s">
        <v>1571</v>
      </c>
      <c r="B1336" s="18" t="s">
        <v>280</v>
      </c>
      <c r="C1336" s="18" t="s">
        <v>305</v>
      </c>
      <c r="D1336" s="18" t="s">
        <v>307</v>
      </c>
      <c r="E1336" s="18" t="s">
        <v>2072</v>
      </c>
      <c r="F1336" s="18">
        <v>1106</v>
      </c>
      <c r="G1336" s="18">
        <v>346</v>
      </c>
      <c r="H1336" s="18">
        <v>66</v>
      </c>
      <c r="I1336" s="18">
        <v>694</v>
      </c>
    </row>
    <row r="1337" spans="1:9" x14ac:dyDescent="0.3">
      <c r="A1337" t="s">
        <v>1572</v>
      </c>
      <c r="B1337" s="18" t="s">
        <v>280</v>
      </c>
      <c r="C1337" s="18" t="s">
        <v>305</v>
      </c>
      <c r="D1337" s="18" t="s">
        <v>308</v>
      </c>
      <c r="E1337" s="18" t="s">
        <v>2072</v>
      </c>
      <c r="F1337" s="18">
        <v>1535</v>
      </c>
      <c r="G1337" s="18">
        <v>510</v>
      </c>
      <c r="H1337" s="18">
        <v>105</v>
      </c>
      <c r="I1337" s="18">
        <v>920</v>
      </c>
    </row>
    <row r="1338" spans="1:9" x14ac:dyDescent="0.3">
      <c r="A1338" t="s">
        <v>1324</v>
      </c>
      <c r="B1338" s="18" t="s">
        <v>280</v>
      </c>
      <c r="C1338" s="18" t="s">
        <v>305</v>
      </c>
      <c r="D1338" s="18" t="s">
        <v>305</v>
      </c>
      <c r="E1338" s="18" t="s">
        <v>2072</v>
      </c>
      <c r="F1338" s="18">
        <v>24138</v>
      </c>
      <c r="G1338" s="18">
        <v>9058</v>
      </c>
      <c r="H1338" s="18">
        <v>1709</v>
      </c>
      <c r="I1338" s="18">
        <v>13371</v>
      </c>
    </row>
    <row r="1339" spans="1:9" x14ac:dyDescent="0.3">
      <c r="A1339" t="s">
        <v>1950</v>
      </c>
      <c r="B1339" s="18" t="s">
        <v>280</v>
      </c>
      <c r="C1339" s="18" t="s">
        <v>305</v>
      </c>
      <c r="D1339" s="18" t="s">
        <v>309</v>
      </c>
      <c r="E1339" s="18" t="s">
        <v>2072</v>
      </c>
      <c r="F1339" s="18">
        <v>1842</v>
      </c>
      <c r="G1339" s="18">
        <v>495</v>
      </c>
      <c r="H1339" s="18">
        <v>82</v>
      </c>
      <c r="I1339" s="18">
        <v>1265</v>
      </c>
    </row>
    <row r="1340" spans="1:9" x14ac:dyDescent="0.3">
      <c r="A1340" t="s">
        <v>1573</v>
      </c>
      <c r="B1340" s="18" t="s">
        <v>280</v>
      </c>
      <c r="C1340" s="18" t="s">
        <v>305</v>
      </c>
      <c r="D1340" s="18" t="s">
        <v>310</v>
      </c>
      <c r="E1340" s="18" t="s">
        <v>2072</v>
      </c>
      <c r="F1340" s="18">
        <v>357</v>
      </c>
      <c r="G1340" s="18">
        <v>111</v>
      </c>
      <c r="H1340" s="18">
        <v>17</v>
      </c>
      <c r="I1340" s="18">
        <v>229</v>
      </c>
    </row>
    <row r="1341" spans="1:9" x14ac:dyDescent="0.3">
      <c r="A1341" t="s">
        <v>1952</v>
      </c>
      <c r="B1341" s="18" t="s">
        <v>280</v>
      </c>
      <c r="C1341" s="18" t="s">
        <v>312</v>
      </c>
      <c r="D1341" s="18" t="s">
        <v>313</v>
      </c>
      <c r="E1341" s="18" t="s">
        <v>2072</v>
      </c>
      <c r="F1341" s="18">
        <v>663</v>
      </c>
      <c r="G1341" s="18">
        <v>196</v>
      </c>
      <c r="H1341" s="18">
        <v>38</v>
      </c>
      <c r="I1341" s="18">
        <v>429</v>
      </c>
    </row>
    <row r="1342" spans="1:9" x14ac:dyDescent="0.3">
      <c r="A1342" t="s">
        <v>1953</v>
      </c>
      <c r="B1342" s="18" t="s">
        <v>280</v>
      </c>
      <c r="C1342" s="18" t="s">
        <v>312</v>
      </c>
      <c r="D1342" s="18" t="s">
        <v>314</v>
      </c>
      <c r="E1342" s="18" t="s">
        <v>2072</v>
      </c>
      <c r="F1342" s="18">
        <v>508</v>
      </c>
      <c r="G1342" s="18">
        <v>108</v>
      </c>
      <c r="H1342" s="18">
        <v>21</v>
      </c>
      <c r="I1342" s="18">
        <v>379</v>
      </c>
    </row>
    <row r="1343" spans="1:9" x14ac:dyDescent="0.3">
      <c r="A1343" t="s">
        <v>1574</v>
      </c>
      <c r="B1343" s="18" t="s">
        <v>280</v>
      </c>
      <c r="C1343" s="18" t="s">
        <v>312</v>
      </c>
      <c r="D1343" s="18" t="s">
        <v>315</v>
      </c>
      <c r="E1343" s="18" t="s">
        <v>2072</v>
      </c>
      <c r="F1343" s="18">
        <v>478</v>
      </c>
      <c r="G1343" s="18">
        <v>163</v>
      </c>
      <c r="H1343" s="18">
        <v>14</v>
      </c>
      <c r="I1343" s="18">
        <v>301</v>
      </c>
    </row>
    <row r="1344" spans="1:9" x14ac:dyDescent="0.3">
      <c r="A1344" t="s">
        <v>1954</v>
      </c>
      <c r="B1344" s="18" t="s">
        <v>280</v>
      </c>
      <c r="C1344" s="18" t="s">
        <v>312</v>
      </c>
      <c r="D1344" s="18" t="s">
        <v>316</v>
      </c>
      <c r="E1344" s="18" t="s">
        <v>2072</v>
      </c>
      <c r="F1344" s="18">
        <v>200</v>
      </c>
      <c r="G1344" s="18">
        <v>56</v>
      </c>
      <c r="H1344" s="18">
        <v>9</v>
      </c>
      <c r="I1344" s="18">
        <v>135</v>
      </c>
    </row>
    <row r="1345" spans="1:9" x14ac:dyDescent="0.3">
      <c r="A1345" t="s">
        <v>1078</v>
      </c>
      <c r="B1345" s="18" t="s">
        <v>280</v>
      </c>
      <c r="C1345" s="18" t="s">
        <v>312</v>
      </c>
      <c r="D1345" s="18" t="s">
        <v>312</v>
      </c>
      <c r="E1345" s="18" t="s">
        <v>2072</v>
      </c>
      <c r="F1345" s="18">
        <v>8162</v>
      </c>
      <c r="G1345" s="18">
        <v>3711</v>
      </c>
      <c r="H1345" s="18">
        <v>394</v>
      </c>
      <c r="I1345" s="18">
        <v>4057</v>
      </c>
    </row>
    <row r="1346" spans="1:9" x14ac:dyDescent="0.3">
      <c r="A1346" t="s">
        <v>1955</v>
      </c>
      <c r="B1346" s="18" t="s">
        <v>280</v>
      </c>
      <c r="C1346" s="18" t="s">
        <v>312</v>
      </c>
      <c r="D1346" s="18" t="s">
        <v>317</v>
      </c>
      <c r="E1346" s="18" t="s">
        <v>2072</v>
      </c>
      <c r="F1346" s="18">
        <v>463</v>
      </c>
      <c r="G1346" s="18">
        <v>190</v>
      </c>
      <c r="H1346" s="18">
        <v>16</v>
      </c>
      <c r="I1346" s="18">
        <v>257</v>
      </c>
    </row>
    <row r="1347" spans="1:9" x14ac:dyDescent="0.3">
      <c r="A1347" t="s">
        <v>1575</v>
      </c>
      <c r="B1347" s="18" t="s">
        <v>280</v>
      </c>
      <c r="C1347" s="18" t="s">
        <v>312</v>
      </c>
      <c r="D1347" s="18" t="s">
        <v>318</v>
      </c>
      <c r="E1347" s="18" t="s">
        <v>2072</v>
      </c>
      <c r="F1347" s="18">
        <v>1021</v>
      </c>
      <c r="G1347" s="18">
        <v>342</v>
      </c>
      <c r="H1347" s="18">
        <v>52</v>
      </c>
      <c r="I1347" s="18">
        <v>627</v>
      </c>
    </row>
    <row r="1348" spans="1:9" x14ac:dyDescent="0.3">
      <c r="A1348" t="s">
        <v>1576</v>
      </c>
      <c r="B1348" s="18" t="s">
        <v>280</v>
      </c>
      <c r="C1348" s="18" t="s">
        <v>319</v>
      </c>
      <c r="D1348" s="18" t="s">
        <v>320</v>
      </c>
      <c r="E1348" s="18" t="s">
        <v>2072</v>
      </c>
      <c r="F1348" s="18">
        <v>205</v>
      </c>
      <c r="G1348" s="18">
        <v>69</v>
      </c>
      <c r="H1348" s="18">
        <v>41</v>
      </c>
      <c r="I1348" s="18">
        <v>95</v>
      </c>
    </row>
    <row r="1349" spans="1:9" x14ac:dyDescent="0.3">
      <c r="A1349" t="s">
        <v>1956</v>
      </c>
      <c r="B1349" s="18" t="s">
        <v>280</v>
      </c>
      <c r="C1349" s="18" t="s">
        <v>319</v>
      </c>
      <c r="D1349" s="18" t="s">
        <v>321</v>
      </c>
      <c r="E1349" s="18" t="s">
        <v>2072</v>
      </c>
      <c r="F1349" s="18">
        <v>264</v>
      </c>
      <c r="G1349" s="18">
        <v>74</v>
      </c>
      <c r="H1349" s="18">
        <v>69</v>
      </c>
      <c r="I1349" s="18">
        <v>121</v>
      </c>
    </row>
    <row r="1350" spans="1:9" x14ac:dyDescent="0.3">
      <c r="A1350" t="s">
        <v>1246</v>
      </c>
      <c r="B1350" s="18" t="s">
        <v>280</v>
      </c>
      <c r="C1350" s="18" t="s">
        <v>319</v>
      </c>
      <c r="D1350" s="18" t="s">
        <v>319</v>
      </c>
      <c r="E1350" s="18" t="s">
        <v>2072</v>
      </c>
      <c r="F1350" s="18">
        <v>4286</v>
      </c>
      <c r="G1350" s="18">
        <v>1495</v>
      </c>
      <c r="H1350" s="18">
        <v>309</v>
      </c>
      <c r="I1350" s="18">
        <v>2482</v>
      </c>
    </row>
    <row r="1351" spans="1:9" x14ac:dyDescent="0.3">
      <c r="A1351" t="s">
        <v>1577</v>
      </c>
      <c r="B1351" s="18" t="s">
        <v>280</v>
      </c>
      <c r="C1351" s="18" t="s">
        <v>319</v>
      </c>
      <c r="D1351" s="18" t="s">
        <v>322</v>
      </c>
      <c r="E1351" s="18" t="s">
        <v>2072</v>
      </c>
      <c r="F1351" s="18">
        <v>357</v>
      </c>
      <c r="G1351" s="18">
        <v>88</v>
      </c>
      <c r="H1351" s="18">
        <v>23</v>
      </c>
      <c r="I1351" s="18">
        <v>246</v>
      </c>
    </row>
    <row r="1352" spans="1:9" x14ac:dyDescent="0.3">
      <c r="A1352" t="s">
        <v>1579</v>
      </c>
      <c r="B1352" s="18" t="s">
        <v>280</v>
      </c>
      <c r="C1352" s="18" t="s">
        <v>323</v>
      </c>
      <c r="D1352" s="18" t="s">
        <v>295</v>
      </c>
      <c r="E1352" s="18" t="s">
        <v>2072</v>
      </c>
      <c r="F1352" s="18">
        <v>987</v>
      </c>
      <c r="G1352" s="18">
        <v>236</v>
      </c>
      <c r="H1352" s="18">
        <v>107</v>
      </c>
      <c r="I1352" s="18">
        <v>644</v>
      </c>
    </row>
    <row r="1353" spans="1:9" x14ac:dyDescent="0.3">
      <c r="A1353" t="s">
        <v>1354</v>
      </c>
      <c r="B1353" s="18" t="s">
        <v>280</v>
      </c>
      <c r="C1353" s="18" t="s">
        <v>323</v>
      </c>
      <c r="D1353" s="18" t="s">
        <v>324</v>
      </c>
      <c r="E1353" s="18" t="s">
        <v>2072</v>
      </c>
      <c r="F1353" s="18">
        <v>1900</v>
      </c>
      <c r="G1353" s="18">
        <v>664</v>
      </c>
      <c r="H1353" s="18">
        <v>128</v>
      </c>
      <c r="I1353" s="18">
        <v>1108</v>
      </c>
    </row>
    <row r="1354" spans="1:9" x14ac:dyDescent="0.3">
      <c r="A1354" t="s">
        <v>1578</v>
      </c>
      <c r="B1354" s="18" t="s">
        <v>280</v>
      </c>
      <c r="C1354" s="18" t="s">
        <v>323</v>
      </c>
      <c r="D1354" s="18" t="s">
        <v>325</v>
      </c>
      <c r="E1354" s="18" t="s">
        <v>2072</v>
      </c>
      <c r="F1354" s="18">
        <v>377</v>
      </c>
      <c r="G1354" s="18">
        <v>108</v>
      </c>
      <c r="H1354" s="18">
        <v>4</v>
      </c>
      <c r="I1354" s="18">
        <v>265</v>
      </c>
    </row>
    <row r="1355" spans="1:9" x14ac:dyDescent="0.3">
      <c r="A1355" t="s">
        <v>1957</v>
      </c>
      <c r="B1355" s="18" t="s">
        <v>280</v>
      </c>
      <c r="C1355" s="18" t="s">
        <v>323</v>
      </c>
      <c r="D1355" s="18" t="s">
        <v>326</v>
      </c>
      <c r="E1355" s="18" t="s">
        <v>2072</v>
      </c>
      <c r="F1355" s="18">
        <v>889</v>
      </c>
      <c r="G1355" s="18">
        <v>355</v>
      </c>
      <c r="H1355" s="18">
        <v>82</v>
      </c>
      <c r="I1355" s="18">
        <v>452</v>
      </c>
    </row>
    <row r="1356" spans="1:9" x14ac:dyDescent="0.3">
      <c r="A1356" t="s">
        <v>1958</v>
      </c>
      <c r="B1356" s="18" t="s">
        <v>280</v>
      </c>
      <c r="C1356" s="18" t="s">
        <v>323</v>
      </c>
      <c r="D1356" s="18" t="s">
        <v>138</v>
      </c>
      <c r="E1356" s="18" t="s">
        <v>2072</v>
      </c>
      <c r="F1356" s="18">
        <v>519</v>
      </c>
      <c r="G1356" s="18">
        <v>146</v>
      </c>
      <c r="H1356" s="18">
        <v>26</v>
      </c>
      <c r="I1356" s="18">
        <v>347</v>
      </c>
    </row>
    <row r="1357" spans="1:9" x14ac:dyDescent="0.3">
      <c r="A1357" t="s">
        <v>1148</v>
      </c>
      <c r="B1357" s="18" t="s">
        <v>280</v>
      </c>
      <c r="C1357" s="18" t="s">
        <v>323</v>
      </c>
      <c r="D1357" s="18" t="s">
        <v>323</v>
      </c>
      <c r="E1357" s="18" t="s">
        <v>2072</v>
      </c>
      <c r="F1357" s="18">
        <v>23743</v>
      </c>
      <c r="G1357" s="18">
        <v>9413</v>
      </c>
      <c r="H1357" s="18">
        <v>2963</v>
      </c>
      <c r="I1357" s="18">
        <v>11367</v>
      </c>
    </row>
    <row r="1358" spans="1:9" x14ac:dyDescent="0.3">
      <c r="A1358" t="s">
        <v>1959</v>
      </c>
      <c r="B1358" s="18" t="s">
        <v>280</v>
      </c>
      <c r="C1358" s="18" t="s">
        <v>323</v>
      </c>
      <c r="D1358" s="18" t="s">
        <v>327</v>
      </c>
      <c r="E1358" s="18" t="s">
        <v>2072</v>
      </c>
      <c r="F1358" s="18">
        <v>842</v>
      </c>
      <c r="G1358" s="18">
        <v>309</v>
      </c>
      <c r="H1358" s="18">
        <v>45</v>
      </c>
      <c r="I1358" s="18">
        <v>488</v>
      </c>
    </row>
    <row r="1359" spans="1:9" x14ac:dyDescent="0.3">
      <c r="A1359" t="s">
        <v>1960</v>
      </c>
      <c r="B1359" s="18" t="s">
        <v>280</v>
      </c>
      <c r="C1359" s="18" t="s">
        <v>323</v>
      </c>
      <c r="D1359" s="18" t="s">
        <v>328</v>
      </c>
      <c r="E1359" s="18" t="s">
        <v>2072</v>
      </c>
      <c r="F1359" s="18">
        <v>1285</v>
      </c>
      <c r="G1359" s="18">
        <v>379</v>
      </c>
      <c r="H1359" s="18">
        <v>71</v>
      </c>
      <c r="I1359" s="18">
        <v>835</v>
      </c>
    </row>
    <row r="1360" spans="1:9" x14ac:dyDescent="0.3">
      <c r="A1360" t="s">
        <v>1961</v>
      </c>
      <c r="B1360" s="18" t="s">
        <v>280</v>
      </c>
      <c r="C1360" s="18" t="s">
        <v>329</v>
      </c>
      <c r="D1360" s="18" t="s">
        <v>330</v>
      </c>
      <c r="E1360" s="18" t="s">
        <v>2072</v>
      </c>
      <c r="F1360" s="18">
        <v>605</v>
      </c>
      <c r="G1360" s="18">
        <v>68</v>
      </c>
      <c r="H1360" s="18">
        <v>14</v>
      </c>
      <c r="I1360" s="18">
        <v>523</v>
      </c>
    </row>
    <row r="1361" spans="1:9" x14ac:dyDescent="0.3">
      <c r="A1361" t="s">
        <v>1025</v>
      </c>
      <c r="B1361" s="18" t="s">
        <v>280</v>
      </c>
      <c r="C1361" s="18" t="s">
        <v>329</v>
      </c>
      <c r="D1361" s="18" t="s">
        <v>331</v>
      </c>
      <c r="E1361" s="18" t="s">
        <v>2072</v>
      </c>
      <c r="F1361" s="18">
        <v>366</v>
      </c>
      <c r="G1361" s="18">
        <v>137</v>
      </c>
      <c r="H1361" s="18">
        <v>28</v>
      </c>
      <c r="I1361" s="18">
        <v>201</v>
      </c>
    </row>
    <row r="1362" spans="1:9" x14ac:dyDescent="0.3">
      <c r="A1362" t="s">
        <v>1962</v>
      </c>
      <c r="B1362" s="18" t="s">
        <v>280</v>
      </c>
      <c r="C1362" s="18" t="s">
        <v>329</v>
      </c>
      <c r="D1362" s="18" t="s">
        <v>332</v>
      </c>
      <c r="E1362" s="18" t="s">
        <v>2072</v>
      </c>
      <c r="F1362" s="18">
        <v>912</v>
      </c>
      <c r="G1362" s="18">
        <v>152</v>
      </c>
      <c r="H1362" s="18">
        <v>32</v>
      </c>
      <c r="I1362" s="18">
        <v>728</v>
      </c>
    </row>
    <row r="1363" spans="1:9" x14ac:dyDescent="0.3">
      <c r="A1363" t="s">
        <v>1580</v>
      </c>
      <c r="B1363" s="18" t="s">
        <v>280</v>
      </c>
      <c r="C1363" s="18" t="s">
        <v>329</v>
      </c>
      <c r="D1363" s="18" t="s">
        <v>333</v>
      </c>
      <c r="E1363" s="18" t="s">
        <v>2072</v>
      </c>
      <c r="F1363" s="18">
        <v>699</v>
      </c>
      <c r="G1363" s="18">
        <v>178</v>
      </c>
      <c r="H1363" s="18">
        <v>19</v>
      </c>
      <c r="I1363" s="18">
        <v>502</v>
      </c>
    </row>
    <row r="1364" spans="1:9" x14ac:dyDescent="0.3">
      <c r="A1364" t="s">
        <v>1186</v>
      </c>
      <c r="B1364" s="18" t="s">
        <v>280</v>
      </c>
      <c r="C1364" s="18" t="s">
        <v>329</v>
      </c>
      <c r="D1364" s="18" t="s">
        <v>334</v>
      </c>
      <c r="E1364" s="18" t="s">
        <v>2072</v>
      </c>
      <c r="F1364" s="18">
        <v>866</v>
      </c>
      <c r="G1364" s="18">
        <v>348</v>
      </c>
      <c r="H1364" s="18">
        <v>42</v>
      </c>
      <c r="I1364" s="18">
        <v>476</v>
      </c>
    </row>
    <row r="1365" spans="1:9" x14ac:dyDescent="0.3">
      <c r="A1365" t="s">
        <v>1217</v>
      </c>
      <c r="B1365" s="18" t="s">
        <v>280</v>
      </c>
      <c r="C1365" s="18" t="s">
        <v>329</v>
      </c>
      <c r="D1365" s="18" t="s">
        <v>335</v>
      </c>
      <c r="E1365" s="18" t="s">
        <v>2072</v>
      </c>
      <c r="F1365" s="18">
        <v>359</v>
      </c>
      <c r="G1365" s="18">
        <v>139</v>
      </c>
      <c r="H1365" s="18">
        <v>9</v>
      </c>
      <c r="I1365" s="18">
        <v>211</v>
      </c>
    </row>
    <row r="1366" spans="1:9" x14ac:dyDescent="0.3">
      <c r="A1366" t="s">
        <v>1026</v>
      </c>
      <c r="B1366" s="18" t="s">
        <v>280</v>
      </c>
      <c r="C1366" s="18" t="s">
        <v>329</v>
      </c>
      <c r="D1366" s="18" t="s">
        <v>336</v>
      </c>
      <c r="E1366" s="18" t="s">
        <v>2072</v>
      </c>
      <c r="F1366" s="18">
        <v>304</v>
      </c>
      <c r="G1366" s="18">
        <v>130</v>
      </c>
      <c r="H1366" s="18">
        <v>21</v>
      </c>
      <c r="I1366" s="18">
        <v>153</v>
      </c>
    </row>
    <row r="1367" spans="1:9" x14ac:dyDescent="0.3">
      <c r="A1367" t="s">
        <v>1581</v>
      </c>
      <c r="B1367" s="18" t="s">
        <v>280</v>
      </c>
      <c r="C1367" s="18" t="s">
        <v>329</v>
      </c>
      <c r="D1367" s="18" t="s">
        <v>338</v>
      </c>
      <c r="E1367" s="18" t="s">
        <v>2072</v>
      </c>
      <c r="F1367" s="18">
        <v>291</v>
      </c>
      <c r="G1367" s="18">
        <v>87</v>
      </c>
      <c r="H1367" s="18">
        <v>5</v>
      </c>
      <c r="I1367" s="18">
        <v>199</v>
      </c>
    </row>
    <row r="1368" spans="1:9" x14ac:dyDescent="0.3">
      <c r="A1368" t="s">
        <v>1963</v>
      </c>
      <c r="B1368" s="18" t="s">
        <v>280</v>
      </c>
      <c r="C1368" s="18" t="s">
        <v>329</v>
      </c>
      <c r="D1368" s="18" t="s">
        <v>337</v>
      </c>
      <c r="E1368" s="18" t="s">
        <v>2072</v>
      </c>
      <c r="F1368" s="18">
        <v>611</v>
      </c>
      <c r="G1368" s="18">
        <v>170</v>
      </c>
      <c r="H1368" s="18">
        <v>12</v>
      </c>
      <c r="I1368" s="18">
        <v>429</v>
      </c>
    </row>
    <row r="1369" spans="1:9" x14ac:dyDescent="0.3">
      <c r="A1369" t="s">
        <v>1201</v>
      </c>
      <c r="B1369" s="18" t="s">
        <v>280</v>
      </c>
      <c r="C1369" s="18" t="s">
        <v>329</v>
      </c>
      <c r="D1369" s="18" t="s">
        <v>329</v>
      </c>
      <c r="E1369" s="18" t="s">
        <v>2072</v>
      </c>
      <c r="F1369" s="18">
        <v>4611</v>
      </c>
      <c r="G1369" s="18">
        <v>2037</v>
      </c>
      <c r="H1369" s="18">
        <v>225</v>
      </c>
      <c r="I1369" s="18">
        <v>2349</v>
      </c>
    </row>
    <row r="1370" spans="1:9" x14ac:dyDescent="0.3">
      <c r="A1370" t="s">
        <v>1449</v>
      </c>
      <c r="B1370" s="18" t="s">
        <v>341</v>
      </c>
      <c r="C1370" s="18" t="s">
        <v>389</v>
      </c>
      <c r="D1370" s="18" t="s">
        <v>389</v>
      </c>
      <c r="E1370" s="18" t="s">
        <v>2072</v>
      </c>
      <c r="F1370" s="18">
        <v>7589</v>
      </c>
      <c r="G1370" s="18">
        <v>2198</v>
      </c>
      <c r="H1370" s="18">
        <v>919</v>
      </c>
      <c r="I1370" s="18">
        <v>4472</v>
      </c>
    </row>
    <row r="1371" spans="1:9" x14ac:dyDescent="0.3">
      <c r="A1371" t="s">
        <v>1609</v>
      </c>
      <c r="B1371" s="18" t="s">
        <v>341</v>
      </c>
      <c r="C1371" s="18" t="s">
        <v>389</v>
      </c>
      <c r="D1371" s="18" t="s">
        <v>80</v>
      </c>
      <c r="E1371" s="18" t="s">
        <v>2072</v>
      </c>
      <c r="F1371" s="18">
        <v>1120</v>
      </c>
      <c r="G1371" s="18">
        <v>312</v>
      </c>
      <c r="H1371" s="18">
        <v>138</v>
      </c>
      <c r="I1371" s="18">
        <v>670</v>
      </c>
    </row>
    <row r="1372" spans="1:9" x14ac:dyDescent="0.3">
      <c r="A1372" t="s">
        <v>1610</v>
      </c>
      <c r="B1372" s="18" t="s">
        <v>341</v>
      </c>
      <c r="C1372" s="18" t="s">
        <v>389</v>
      </c>
      <c r="D1372" s="18" t="s">
        <v>390</v>
      </c>
      <c r="E1372" s="18" t="s">
        <v>2072</v>
      </c>
      <c r="F1372" s="18">
        <v>1585</v>
      </c>
      <c r="G1372" s="18">
        <v>438</v>
      </c>
      <c r="H1372" s="18">
        <v>201</v>
      </c>
      <c r="I1372" s="18">
        <v>946</v>
      </c>
    </row>
    <row r="1373" spans="1:9" x14ac:dyDescent="0.3">
      <c r="A1373" t="s">
        <v>1611</v>
      </c>
      <c r="B1373" s="18" t="s">
        <v>341</v>
      </c>
      <c r="C1373" s="18" t="s">
        <v>389</v>
      </c>
      <c r="D1373" s="18" t="s">
        <v>391</v>
      </c>
      <c r="E1373" s="18" t="s">
        <v>2072</v>
      </c>
      <c r="F1373" s="18">
        <v>2943</v>
      </c>
      <c r="G1373" s="18">
        <v>886</v>
      </c>
      <c r="H1373" s="18">
        <v>323</v>
      </c>
      <c r="I1373" s="18">
        <v>1734</v>
      </c>
    </row>
    <row r="1374" spans="1:9" x14ac:dyDescent="0.3">
      <c r="A1374" t="s">
        <v>1612</v>
      </c>
      <c r="B1374" s="18" t="s">
        <v>341</v>
      </c>
      <c r="C1374" s="18" t="s">
        <v>389</v>
      </c>
      <c r="D1374" s="18" t="s">
        <v>392</v>
      </c>
      <c r="E1374" s="18" t="s">
        <v>2072</v>
      </c>
      <c r="F1374" s="18">
        <v>4682</v>
      </c>
      <c r="G1374" s="18">
        <v>1351</v>
      </c>
      <c r="H1374" s="18">
        <v>631</v>
      </c>
      <c r="I1374" s="18">
        <v>2700</v>
      </c>
    </row>
    <row r="1375" spans="1:9" x14ac:dyDescent="0.3">
      <c r="A1375" t="s">
        <v>1967</v>
      </c>
      <c r="B1375" s="18" t="s">
        <v>341</v>
      </c>
      <c r="C1375" s="18" t="s">
        <v>350</v>
      </c>
      <c r="D1375" s="18" t="s">
        <v>352</v>
      </c>
      <c r="E1375" s="18" t="s">
        <v>2072</v>
      </c>
      <c r="F1375" s="18">
        <v>978</v>
      </c>
      <c r="G1375" s="18">
        <v>145</v>
      </c>
      <c r="H1375" s="18">
        <v>77</v>
      </c>
      <c r="I1375" s="18">
        <v>756</v>
      </c>
    </row>
    <row r="1376" spans="1:9" x14ac:dyDescent="0.3">
      <c r="A1376" t="s">
        <v>1589</v>
      </c>
      <c r="B1376" s="18" t="s">
        <v>341</v>
      </c>
      <c r="C1376" s="18" t="s">
        <v>350</v>
      </c>
      <c r="D1376" s="18" t="s">
        <v>288</v>
      </c>
      <c r="E1376" s="18" t="s">
        <v>2072</v>
      </c>
      <c r="F1376" s="18">
        <v>492</v>
      </c>
      <c r="G1376" s="18">
        <v>71</v>
      </c>
      <c r="H1376" s="18">
        <v>36</v>
      </c>
      <c r="I1376" s="18">
        <v>385</v>
      </c>
    </row>
    <row r="1377" spans="1:9" x14ac:dyDescent="0.3">
      <c r="A1377" t="s">
        <v>1076</v>
      </c>
      <c r="B1377" s="18" t="s">
        <v>341</v>
      </c>
      <c r="C1377" s="18" t="s">
        <v>350</v>
      </c>
      <c r="D1377" s="18" t="s">
        <v>353</v>
      </c>
      <c r="E1377" s="18" t="s">
        <v>2072</v>
      </c>
      <c r="F1377" s="18">
        <v>3223</v>
      </c>
      <c r="G1377" s="18">
        <v>820</v>
      </c>
      <c r="H1377" s="18">
        <v>341</v>
      </c>
      <c r="I1377" s="18">
        <v>2062</v>
      </c>
    </row>
    <row r="1378" spans="1:9" x14ac:dyDescent="0.3">
      <c r="A1378" t="s">
        <v>1971</v>
      </c>
      <c r="B1378" s="18" t="s">
        <v>341</v>
      </c>
      <c r="C1378" s="18" t="s">
        <v>350</v>
      </c>
      <c r="D1378" s="18" t="s">
        <v>361</v>
      </c>
      <c r="E1378" s="18" t="s">
        <v>2072</v>
      </c>
      <c r="F1378" s="18">
        <v>746</v>
      </c>
      <c r="G1378" s="18">
        <v>147</v>
      </c>
      <c r="H1378" s="18">
        <v>86</v>
      </c>
      <c r="I1378" s="18">
        <v>513</v>
      </c>
    </row>
    <row r="1379" spans="1:9" x14ac:dyDescent="0.3">
      <c r="A1379" t="s">
        <v>1590</v>
      </c>
      <c r="B1379" s="18" t="s">
        <v>341</v>
      </c>
      <c r="C1379" s="18" t="s">
        <v>350</v>
      </c>
      <c r="D1379" s="18" t="s">
        <v>354</v>
      </c>
      <c r="E1379" s="18" t="s">
        <v>2072</v>
      </c>
      <c r="F1379" s="18">
        <v>1022</v>
      </c>
      <c r="G1379" s="18">
        <v>223</v>
      </c>
      <c r="H1379" s="18">
        <v>81</v>
      </c>
      <c r="I1379" s="18">
        <v>718</v>
      </c>
    </row>
    <row r="1380" spans="1:9" x14ac:dyDescent="0.3">
      <c r="A1380" t="s">
        <v>1968</v>
      </c>
      <c r="B1380" s="18" t="s">
        <v>341</v>
      </c>
      <c r="C1380" s="18" t="s">
        <v>350</v>
      </c>
      <c r="D1380" s="18" t="s">
        <v>355</v>
      </c>
      <c r="E1380" s="18" t="s">
        <v>2072</v>
      </c>
      <c r="F1380" s="18">
        <v>197</v>
      </c>
      <c r="G1380" s="18">
        <v>30</v>
      </c>
      <c r="H1380" s="18">
        <v>26</v>
      </c>
      <c r="I1380" s="18">
        <v>141</v>
      </c>
    </row>
    <row r="1381" spans="1:9" x14ac:dyDescent="0.3">
      <c r="A1381" t="s">
        <v>1027</v>
      </c>
      <c r="B1381" s="18" t="s">
        <v>341</v>
      </c>
      <c r="C1381" s="18" t="s">
        <v>350</v>
      </c>
      <c r="D1381" s="18" t="s">
        <v>153</v>
      </c>
      <c r="E1381" s="18" t="s">
        <v>2072</v>
      </c>
      <c r="F1381" s="18">
        <v>734</v>
      </c>
      <c r="G1381" s="18">
        <v>153</v>
      </c>
      <c r="H1381" s="18">
        <v>74</v>
      </c>
      <c r="I1381" s="18">
        <v>507</v>
      </c>
    </row>
    <row r="1382" spans="1:9" x14ac:dyDescent="0.3">
      <c r="A1382" t="s">
        <v>1591</v>
      </c>
      <c r="B1382" s="18" t="s">
        <v>341</v>
      </c>
      <c r="C1382" s="18" t="s">
        <v>350</v>
      </c>
      <c r="D1382" s="18" t="s">
        <v>356</v>
      </c>
      <c r="E1382" s="18" t="s">
        <v>2072</v>
      </c>
      <c r="F1382" s="18">
        <v>436</v>
      </c>
      <c r="G1382" s="18">
        <v>121</v>
      </c>
      <c r="H1382" s="18">
        <v>14</v>
      </c>
      <c r="I1382" s="18">
        <v>301</v>
      </c>
    </row>
    <row r="1383" spans="1:9" x14ac:dyDescent="0.3">
      <c r="A1383" t="s">
        <v>1969</v>
      </c>
      <c r="B1383" s="18" t="s">
        <v>341</v>
      </c>
      <c r="C1383" s="18" t="s">
        <v>350</v>
      </c>
      <c r="D1383" s="18" t="s">
        <v>357</v>
      </c>
      <c r="E1383" s="18" t="s">
        <v>2072</v>
      </c>
      <c r="F1383" s="18">
        <v>608</v>
      </c>
      <c r="G1383" s="18">
        <v>82</v>
      </c>
      <c r="H1383" s="18">
        <v>29</v>
      </c>
      <c r="I1383" s="18">
        <v>497</v>
      </c>
    </row>
    <row r="1384" spans="1:9" x14ac:dyDescent="0.3">
      <c r="A1384" t="s">
        <v>1594</v>
      </c>
      <c r="B1384" s="18" t="s">
        <v>341</v>
      </c>
      <c r="C1384" s="18" t="s">
        <v>350</v>
      </c>
      <c r="D1384" s="18" t="s">
        <v>362</v>
      </c>
      <c r="E1384" s="18" t="s">
        <v>2072</v>
      </c>
      <c r="F1384" s="18">
        <v>478</v>
      </c>
      <c r="G1384" s="18">
        <v>57</v>
      </c>
      <c r="H1384" s="18">
        <v>9</v>
      </c>
      <c r="I1384" s="18">
        <v>412</v>
      </c>
    </row>
    <row r="1385" spans="1:9" x14ac:dyDescent="0.3">
      <c r="A1385" t="s">
        <v>1595</v>
      </c>
      <c r="B1385" s="18" t="s">
        <v>341</v>
      </c>
      <c r="C1385" s="18" t="s">
        <v>350</v>
      </c>
      <c r="D1385" s="18" t="s">
        <v>364</v>
      </c>
      <c r="E1385" s="18" t="s">
        <v>2072</v>
      </c>
      <c r="F1385" s="18">
        <v>699</v>
      </c>
      <c r="G1385" s="18">
        <v>133</v>
      </c>
      <c r="H1385" s="18">
        <v>67</v>
      </c>
      <c r="I1385" s="18">
        <v>499</v>
      </c>
    </row>
    <row r="1386" spans="1:9" x14ac:dyDescent="0.3">
      <c r="A1386" t="s">
        <v>1592</v>
      </c>
      <c r="B1386" s="18" t="s">
        <v>341</v>
      </c>
      <c r="C1386" s="18" t="s">
        <v>350</v>
      </c>
      <c r="D1386" s="18" t="s">
        <v>358</v>
      </c>
      <c r="E1386" s="18" t="s">
        <v>2072</v>
      </c>
      <c r="F1386" s="18">
        <v>1046</v>
      </c>
      <c r="G1386" s="18">
        <v>173</v>
      </c>
      <c r="H1386" s="18">
        <v>11</v>
      </c>
      <c r="I1386" s="18">
        <v>862</v>
      </c>
    </row>
    <row r="1387" spans="1:9" x14ac:dyDescent="0.3">
      <c r="A1387" t="s">
        <v>1970</v>
      </c>
      <c r="B1387" s="18" t="s">
        <v>341</v>
      </c>
      <c r="C1387" s="18" t="s">
        <v>350</v>
      </c>
      <c r="D1387" s="18" t="s">
        <v>359</v>
      </c>
      <c r="E1387" s="18" t="s">
        <v>2072</v>
      </c>
      <c r="F1387" s="18">
        <v>515</v>
      </c>
      <c r="G1387" s="18">
        <v>96</v>
      </c>
      <c r="H1387" s="18">
        <v>95</v>
      </c>
      <c r="I1387" s="18">
        <v>324</v>
      </c>
    </row>
    <row r="1388" spans="1:9" x14ac:dyDescent="0.3">
      <c r="A1388" t="s">
        <v>1593</v>
      </c>
      <c r="B1388" s="18" t="s">
        <v>341</v>
      </c>
      <c r="C1388" s="18" t="s">
        <v>350</v>
      </c>
      <c r="D1388" s="18" t="s">
        <v>360</v>
      </c>
      <c r="E1388" s="18" t="s">
        <v>2072</v>
      </c>
      <c r="F1388" s="18">
        <v>1867</v>
      </c>
      <c r="G1388" s="18">
        <v>392</v>
      </c>
      <c r="H1388" s="18">
        <v>125</v>
      </c>
      <c r="I1388" s="18">
        <v>1350</v>
      </c>
    </row>
    <row r="1389" spans="1:9" x14ac:dyDescent="0.3">
      <c r="A1389" t="s">
        <v>1972</v>
      </c>
      <c r="B1389" s="18" t="s">
        <v>341</v>
      </c>
      <c r="C1389" s="18" t="s">
        <v>350</v>
      </c>
      <c r="D1389" s="18" t="s">
        <v>363</v>
      </c>
      <c r="E1389" s="18" t="s">
        <v>2072</v>
      </c>
      <c r="F1389" s="18">
        <v>392</v>
      </c>
      <c r="G1389" s="18">
        <v>97</v>
      </c>
      <c r="H1389" s="18">
        <v>42</v>
      </c>
      <c r="I1389" s="18">
        <v>253</v>
      </c>
    </row>
    <row r="1390" spans="1:9" x14ac:dyDescent="0.3">
      <c r="A1390" t="s">
        <v>1966</v>
      </c>
      <c r="B1390" s="18" t="s">
        <v>341</v>
      </c>
      <c r="C1390" s="18" t="s">
        <v>350</v>
      </c>
      <c r="D1390" s="18" t="s">
        <v>351</v>
      </c>
      <c r="E1390" s="18" t="s">
        <v>2072</v>
      </c>
      <c r="F1390" s="18">
        <v>2193</v>
      </c>
      <c r="G1390" s="18">
        <v>478</v>
      </c>
      <c r="H1390" s="18">
        <v>222</v>
      </c>
      <c r="I1390" s="18">
        <v>1493</v>
      </c>
    </row>
    <row r="1391" spans="1:9" x14ac:dyDescent="0.3">
      <c r="A1391" t="s">
        <v>1584</v>
      </c>
      <c r="B1391" s="18" t="s">
        <v>341</v>
      </c>
      <c r="C1391" s="18" t="s">
        <v>341</v>
      </c>
      <c r="D1391" s="18" t="s">
        <v>342</v>
      </c>
      <c r="E1391" s="18" t="s">
        <v>2072</v>
      </c>
      <c r="F1391" s="18">
        <v>1345</v>
      </c>
      <c r="G1391" s="18">
        <v>275</v>
      </c>
      <c r="H1391" s="18">
        <v>146</v>
      </c>
      <c r="I1391" s="18">
        <v>924</v>
      </c>
    </row>
    <row r="1392" spans="1:9" x14ac:dyDescent="0.3">
      <c r="A1392" t="s">
        <v>1585</v>
      </c>
      <c r="B1392" s="18" t="s">
        <v>341</v>
      </c>
      <c r="C1392" s="18" t="s">
        <v>341</v>
      </c>
      <c r="D1392" s="18" t="s">
        <v>344</v>
      </c>
      <c r="E1392" s="18" t="s">
        <v>2072</v>
      </c>
      <c r="F1392" s="18">
        <v>1697</v>
      </c>
      <c r="G1392" s="18">
        <v>298</v>
      </c>
      <c r="H1392" s="18">
        <v>133</v>
      </c>
      <c r="I1392" s="18">
        <v>1266</v>
      </c>
    </row>
    <row r="1393" spans="1:9" x14ac:dyDescent="0.3">
      <c r="A1393" t="s">
        <v>1965</v>
      </c>
      <c r="B1393" s="18" t="s">
        <v>341</v>
      </c>
      <c r="C1393" s="18" t="s">
        <v>341</v>
      </c>
      <c r="D1393" s="18" t="s">
        <v>343</v>
      </c>
      <c r="E1393" s="18" t="s">
        <v>2072</v>
      </c>
      <c r="F1393" s="18">
        <v>862</v>
      </c>
      <c r="G1393" s="18">
        <v>117</v>
      </c>
      <c r="H1393" s="18">
        <v>33</v>
      </c>
      <c r="I1393" s="18">
        <v>712</v>
      </c>
    </row>
    <row r="1394" spans="1:9" x14ac:dyDescent="0.3">
      <c r="A1394" t="s">
        <v>1445</v>
      </c>
      <c r="B1394" s="18" t="s">
        <v>341</v>
      </c>
      <c r="C1394" s="18" t="s">
        <v>341</v>
      </c>
      <c r="D1394" s="18" t="s">
        <v>341</v>
      </c>
      <c r="E1394" s="18" t="s">
        <v>2072</v>
      </c>
      <c r="F1394" s="18">
        <v>66631</v>
      </c>
      <c r="G1394" s="18">
        <v>20106</v>
      </c>
      <c r="H1394" s="18">
        <v>9606</v>
      </c>
      <c r="I1394" s="18">
        <v>36919</v>
      </c>
    </row>
    <row r="1395" spans="1:9" x14ac:dyDescent="0.3">
      <c r="A1395" t="s">
        <v>1586</v>
      </c>
      <c r="B1395" s="18" t="s">
        <v>341</v>
      </c>
      <c r="C1395" s="18" t="s">
        <v>341</v>
      </c>
      <c r="D1395" s="18" t="s">
        <v>345</v>
      </c>
      <c r="E1395" s="18" t="s">
        <v>2072</v>
      </c>
      <c r="F1395" s="18">
        <v>1113</v>
      </c>
      <c r="G1395" s="18">
        <v>180</v>
      </c>
      <c r="H1395" s="18">
        <v>98</v>
      </c>
      <c r="I1395" s="18">
        <v>835</v>
      </c>
    </row>
    <row r="1396" spans="1:9" x14ac:dyDescent="0.3">
      <c r="A1396" t="s">
        <v>1587</v>
      </c>
      <c r="B1396" s="18" t="s">
        <v>341</v>
      </c>
      <c r="C1396" s="18" t="s">
        <v>341</v>
      </c>
      <c r="D1396" s="18" t="s">
        <v>346</v>
      </c>
      <c r="E1396" s="18" t="s">
        <v>2072</v>
      </c>
      <c r="F1396" s="18">
        <v>2771</v>
      </c>
      <c r="G1396" s="18">
        <v>570</v>
      </c>
      <c r="H1396" s="18">
        <v>179</v>
      </c>
      <c r="I1396" s="18">
        <v>2022</v>
      </c>
    </row>
    <row r="1397" spans="1:9" x14ac:dyDescent="0.3">
      <c r="A1397" t="s">
        <v>1588</v>
      </c>
      <c r="B1397" s="18" t="s">
        <v>341</v>
      </c>
      <c r="C1397" s="18" t="s">
        <v>341</v>
      </c>
      <c r="D1397" s="18" t="s">
        <v>347</v>
      </c>
      <c r="E1397" s="18" t="s">
        <v>2072</v>
      </c>
      <c r="F1397" s="18">
        <v>992</v>
      </c>
      <c r="G1397" s="18">
        <v>200</v>
      </c>
      <c r="H1397" s="18">
        <v>106</v>
      </c>
      <c r="I1397" s="18">
        <v>686</v>
      </c>
    </row>
    <row r="1398" spans="1:9" x14ac:dyDescent="0.3">
      <c r="A1398" t="s">
        <v>1370</v>
      </c>
      <c r="B1398" s="18" t="s">
        <v>341</v>
      </c>
      <c r="C1398" s="18" t="s">
        <v>341</v>
      </c>
      <c r="D1398" s="18" t="s">
        <v>348</v>
      </c>
      <c r="E1398" s="18" t="s">
        <v>2072</v>
      </c>
      <c r="F1398" s="18">
        <v>2344</v>
      </c>
      <c r="G1398" s="18">
        <v>820</v>
      </c>
      <c r="H1398" s="18">
        <v>172</v>
      </c>
      <c r="I1398" s="18">
        <v>1352</v>
      </c>
    </row>
    <row r="1399" spans="1:9" x14ac:dyDescent="0.3">
      <c r="A1399" t="s">
        <v>1444</v>
      </c>
      <c r="B1399" s="18" t="s">
        <v>341</v>
      </c>
      <c r="C1399" s="18" t="s">
        <v>341</v>
      </c>
      <c r="D1399" s="18" t="s">
        <v>349</v>
      </c>
      <c r="E1399" s="18" t="s">
        <v>2072</v>
      </c>
      <c r="F1399" s="18">
        <v>3248</v>
      </c>
      <c r="G1399" s="18">
        <v>777</v>
      </c>
      <c r="H1399" s="18">
        <v>490</v>
      </c>
      <c r="I1399" s="18">
        <v>1981</v>
      </c>
    </row>
    <row r="1400" spans="1:9" x14ac:dyDescent="0.3">
      <c r="A1400" t="s">
        <v>1596</v>
      </c>
      <c r="B1400" s="18" t="s">
        <v>341</v>
      </c>
      <c r="C1400" s="18" t="s">
        <v>365</v>
      </c>
      <c r="D1400" s="18" t="s">
        <v>90</v>
      </c>
      <c r="E1400" s="18" t="s">
        <v>2072</v>
      </c>
      <c r="F1400" s="18">
        <v>799</v>
      </c>
      <c r="G1400" s="18">
        <v>206</v>
      </c>
      <c r="H1400" s="18">
        <v>93</v>
      </c>
      <c r="I1400" s="18">
        <v>500</v>
      </c>
    </row>
    <row r="1401" spans="1:9" x14ac:dyDescent="0.3">
      <c r="A1401" t="s">
        <v>1597</v>
      </c>
      <c r="B1401" s="18" t="s">
        <v>341</v>
      </c>
      <c r="C1401" s="18" t="s">
        <v>365</v>
      </c>
      <c r="D1401" s="18" t="s">
        <v>366</v>
      </c>
      <c r="E1401" s="18" t="s">
        <v>2072</v>
      </c>
      <c r="F1401" s="18">
        <v>898</v>
      </c>
      <c r="G1401" s="18">
        <v>139</v>
      </c>
      <c r="H1401" s="18">
        <v>70</v>
      </c>
      <c r="I1401" s="18">
        <v>689</v>
      </c>
    </row>
    <row r="1402" spans="1:9" x14ac:dyDescent="0.3">
      <c r="A1402" t="s">
        <v>1598</v>
      </c>
      <c r="B1402" s="18" t="s">
        <v>341</v>
      </c>
      <c r="C1402" s="18" t="s">
        <v>365</v>
      </c>
      <c r="D1402" s="18" t="s">
        <v>367</v>
      </c>
      <c r="E1402" s="18" t="s">
        <v>2072</v>
      </c>
      <c r="F1402" s="18">
        <v>551</v>
      </c>
      <c r="G1402" s="18">
        <v>94</v>
      </c>
      <c r="H1402" s="18">
        <v>32</v>
      </c>
      <c r="I1402" s="18">
        <v>425</v>
      </c>
    </row>
    <row r="1403" spans="1:9" x14ac:dyDescent="0.3">
      <c r="A1403" t="s">
        <v>1453</v>
      </c>
      <c r="B1403" s="18" t="s">
        <v>341</v>
      </c>
      <c r="C1403" s="18" t="s">
        <v>365</v>
      </c>
      <c r="D1403" s="18" t="s">
        <v>365</v>
      </c>
      <c r="E1403" s="18" t="s">
        <v>2072</v>
      </c>
      <c r="F1403" s="18">
        <v>3027</v>
      </c>
      <c r="G1403" s="18">
        <v>722</v>
      </c>
      <c r="H1403" s="18">
        <v>471</v>
      </c>
      <c r="I1403" s="18">
        <v>1834</v>
      </c>
    </row>
    <row r="1404" spans="1:9" x14ac:dyDescent="0.3">
      <c r="A1404" t="s">
        <v>1599</v>
      </c>
      <c r="B1404" s="18" t="s">
        <v>341</v>
      </c>
      <c r="C1404" s="18" t="s">
        <v>365</v>
      </c>
      <c r="D1404" s="18" t="s">
        <v>368</v>
      </c>
      <c r="E1404" s="18" t="s">
        <v>2072</v>
      </c>
      <c r="F1404" s="18">
        <v>178</v>
      </c>
      <c r="G1404" s="18">
        <v>38</v>
      </c>
      <c r="H1404" s="18">
        <v>29</v>
      </c>
      <c r="I1404" s="18">
        <v>111</v>
      </c>
    </row>
    <row r="1405" spans="1:9" x14ac:dyDescent="0.3">
      <c r="A1405" t="s">
        <v>1600</v>
      </c>
      <c r="B1405" s="18" t="s">
        <v>341</v>
      </c>
      <c r="C1405" s="18" t="s">
        <v>365</v>
      </c>
      <c r="D1405" s="18" t="s">
        <v>369</v>
      </c>
      <c r="E1405" s="18" t="s">
        <v>2072</v>
      </c>
      <c r="F1405" s="18">
        <v>453</v>
      </c>
      <c r="G1405" s="18">
        <v>49</v>
      </c>
      <c r="H1405" s="18">
        <v>75</v>
      </c>
      <c r="I1405" s="18">
        <v>329</v>
      </c>
    </row>
    <row r="1406" spans="1:9" x14ac:dyDescent="0.3">
      <c r="A1406" t="s">
        <v>1450</v>
      </c>
      <c r="B1406" s="18" t="s">
        <v>341</v>
      </c>
      <c r="C1406" s="18" t="s">
        <v>365</v>
      </c>
      <c r="D1406" s="18" t="s">
        <v>370</v>
      </c>
      <c r="E1406" s="18" t="s">
        <v>2072</v>
      </c>
      <c r="F1406" s="18">
        <v>1646</v>
      </c>
      <c r="G1406" s="18">
        <v>296</v>
      </c>
      <c r="H1406" s="18">
        <v>94</v>
      </c>
      <c r="I1406" s="18">
        <v>1256</v>
      </c>
    </row>
    <row r="1407" spans="1:9" x14ac:dyDescent="0.3">
      <c r="A1407" t="s">
        <v>1601</v>
      </c>
      <c r="B1407" s="18" t="s">
        <v>341</v>
      </c>
      <c r="C1407" s="18" t="s">
        <v>365</v>
      </c>
      <c r="D1407" s="18" t="s">
        <v>371</v>
      </c>
      <c r="E1407" s="18" t="s">
        <v>2072</v>
      </c>
      <c r="F1407" s="18">
        <v>2449</v>
      </c>
      <c r="G1407" s="18">
        <v>351</v>
      </c>
      <c r="H1407" s="18">
        <v>220</v>
      </c>
      <c r="I1407" s="18">
        <v>1878</v>
      </c>
    </row>
    <row r="1408" spans="1:9" x14ac:dyDescent="0.3">
      <c r="A1408" t="s">
        <v>1602</v>
      </c>
      <c r="B1408" s="18" t="s">
        <v>341</v>
      </c>
      <c r="C1408" s="18" t="s">
        <v>365</v>
      </c>
      <c r="D1408" s="18" t="s">
        <v>372</v>
      </c>
      <c r="E1408" s="18" t="s">
        <v>2072</v>
      </c>
      <c r="F1408" s="18">
        <v>1867</v>
      </c>
      <c r="G1408" s="18">
        <v>367</v>
      </c>
      <c r="H1408" s="18">
        <v>256</v>
      </c>
      <c r="I1408" s="18">
        <v>1244</v>
      </c>
    </row>
    <row r="1409" spans="1:9" x14ac:dyDescent="0.3">
      <c r="A1409" t="s">
        <v>1973</v>
      </c>
      <c r="B1409" s="18" t="s">
        <v>341</v>
      </c>
      <c r="C1409" s="18" t="s">
        <v>373</v>
      </c>
      <c r="D1409" s="18" t="s">
        <v>376</v>
      </c>
      <c r="E1409" s="18" t="s">
        <v>2072</v>
      </c>
      <c r="F1409" s="18">
        <v>1054</v>
      </c>
      <c r="G1409" s="18">
        <v>156</v>
      </c>
      <c r="H1409" s="18">
        <v>78</v>
      </c>
      <c r="I1409" s="18">
        <v>820</v>
      </c>
    </row>
    <row r="1410" spans="1:9" x14ac:dyDescent="0.3">
      <c r="A1410" t="s">
        <v>1603</v>
      </c>
      <c r="B1410" s="18" t="s">
        <v>341</v>
      </c>
      <c r="C1410" s="18" t="s">
        <v>373</v>
      </c>
      <c r="D1410" s="18" t="s">
        <v>375</v>
      </c>
      <c r="E1410" s="18" t="s">
        <v>2072</v>
      </c>
      <c r="F1410" s="18">
        <v>2509</v>
      </c>
      <c r="G1410" s="18">
        <v>374</v>
      </c>
      <c r="H1410" s="18">
        <v>167</v>
      </c>
      <c r="I1410" s="18">
        <v>1968</v>
      </c>
    </row>
    <row r="1411" spans="1:9" x14ac:dyDescent="0.3">
      <c r="A1411" t="s">
        <v>1605</v>
      </c>
      <c r="B1411" s="18" t="s">
        <v>341</v>
      </c>
      <c r="C1411" s="18" t="s">
        <v>373</v>
      </c>
      <c r="D1411" s="18" t="s">
        <v>80</v>
      </c>
      <c r="E1411" s="18" t="s">
        <v>2072</v>
      </c>
      <c r="F1411" s="18">
        <v>12049</v>
      </c>
      <c r="G1411" s="18">
        <v>3138</v>
      </c>
      <c r="H1411" s="18">
        <v>890</v>
      </c>
      <c r="I1411" s="18">
        <v>8021</v>
      </c>
    </row>
    <row r="1412" spans="1:9" x14ac:dyDescent="0.3">
      <c r="A1412" t="s">
        <v>1974</v>
      </c>
      <c r="B1412" s="18" t="s">
        <v>341</v>
      </c>
      <c r="C1412" s="18" t="s">
        <v>373</v>
      </c>
      <c r="D1412" s="18" t="s">
        <v>377</v>
      </c>
      <c r="E1412" s="18" t="s">
        <v>2072</v>
      </c>
      <c r="F1412" s="18">
        <v>6559</v>
      </c>
      <c r="G1412" s="18">
        <v>1203</v>
      </c>
      <c r="H1412" s="18">
        <v>432</v>
      </c>
      <c r="I1412" s="18">
        <v>4924</v>
      </c>
    </row>
    <row r="1413" spans="1:9" x14ac:dyDescent="0.3">
      <c r="A1413" t="s">
        <v>1404</v>
      </c>
      <c r="B1413" s="18" t="s">
        <v>341</v>
      </c>
      <c r="C1413" s="18" t="s">
        <v>373</v>
      </c>
      <c r="D1413" s="18" t="s">
        <v>374</v>
      </c>
      <c r="E1413" s="18" t="s">
        <v>2072</v>
      </c>
      <c r="F1413" s="18">
        <v>20263</v>
      </c>
      <c r="G1413" s="18">
        <v>5437</v>
      </c>
      <c r="H1413" s="18">
        <v>2306</v>
      </c>
      <c r="I1413" s="18">
        <v>12520</v>
      </c>
    </row>
    <row r="1414" spans="1:9" x14ac:dyDescent="0.3">
      <c r="A1414" t="s">
        <v>1604</v>
      </c>
      <c r="B1414" s="18" t="s">
        <v>341</v>
      </c>
      <c r="C1414" s="18" t="s">
        <v>373</v>
      </c>
      <c r="D1414" s="18" t="s">
        <v>378</v>
      </c>
      <c r="E1414" s="18" t="s">
        <v>2072</v>
      </c>
      <c r="F1414" s="18">
        <v>2149</v>
      </c>
      <c r="G1414" s="18">
        <v>421</v>
      </c>
      <c r="H1414" s="18">
        <v>182</v>
      </c>
      <c r="I1414" s="18">
        <v>1546</v>
      </c>
    </row>
    <row r="1415" spans="1:9" x14ac:dyDescent="0.3">
      <c r="A1415" t="s">
        <v>1614</v>
      </c>
      <c r="B1415" s="18" t="s">
        <v>341</v>
      </c>
      <c r="C1415" s="18" t="s">
        <v>393</v>
      </c>
      <c r="D1415" s="18" t="s">
        <v>394</v>
      </c>
      <c r="E1415" s="18" t="s">
        <v>2072</v>
      </c>
      <c r="F1415" s="18">
        <v>1361</v>
      </c>
      <c r="G1415" s="18">
        <v>215</v>
      </c>
      <c r="H1415" s="18">
        <v>71</v>
      </c>
      <c r="I1415" s="18">
        <v>1075</v>
      </c>
    </row>
    <row r="1416" spans="1:9" x14ac:dyDescent="0.3">
      <c r="A1416" t="s">
        <v>1983</v>
      </c>
      <c r="B1416" s="18" t="s">
        <v>341</v>
      </c>
      <c r="C1416" s="18" t="s">
        <v>393</v>
      </c>
      <c r="D1416" s="18" t="s">
        <v>395</v>
      </c>
      <c r="E1416" s="18" t="s">
        <v>2072</v>
      </c>
      <c r="F1416" s="18">
        <v>1348</v>
      </c>
      <c r="G1416" s="18">
        <v>206</v>
      </c>
      <c r="H1416" s="18">
        <v>38</v>
      </c>
      <c r="I1416" s="18">
        <v>1104</v>
      </c>
    </row>
    <row r="1417" spans="1:9" x14ac:dyDescent="0.3">
      <c r="A1417" t="s">
        <v>1615</v>
      </c>
      <c r="B1417" s="18" t="s">
        <v>341</v>
      </c>
      <c r="C1417" s="18" t="s">
        <v>393</v>
      </c>
      <c r="D1417" s="18" t="s">
        <v>396</v>
      </c>
      <c r="E1417" s="18" t="s">
        <v>2072</v>
      </c>
      <c r="F1417" s="18">
        <v>1925</v>
      </c>
      <c r="G1417" s="18">
        <v>364</v>
      </c>
      <c r="H1417" s="18">
        <v>203</v>
      </c>
      <c r="I1417" s="18">
        <v>1358</v>
      </c>
    </row>
    <row r="1418" spans="1:9" x14ac:dyDescent="0.3">
      <c r="A1418" t="s">
        <v>1616</v>
      </c>
      <c r="B1418" s="18" t="s">
        <v>341</v>
      </c>
      <c r="C1418" s="18" t="s">
        <v>393</v>
      </c>
      <c r="D1418" s="18" t="s">
        <v>397</v>
      </c>
      <c r="E1418" s="18" t="s">
        <v>2072</v>
      </c>
      <c r="F1418" s="18">
        <v>1774</v>
      </c>
      <c r="G1418" s="18">
        <v>317</v>
      </c>
      <c r="H1418" s="18">
        <v>90</v>
      </c>
      <c r="I1418" s="18">
        <v>1367</v>
      </c>
    </row>
    <row r="1419" spans="1:9" x14ac:dyDescent="0.3">
      <c r="A1419" t="s">
        <v>1613</v>
      </c>
      <c r="B1419" s="18" t="s">
        <v>341</v>
      </c>
      <c r="C1419" s="18" t="s">
        <v>393</v>
      </c>
      <c r="D1419" s="18" t="s">
        <v>393</v>
      </c>
      <c r="E1419" s="18" t="s">
        <v>2072</v>
      </c>
      <c r="F1419" s="18">
        <v>2525</v>
      </c>
      <c r="G1419" s="18">
        <v>542</v>
      </c>
      <c r="H1419" s="18">
        <v>310</v>
      </c>
      <c r="I1419" s="18">
        <v>1673</v>
      </c>
    </row>
    <row r="1420" spans="1:9" x14ac:dyDescent="0.3">
      <c r="A1420" t="s">
        <v>1183</v>
      </c>
      <c r="B1420" s="18" t="s">
        <v>341</v>
      </c>
      <c r="C1420" s="18" t="s">
        <v>393</v>
      </c>
      <c r="D1420" s="18" t="s">
        <v>398</v>
      </c>
      <c r="E1420" s="18" t="s">
        <v>2072</v>
      </c>
      <c r="F1420" s="18">
        <v>2241</v>
      </c>
      <c r="G1420" s="18">
        <v>544</v>
      </c>
      <c r="H1420" s="18">
        <v>403</v>
      </c>
      <c r="I1420" s="18">
        <v>1294</v>
      </c>
    </row>
    <row r="1421" spans="1:9" x14ac:dyDescent="0.3">
      <c r="A1421" t="s">
        <v>1978</v>
      </c>
      <c r="B1421" s="18" t="s">
        <v>341</v>
      </c>
      <c r="C1421" s="18" t="s">
        <v>95</v>
      </c>
      <c r="D1421" s="18" t="s">
        <v>383</v>
      </c>
      <c r="E1421" s="18" t="s">
        <v>2072</v>
      </c>
      <c r="F1421" s="18">
        <v>91</v>
      </c>
      <c r="G1421" s="18">
        <v>14</v>
      </c>
      <c r="H1421" s="18">
        <v>18</v>
      </c>
      <c r="I1421" s="18">
        <v>59</v>
      </c>
    </row>
    <row r="1422" spans="1:9" x14ac:dyDescent="0.3">
      <c r="A1422" t="s">
        <v>1975</v>
      </c>
      <c r="B1422" s="18" t="s">
        <v>341</v>
      </c>
      <c r="C1422" s="18" t="s">
        <v>95</v>
      </c>
      <c r="D1422" s="18" t="s">
        <v>379</v>
      </c>
      <c r="E1422" s="18" t="s">
        <v>2072</v>
      </c>
      <c r="F1422" s="18">
        <v>620</v>
      </c>
      <c r="G1422" s="18">
        <v>103</v>
      </c>
      <c r="H1422" s="18">
        <v>92</v>
      </c>
      <c r="I1422" s="18">
        <v>425</v>
      </c>
    </row>
    <row r="1423" spans="1:9" x14ac:dyDescent="0.3">
      <c r="A1423" t="s">
        <v>1606</v>
      </c>
      <c r="B1423" s="18" t="s">
        <v>341</v>
      </c>
      <c r="C1423" s="18" t="s">
        <v>95</v>
      </c>
      <c r="D1423" s="18" t="s">
        <v>380</v>
      </c>
      <c r="E1423" s="18" t="s">
        <v>2072</v>
      </c>
      <c r="F1423" s="18">
        <v>505</v>
      </c>
      <c r="G1423" s="18">
        <v>163</v>
      </c>
      <c r="H1423" s="18">
        <v>10</v>
      </c>
      <c r="I1423" s="18">
        <v>332</v>
      </c>
    </row>
    <row r="1424" spans="1:9" x14ac:dyDescent="0.3">
      <c r="A1424" t="s">
        <v>1976</v>
      </c>
      <c r="B1424" s="18" t="s">
        <v>341</v>
      </c>
      <c r="C1424" s="18" t="s">
        <v>95</v>
      </c>
      <c r="D1424" s="18" t="s">
        <v>381</v>
      </c>
      <c r="E1424" s="18" t="s">
        <v>2072</v>
      </c>
      <c r="F1424" s="18">
        <v>397</v>
      </c>
      <c r="G1424" s="18">
        <v>115</v>
      </c>
      <c r="H1424" s="18">
        <v>38</v>
      </c>
      <c r="I1424" s="18">
        <v>244</v>
      </c>
    </row>
    <row r="1425" spans="1:9" x14ac:dyDescent="0.3">
      <c r="A1425" t="s">
        <v>1977</v>
      </c>
      <c r="B1425" s="18" t="s">
        <v>341</v>
      </c>
      <c r="C1425" s="18" t="s">
        <v>95</v>
      </c>
      <c r="D1425" s="18" t="s">
        <v>382</v>
      </c>
      <c r="E1425" s="18" t="s">
        <v>2072</v>
      </c>
      <c r="F1425" s="18">
        <v>385</v>
      </c>
      <c r="G1425" s="18">
        <v>111</v>
      </c>
      <c r="H1425" s="18">
        <v>25</v>
      </c>
      <c r="I1425" s="18">
        <v>249</v>
      </c>
    </row>
    <row r="1426" spans="1:9" x14ac:dyDescent="0.3">
      <c r="A1426" t="s">
        <v>1172</v>
      </c>
      <c r="B1426" s="18" t="s">
        <v>341</v>
      </c>
      <c r="C1426" s="18" t="s">
        <v>95</v>
      </c>
      <c r="D1426" s="18" t="s">
        <v>171</v>
      </c>
      <c r="E1426" s="18" t="s">
        <v>2072</v>
      </c>
      <c r="F1426" s="18">
        <v>670</v>
      </c>
      <c r="G1426" s="18">
        <v>103</v>
      </c>
      <c r="H1426" s="18">
        <v>62</v>
      </c>
      <c r="I1426" s="18">
        <v>505</v>
      </c>
    </row>
    <row r="1427" spans="1:9" x14ac:dyDescent="0.3">
      <c r="A1427" t="s">
        <v>1607</v>
      </c>
      <c r="B1427" s="18" t="s">
        <v>341</v>
      </c>
      <c r="C1427" s="18" t="s">
        <v>95</v>
      </c>
      <c r="D1427" s="18" t="s">
        <v>384</v>
      </c>
      <c r="E1427" s="18" t="s">
        <v>2072</v>
      </c>
      <c r="F1427" s="18">
        <v>302</v>
      </c>
      <c r="G1427" s="18">
        <v>61</v>
      </c>
      <c r="H1427" s="18">
        <v>13</v>
      </c>
      <c r="I1427" s="18">
        <v>228</v>
      </c>
    </row>
    <row r="1428" spans="1:9" x14ac:dyDescent="0.3">
      <c r="A1428" t="s">
        <v>1979</v>
      </c>
      <c r="B1428" s="18" t="s">
        <v>341</v>
      </c>
      <c r="C1428" s="18" t="s">
        <v>95</v>
      </c>
      <c r="D1428" s="18" t="s">
        <v>385</v>
      </c>
      <c r="E1428" s="18" t="s">
        <v>2072</v>
      </c>
      <c r="F1428" s="18">
        <v>272</v>
      </c>
      <c r="G1428" s="18">
        <v>56</v>
      </c>
      <c r="H1428" s="18">
        <v>41</v>
      </c>
      <c r="I1428" s="18">
        <v>175</v>
      </c>
    </row>
    <row r="1429" spans="1:9" x14ac:dyDescent="0.3">
      <c r="A1429" t="s">
        <v>1396</v>
      </c>
      <c r="B1429" s="18" t="s">
        <v>341</v>
      </c>
      <c r="C1429" s="18" t="s">
        <v>95</v>
      </c>
      <c r="D1429" s="18" t="s">
        <v>95</v>
      </c>
      <c r="E1429" s="18" t="s">
        <v>2072</v>
      </c>
      <c r="F1429" s="18">
        <v>11620</v>
      </c>
      <c r="G1429" s="18">
        <v>3770</v>
      </c>
      <c r="H1429" s="18">
        <v>1376</v>
      </c>
      <c r="I1429" s="18">
        <v>6474</v>
      </c>
    </row>
    <row r="1430" spans="1:9" x14ac:dyDescent="0.3">
      <c r="A1430" t="s">
        <v>1980</v>
      </c>
      <c r="B1430" s="18" t="s">
        <v>341</v>
      </c>
      <c r="C1430" s="18" t="s">
        <v>95</v>
      </c>
      <c r="D1430" s="18" t="s">
        <v>386</v>
      </c>
      <c r="E1430" s="18" t="s">
        <v>2072</v>
      </c>
      <c r="F1430" s="18">
        <v>586</v>
      </c>
      <c r="G1430" s="18">
        <v>113</v>
      </c>
      <c r="H1430" s="18">
        <v>26</v>
      </c>
      <c r="I1430" s="18">
        <v>447</v>
      </c>
    </row>
    <row r="1431" spans="1:9" x14ac:dyDescent="0.3">
      <c r="A1431" t="s">
        <v>1981</v>
      </c>
      <c r="B1431" s="18" t="s">
        <v>341</v>
      </c>
      <c r="C1431" s="18" t="s">
        <v>95</v>
      </c>
      <c r="D1431" s="18" t="s">
        <v>387</v>
      </c>
      <c r="E1431" s="18" t="s">
        <v>2072</v>
      </c>
      <c r="F1431" s="18">
        <v>468</v>
      </c>
      <c r="G1431" s="18">
        <v>151</v>
      </c>
      <c r="H1431" s="18">
        <v>22</v>
      </c>
      <c r="I1431" s="18">
        <v>295</v>
      </c>
    </row>
    <row r="1432" spans="1:9" x14ac:dyDescent="0.3">
      <c r="A1432" t="s">
        <v>1608</v>
      </c>
      <c r="B1432" s="18" t="s">
        <v>341</v>
      </c>
      <c r="C1432" s="18" t="s">
        <v>95</v>
      </c>
      <c r="D1432" s="18" t="s">
        <v>388</v>
      </c>
      <c r="E1432" s="18" t="s">
        <v>2072</v>
      </c>
      <c r="F1432" s="18">
        <v>825</v>
      </c>
      <c r="G1432" s="18">
        <v>171</v>
      </c>
      <c r="H1432" s="18">
        <v>30</v>
      </c>
      <c r="I1432" s="18">
        <v>624</v>
      </c>
    </row>
    <row r="1433" spans="1:9" x14ac:dyDescent="0.3">
      <c r="A1433" t="s">
        <v>1982</v>
      </c>
      <c r="B1433" s="18" t="s">
        <v>341</v>
      </c>
      <c r="C1433" s="18" t="s">
        <v>95</v>
      </c>
      <c r="D1433" s="18" t="s">
        <v>157</v>
      </c>
      <c r="E1433" s="18" t="s">
        <v>2072</v>
      </c>
      <c r="F1433" s="18">
        <v>166</v>
      </c>
      <c r="G1433" s="18">
        <v>33</v>
      </c>
      <c r="H1433" s="18">
        <v>34</v>
      </c>
      <c r="I1433" s="18">
        <v>99</v>
      </c>
    </row>
    <row r="1434" spans="1:9" x14ac:dyDescent="0.3">
      <c r="A1434" t="s">
        <v>1861</v>
      </c>
      <c r="B1434" s="18" t="s">
        <v>906</v>
      </c>
      <c r="C1434" s="18" t="s">
        <v>909</v>
      </c>
      <c r="D1434" s="18" t="s">
        <v>910</v>
      </c>
      <c r="E1434" s="18" t="s">
        <v>2072</v>
      </c>
      <c r="F1434" s="18">
        <v>1027</v>
      </c>
      <c r="G1434" s="18">
        <v>686</v>
      </c>
      <c r="H1434" s="18">
        <v>62</v>
      </c>
      <c r="I1434" s="18">
        <v>279</v>
      </c>
    </row>
    <row r="1435" spans="1:9" x14ac:dyDescent="0.3">
      <c r="A1435" t="s">
        <v>1862</v>
      </c>
      <c r="B1435" s="18" t="s">
        <v>906</v>
      </c>
      <c r="C1435" s="18" t="s">
        <v>909</v>
      </c>
      <c r="D1435" s="18" t="s">
        <v>911</v>
      </c>
      <c r="E1435" s="18" t="s">
        <v>2072</v>
      </c>
      <c r="F1435" s="18">
        <v>97</v>
      </c>
      <c r="G1435" s="18">
        <v>37</v>
      </c>
      <c r="H1435" s="18">
        <v>13</v>
      </c>
      <c r="I1435" s="18">
        <v>47</v>
      </c>
    </row>
    <row r="1436" spans="1:9" x14ac:dyDescent="0.3">
      <c r="A1436" t="s">
        <v>1859</v>
      </c>
      <c r="B1436" s="18" t="s">
        <v>906</v>
      </c>
      <c r="C1436" s="18" t="s">
        <v>57</v>
      </c>
      <c r="D1436" s="18" t="s">
        <v>50</v>
      </c>
      <c r="E1436" s="18" t="s">
        <v>2072</v>
      </c>
      <c r="F1436" s="18">
        <v>304</v>
      </c>
      <c r="G1436" s="18">
        <v>154</v>
      </c>
      <c r="H1436" s="18">
        <v>38</v>
      </c>
      <c r="I1436" s="18">
        <v>112</v>
      </c>
    </row>
    <row r="1437" spans="1:9" x14ac:dyDescent="0.3">
      <c r="A1437" t="s">
        <v>1860</v>
      </c>
      <c r="B1437" s="18" t="s">
        <v>906</v>
      </c>
      <c r="C1437" s="18" t="s">
        <v>57</v>
      </c>
      <c r="D1437" s="18" t="s">
        <v>908</v>
      </c>
      <c r="E1437" s="18" t="s">
        <v>2072</v>
      </c>
      <c r="F1437" s="18">
        <v>53</v>
      </c>
      <c r="G1437" s="18">
        <v>39</v>
      </c>
      <c r="H1437" s="18">
        <v>3</v>
      </c>
      <c r="I1437" s="18">
        <v>11</v>
      </c>
    </row>
    <row r="1438" spans="1:9" x14ac:dyDescent="0.3">
      <c r="A1438" t="s">
        <v>1858</v>
      </c>
      <c r="B1438" s="18" t="s">
        <v>906</v>
      </c>
      <c r="C1438" s="18" t="s">
        <v>57</v>
      </c>
      <c r="D1438" s="18" t="s">
        <v>907</v>
      </c>
      <c r="E1438" s="18" t="s">
        <v>2072</v>
      </c>
      <c r="F1438" s="18">
        <v>2824</v>
      </c>
      <c r="G1438" s="18">
        <v>1759</v>
      </c>
      <c r="H1438" s="18">
        <v>182</v>
      </c>
      <c r="I1438" s="18">
        <v>883</v>
      </c>
    </row>
    <row r="1439" spans="1:9" x14ac:dyDescent="0.3">
      <c r="A1439" t="s">
        <v>1864</v>
      </c>
      <c r="B1439" s="18" t="s">
        <v>906</v>
      </c>
      <c r="C1439" s="18" t="s">
        <v>912</v>
      </c>
      <c r="D1439" s="18" t="s">
        <v>914</v>
      </c>
      <c r="E1439" s="18" t="s">
        <v>2072</v>
      </c>
      <c r="F1439" s="18">
        <v>1445</v>
      </c>
      <c r="G1439" s="18">
        <v>812</v>
      </c>
      <c r="H1439" s="18">
        <v>91</v>
      </c>
      <c r="I1439" s="18">
        <v>542</v>
      </c>
    </row>
    <row r="1440" spans="1:9" x14ac:dyDescent="0.3">
      <c r="A1440" t="s">
        <v>1863</v>
      </c>
      <c r="B1440" s="18" t="s">
        <v>906</v>
      </c>
      <c r="C1440" s="18" t="s">
        <v>912</v>
      </c>
      <c r="D1440" s="18" t="s">
        <v>913</v>
      </c>
      <c r="E1440" s="18" t="s">
        <v>2072</v>
      </c>
      <c r="F1440" s="18">
        <v>4909</v>
      </c>
      <c r="G1440" s="18">
        <v>3234</v>
      </c>
      <c r="H1440" s="18">
        <v>352</v>
      </c>
      <c r="I1440" s="18">
        <v>1323</v>
      </c>
    </row>
    <row r="1441" spans="1:9" x14ac:dyDescent="0.3">
      <c r="A1441" t="s">
        <v>1865</v>
      </c>
      <c r="B1441" s="18" t="s">
        <v>906</v>
      </c>
      <c r="C1441" s="18" t="s">
        <v>912</v>
      </c>
      <c r="D1441" s="18" t="s">
        <v>323</v>
      </c>
      <c r="E1441" s="18" t="s">
        <v>2072</v>
      </c>
      <c r="F1441" s="18">
        <v>205</v>
      </c>
      <c r="G1441" s="18">
        <v>81</v>
      </c>
      <c r="H1441" s="18">
        <v>6</v>
      </c>
      <c r="I1441" s="18">
        <v>118</v>
      </c>
    </row>
    <row r="1442" spans="1:9" x14ac:dyDescent="0.3">
      <c r="A1442" t="s">
        <v>1620</v>
      </c>
      <c r="B1442" s="18" t="s">
        <v>399</v>
      </c>
      <c r="C1442" s="18" t="s">
        <v>406</v>
      </c>
      <c r="D1442" s="18" t="s">
        <v>406</v>
      </c>
      <c r="E1442" s="18" t="s">
        <v>2072</v>
      </c>
      <c r="F1442" s="18">
        <v>9441</v>
      </c>
      <c r="G1442" s="18">
        <v>1768</v>
      </c>
      <c r="H1442" s="18">
        <v>757</v>
      </c>
      <c r="I1442" s="18">
        <v>6916</v>
      </c>
    </row>
    <row r="1443" spans="1:9" x14ac:dyDescent="0.3">
      <c r="A1443" t="s">
        <v>1322</v>
      </c>
      <c r="B1443" s="18" t="s">
        <v>399</v>
      </c>
      <c r="C1443" s="18" t="s">
        <v>407</v>
      </c>
      <c r="D1443" s="18" t="s">
        <v>407</v>
      </c>
      <c r="E1443" s="18" t="s">
        <v>2072</v>
      </c>
      <c r="F1443" s="18">
        <v>8812</v>
      </c>
      <c r="G1443" s="18">
        <v>2546</v>
      </c>
      <c r="H1443" s="18">
        <v>406</v>
      </c>
      <c r="I1443" s="18">
        <v>5860</v>
      </c>
    </row>
    <row r="1444" spans="1:9" x14ac:dyDescent="0.3">
      <c r="A1444" t="s">
        <v>1280</v>
      </c>
      <c r="B1444" s="18" t="s">
        <v>399</v>
      </c>
      <c r="C1444" s="18" t="s">
        <v>408</v>
      </c>
      <c r="D1444" s="18" t="s">
        <v>408</v>
      </c>
      <c r="E1444" s="18" t="s">
        <v>2072</v>
      </c>
      <c r="F1444" s="18">
        <v>20729</v>
      </c>
      <c r="G1444" s="18">
        <v>4246</v>
      </c>
      <c r="H1444" s="18">
        <v>2098</v>
      </c>
      <c r="I1444" s="18">
        <v>14385</v>
      </c>
    </row>
    <row r="1445" spans="1:9" x14ac:dyDescent="0.3">
      <c r="A1445" t="s">
        <v>1194</v>
      </c>
      <c r="B1445" s="18" t="s">
        <v>399</v>
      </c>
      <c r="C1445" s="18" t="s">
        <v>409</v>
      </c>
      <c r="D1445" s="18" t="s">
        <v>409</v>
      </c>
      <c r="E1445" s="18" t="s">
        <v>2072</v>
      </c>
      <c r="F1445" s="18">
        <v>7014</v>
      </c>
      <c r="G1445" s="18">
        <v>1085</v>
      </c>
      <c r="H1445" s="18">
        <v>514</v>
      </c>
      <c r="I1445" s="18">
        <v>5415</v>
      </c>
    </row>
    <row r="1446" spans="1:9" x14ac:dyDescent="0.3">
      <c r="A1446" t="s">
        <v>1984</v>
      </c>
      <c r="B1446" s="18" t="s">
        <v>399</v>
      </c>
      <c r="C1446" s="18" t="s">
        <v>409</v>
      </c>
      <c r="D1446" s="18" t="s">
        <v>410</v>
      </c>
      <c r="E1446" s="18" t="s">
        <v>2072</v>
      </c>
      <c r="F1446" s="18">
        <v>2027</v>
      </c>
      <c r="G1446" s="18">
        <v>193</v>
      </c>
      <c r="H1446" s="18">
        <v>108</v>
      </c>
      <c r="I1446" s="18">
        <v>1726</v>
      </c>
    </row>
    <row r="1447" spans="1:9" x14ac:dyDescent="0.3">
      <c r="A1447" t="s">
        <v>1631</v>
      </c>
      <c r="B1447" s="18" t="s">
        <v>399</v>
      </c>
      <c r="C1447" s="18" t="s">
        <v>446</v>
      </c>
      <c r="D1447" s="18" t="s">
        <v>446</v>
      </c>
      <c r="E1447" s="18" t="s">
        <v>2072</v>
      </c>
      <c r="F1447" s="18">
        <v>4969</v>
      </c>
      <c r="G1447" s="18">
        <v>1667</v>
      </c>
      <c r="H1447" s="18">
        <v>322</v>
      </c>
      <c r="I1447" s="18">
        <v>2980</v>
      </c>
    </row>
    <row r="1448" spans="1:9" x14ac:dyDescent="0.3">
      <c r="A1448" t="s">
        <v>1260</v>
      </c>
      <c r="B1448" s="18" t="s">
        <v>399</v>
      </c>
      <c r="C1448" s="18" t="s">
        <v>366</v>
      </c>
      <c r="D1448" s="18" t="s">
        <v>366</v>
      </c>
      <c r="E1448" s="18" t="s">
        <v>2072</v>
      </c>
      <c r="F1448" s="18">
        <v>73709</v>
      </c>
      <c r="G1448" s="18">
        <v>34909</v>
      </c>
      <c r="H1448" s="18">
        <v>5096</v>
      </c>
      <c r="I1448" s="18">
        <v>33704</v>
      </c>
    </row>
    <row r="1449" spans="1:9" x14ac:dyDescent="0.3">
      <c r="A1449" t="s">
        <v>1621</v>
      </c>
      <c r="B1449" s="18" t="s">
        <v>399</v>
      </c>
      <c r="C1449" s="18" t="s">
        <v>366</v>
      </c>
      <c r="D1449" s="18" t="s">
        <v>411</v>
      </c>
      <c r="E1449" s="18" t="s">
        <v>2072</v>
      </c>
      <c r="F1449" s="18">
        <v>3583</v>
      </c>
      <c r="G1449" s="18">
        <v>429</v>
      </c>
      <c r="H1449" s="18">
        <v>288</v>
      </c>
      <c r="I1449" s="18">
        <v>2866</v>
      </c>
    </row>
    <row r="1450" spans="1:9" x14ac:dyDescent="0.3">
      <c r="A1450" t="s">
        <v>1028</v>
      </c>
      <c r="B1450" s="18" t="s">
        <v>399</v>
      </c>
      <c r="C1450" s="18" t="s">
        <v>366</v>
      </c>
      <c r="D1450" s="18" t="s">
        <v>412</v>
      </c>
      <c r="E1450" s="18" t="s">
        <v>2072</v>
      </c>
      <c r="F1450" s="18">
        <v>4012</v>
      </c>
      <c r="G1450" s="18">
        <v>537</v>
      </c>
      <c r="H1450" s="18">
        <v>226</v>
      </c>
      <c r="I1450" s="18">
        <v>3249</v>
      </c>
    </row>
    <row r="1451" spans="1:9" x14ac:dyDescent="0.3">
      <c r="A1451" t="s">
        <v>1622</v>
      </c>
      <c r="B1451" s="18" t="s">
        <v>399</v>
      </c>
      <c r="C1451" s="18" t="s">
        <v>366</v>
      </c>
      <c r="D1451" s="18" t="s">
        <v>413</v>
      </c>
      <c r="E1451" s="18" t="s">
        <v>2072</v>
      </c>
      <c r="F1451" s="18">
        <v>3537</v>
      </c>
      <c r="G1451" s="18">
        <v>538</v>
      </c>
      <c r="H1451" s="18">
        <v>255</v>
      </c>
      <c r="I1451" s="18">
        <v>2744</v>
      </c>
    </row>
    <row r="1452" spans="1:9" x14ac:dyDescent="0.3">
      <c r="A1452" t="s">
        <v>1412</v>
      </c>
      <c r="B1452" s="18" t="s">
        <v>399</v>
      </c>
      <c r="C1452" s="18" t="s">
        <v>366</v>
      </c>
      <c r="D1452" s="18" t="s">
        <v>414</v>
      </c>
      <c r="E1452" s="18" t="s">
        <v>2072</v>
      </c>
      <c r="F1452" s="18">
        <v>3715</v>
      </c>
      <c r="G1452" s="18">
        <v>464</v>
      </c>
      <c r="H1452" s="18">
        <v>311</v>
      </c>
      <c r="I1452" s="18">
        <v>2940</v>
      </c>
    </row>
    <row r="1453" spans="1:9" x14ac:dyDescent="0.3">
      <c r="A1453" t="s">
        <v>1341</v>
      </c>
      <c r="B1453" s="18" t="s">
        <v>399</v>
      </c>
      <c r="C1453" s="18" t="s">
        <v>415</v>
      </c>
      <c r="D1453" s="18" t="s">
        <v>350</v>
      </c>
      <c r="E1453" s="18" t="s">
        <v>2072</v>
      </c>
      <c r="F1453" s="18">
        <v>115992</v>
      </c>
      <c r="G1453" s="18">
        <v>46352</v>
      </c>
      <c r="H1453" s="18">
        <v>11266</v>
      </c>
      <c r="I1453" s="18">
        <v>58374</v>
      </c>
    </row>
    <row r="1454" spans="1:9" x14ac:dyDescent="0.3">
      <c r="A1454" t="s">
        <v>1185</v>
      </c>
      <c r="B1454" s="18" t="s">
        <v>399</v>
      </c>
      <c r="C1454" s="18" t="s">
        <v>416</v>
      </c>
      <c r="D1454" s="18" t="s">
        <v>418</v>
      </c>
      <c r="E1454" s="18" t="s">
        <v>2072</v>
      </c>
      <c r="F1454" s="18">
        <v>3600</v>
      </c>
      <c r="G1454" s="18">
        <v>863</v>
      </c>
      <c r="H1454" s="18">
        <v>95</v>
      </c>
      <c r="I1454" s="18">
        <v>2642</v>
      </c>
    </row>
    <row r="1455" spans="1:9" x14ac:dyDescent="0.3">
      <c r="A1455" t="s">
        <v>1623</v>
      </c>
      <c r="B1455" s="18" t="s">
        <v>399</v>
      </c>
      <c r="C1455" s="18" t="s">
        <v>416</v>
      </c>
      <c r="D1455" s="18" t="s">
        <v>399</v>
      </c>
      <c r="E1455" s="18" t="s">
        <v>2072</v>
      </c>
      <c r="F1455" s="18">
        <v>6580</v>
      </c>
      <c r="G1455" s="18">
        <v>1152</v>
      </c>
      <c r="H1455" s="18">
        <v>271</v>
      </c>
      <c r="I1455" s="18">
        <v>5157</v>
      </c>
    </row>
    <row r="1456" spans="1:9" x14ac:dyDescent="0.3">
      <c r="A1456" t="s">
        <v>1382</v>
      </c>
      <c r="B1456" s="18" t="s">
        <v>399</v>
      </c>
      <c r="C1456" s="18" t="s">
        <v>416</v>
      </c>
      <c r="D1456" s="18" t="s">
        <v>417</v>
      </c>
      <c r="E1456" s="18" t="s">
        <v>2072</v>
      </c>
      <c r="F1456" s="18">
        <v>19111</v>
      </c>
      <c r="G1456" s="18">
        <v>5524</v>
      </c>
      <c r="H1456" s="18">
        <v>1611</v>
      </c>
      <c r="I1456" s="18">
        <v>11976</v>
      </c>
    </row>
    <row r="1457" spans="1:9" x14ac:dyDescent="0.3">
      <c r="A1457" t="s">
        <v>1278</v>
      </c>
      <c r="B1457" s="18" t="s">
        <v>399</v>
      </c>
      <c r="C1457" s="18" t="s">
        <v>419</v>
      </c>
      <c r="D1457" s="18" t="s">
        <v>419</v>
      </c>
      <c r="E1457" s="18" t="s">
        <v>2072</v>
      </c>
      <c r="F1457" s="18">
        <v>21705</v>
      </c>
      <c r="G1457" s="18">
        <v>6696</v>
      </c>
      <c r="H1457" s="18">
        <v>1603</v>
      </c>
      <c r="I1457" s="18">
        <v>13406</v>
      </c>
    </row>
    <row r="1458" spans="1:9" x14ac:dyDescent="0.3">
      <c r="A1458" t="s">
        <v>1632</v>
      </c>
      <c r="B1458" s="18" t="s">
        <v>399</v>
      </c>
      <c r="C1458" s="18" t="s">
        <v>450</v>
      </c>
      <c r="D1458" s="18" t="s">
        <v>451</v>
      </c>
      <c r="E1458" s="18" t="s">
        <v>2072</v>
      </c>
      <c r="F1458" s="18">
        <v>4477</v>
      </c>
      <c r="G1458" s="18">
        <v>1735</v>
      </c>
      <c r="H1458" s="18">
        <v>383</v>
      </c>
      <c r="I1458" s="18">
        <v>2359</v>
      </c>
    </row>
    <row r="1459" spans="1:9" x14ac:dyDescent="0.3">
      <c r="A1459" t="s">
        <v>1446</v>
      </c>
      <c r="B1459" s="18" t="s">
        <v>399</v>
      </c>
      <c r="C1459" s="18" t="s">
        <v>400</v>
      </c>
      <c r="D1459" s="18" t="s">
        <v>400</v>
      </c>
      <c r="E1459" s="18" t="s">
        <v>2072</v>
      </c>
      <c r="F1459" s="18">
        <v>1041190</v>
      </c>
      <c r="G1459" s="18">
        <v>421435</v>
      </c>
      <c r="H1459" s="18">
        <v>90050</v>
      </c>
      <c r="I1459" s="18">
        <v>529705</v>
      </c>
    </row>
    <row r="1460" spans="1:9" x14ac:dyDescent="0.3">
      <c r="A1460" t="s">
        <v>1617</v>
      </c>
      <c r="B1460" s="18" t="s">
        <v>399</v>
      </c>
      <c r="C1460" s="18" t="s">
        <v>400</v>
      </c>
      <c r="D1460" s="18" t="s">
        <v>401</v>
      </c>
      <c r="E1460" s="18" t="s">
        <v>2072</v>
      </c>
      <c r="F1460" s="18">
        <v>4688</v>
      </c>
      <c r="G1460" s="18">
        <v>1229</v>
      </c>
      <c r="H1460" s="18">
        <v>334</v>
      </c>
      <c r="I1460" s="18">
        <v>3125</v>
      </c>
    </row>
    <row r="1461" spans="1:9" x14ac:dyDescent="0.3">
      <c r="A1461" t="s">
        <v>1618</v>
      </c>
      <c r="B1461" s="18" t="s">
        <v>399</v>
      </c>
      <c r="C1461" s="18" t="s">
        <v>400</v>
      </c>
      <c r="D1461" s="18" t="s">
        <v>402</v>
      </c>
      <c r="E1461" s="18" t="s">
        <v>2072</v>
      </c>
      <c r="F1461" s="18">
        <v>2232</v>
      </c>
      <c r="G1461" s="18">
        <v>519</v>
      </c>
      <c r="H1461" s="18">
        <v>160</v>
      </c>
      <c r="I1461" s="18">
        <v>1553</v>
      </c>
    </row>
    <row r="1462" spans="1:9" x14ac:dyDescent="0.3">
      <c r="A1462" t="s">
        <v>1164</v>
      </c>
      <c r="B1462" s="18" t="s">
        <v>399</v>
      </c>
      <c r="C1462" s="18" t="s">
        <v>400</v>
      </c>
      <c r="D1462" s="18" t="s">
        <v>403</v>
      </c>
      <c r="E1462" s="18" t="s">
        <v>2072</v>
      </c>
      <c r="F1462" s="18">
        <v>11644</v>
      </c>
      <c r="G1462" s="18">
        <v>3460</v>
      </c>
      <c r="H1462" s="18">
        <v>869</v>
      </c>
      <c r="I1462" s="18">
        <v>7315</v>
      </c>
    </row>
    <row r="1463" spans="1:9" x14ac:dyDescent="0.3">
      <c r="A1463" t="s">
        <v>1386</v>
      </c>
      <c r="B1463" s="18" t="s">
        <v>399</v>
      </c>
      <c r="C1463" s="18" t="s">
        <v>400</v>
      </c>
      <c r="D1463" s="18" t="s">
        <v>404</v>
      </c>
      <c r="E1463" s="18" t="s">
        <v>2072</v>
      </c>
      <c r="F1463" s="18">
        <v>4953</v>
      </c>
      <c r="G1463" s="18">
        <v>984</v>
      </c>
      <c r="H1463" s="18">
        <v>141</v>
      </c>
      <c r="I1463" s="18">
        <v>3828</v>
      </c>
    </row>
    <row r="1464" spans="1:9" x14ac:dyDescent="0.3">
      <c r="A1464" t="s">
        <v>1619</v>
      </c>
      <c r="B1464" s="18" t="s">
        <v>399</v>
      </c>
      <c r="C1464" s="18" t="s">
        <v>400</v>
      </c>
      <c r="D1464" s="18" t="s">
        <v>405</v>
      </c>
      <c r="E1464" s="18" t="s">
        <v>2072</v>
      </c>
      <c r="F1464" s="18">
        <v>4353</v>
      </c>
      <c r="G1464" s="18">
        <v>1419</v>
      </c>
      <c r="H1464" s="18">
        <v>316</v>
      </c>
      <c r="I1464" s="18">
        <v>2618</v>
      </c>
    </row>
    <row r="1465" spans="1:9" x14ac:dyDescent="0.3">
      <c r="A1465" t="s">
        <v>1339</v>
      </c>
      <c r="B1465" s="18" t="s">
        <v>399</v>
      </c>
      <c r="C1465" s="18" t="s">
        <v>452</v>
      </c>
      <c r="D1465" s="18" t="s">
        <v>452</v>
      </c>
      <c r="E1465" s="18" t="s">
        <v>2072</v>
      </c>
      <c r="F1465" s="18">
        <v>4960</v>
      </c>
      <c r="G1465" s="18">
        <v>1000</v>
      </c>
      <c r="H1465" s="18">
        <v>307</v>
      </c>
      <c r="I1465" s="18">
        <v>3653</v>
      </c>
    </row>
    <row r="1466" spans="1:9" x14ac:dyDescent="0.3">
      <c r="A1466" t="s">
        <v>1125</v>
      </c>
      <c r="B1466" s="18" t="s">
        <v>399</v>
      </c>
      <c r="C1466" s="18" t="s">
        <v>447</v>
      </c>
      <c r="D1466" s="18" t="s">
        <v>447</v>
      </c>
      <c r="E1466" s="18" t="s">
        <v>2072</v>
      </c>
      <c r="F1466" s="18">
        <v>8024</v>
      </c>
      <c r="G1466" s="18">
        <v>1478</v>
      </c>
      <c r="H1466" s="18">
        <v>531</v>
      </c>
      <c r="I1466" s="18">
        <v>6015</v>
      </c>
    </row>
    <row r="1467" spans="1:9" x14ac:dyDescent="0.3">
      <c r="A1467" t="s">
        <v>1099</v>
      </c>
      <c r="B1467" s="18" t="s">
        <v>399</v>
      </c>
      <c r="C1467" s="18" t="s">
        <v>291</v>
      </c>
      <c r="D1467" s="18" t="s">
        <v>420</v>
      </c>
      <c r="E1467" s="18" t="s">
        <v>2072</v>
      </c>
      <c r="F1467" s="18">
        <v>1320</v>
      </c>
      <c r="G1467" s="18">
        <v>406</v>
      </c>
      <c r="H1467" s="18">
        <v>59</v>
      </c>
      <c r="I1467" s="18">
        <v>855</v>
      </c>
    </row>
    <row r="1468" spans="1:9" x14ac:dyDescent="0.3">
      <c r="A1468" t="s">
        <v>1624</v>
      </c>
      <c r="B1468" s="18" t="s">
        <v>399</v>
      </c>
      <c r="C1468" s="18" t="s">
        <v>291</v>
      </c>
      <c r="D1468" s="18" t="s">
        <v>183</v>
      </c>
      <c r="E1468" s="18" t="s">
        <v>2072</v>
      </c>
      <c r="F1468" s="18">
        <v>2221</v>
      </c>
      <c r="G1468" s="18">
        <v>643</v>
      </c>
      <c r="H1468" s="18">
        <v>92</v>
      </c>
      <c r="I1468" s="18">
        <v>1486</v>
      </c>
    </row>
    <row r="1469" spans="1:9" x14ac:dyDescent="0.3">
      <c r="A1469" t="s">
        <v>1272</v>
      </c>
      <c r="B1469" s="18" t="s">
        <v>399</v>
      </c>
      <c r="C1469" s="18" t="s">
        <v>291</v>
      </c>
      <c r="D1469" s="18" t="s">
        <v>291</v>
      </c>
      <c r="E1469" s="18" t="s">
        <v>2072</v>
      </c>
      <c r="F1469" s="18">
        <v>66650</v>
      </c>
      <c r="G1469" s="18">
        <v>24077</v>
      </c>
      <c r="H1469" s="18">
        <v>5661</v>
      </c>
      <c r="I1469" s="18">
        <v>36912</v>
      </c>
    </row>
    <row r="1470" spans="1:9" x14ac:dyDescent="0.3">
      <c r="A1470" t="s">
        <v>1625</v>
      </c>
      <c r="B1470" s="18" t="s">
        <v>399</v>
      </c>
      <c r="C1470" s="18" t="s">
        <v>291</v>
      </c>
      <c r="D1470" s="18" t="s">
        <v>421</v>
      </c>
      <c r="E1470" s="18" t="s">
        <v>2072</v>
      </c>
      <c r="F1470" s="18">
        <v>4629</v>
      </c>
      <c r="G1470" s="18">
        <v>1650</v>
      </c>
      <c r="H1470" s="18">
        <v>370</v>
      </c>
      <c r="I1470" s="18">
        <v>2609</v>
      </c>
    </row>
    <row r="1471" spans="1:9" x14ac:dyDescent="0.3">
      <c r="A1471" t="s">
        <v>1626</v>
      </c>
      <c r="B1471" s="18" t="s">
        <v>399</v>
      </c>
      <c r="C1471" s="18" t="s">
        <v>422</v>
      </c>
      <c r="D1471" s="18" t="s">
        <v>423</v>
      </c>
      <c r="E1471" s="18" t="s">
        <v>2072</v>
      </c>
      <c r="F1471" s="18">
        <v>2275</v>
      </c>
      <c r="G1471" s="18">
        <v>783</v>
      </c>
      <c r="H1471" s="18">
        <v>62</v>
      </c>
      <c r="I1471" s="18">
        <v>1430</v>
      </c>
    </row>
    <row r="1472" spans="1:9" x14ac:dyDescent="0.3">
      <c r="A1472" t="s">
        <v>1378</v>
      </c>
      <c r="B1472" s="18" t="s">
        <v>399</v>
      </c>
      <c r="C1472" s="18" t="s">
        <v>422</v>
      </c>
      <c r="D1472" s="18" t="s">
        <v>422</v>
      </c>
      <c r="E1472" s="18" t="s">
        <v>2072</v>
      </c>
      <c r="F1472" s="18">
        <v>18638</v>
      </c>
      <c r="G1472" s="18">
        <v>6922</v>
      </c>
      <c r="H1472" s="18">
        <v>944</v>
      </c>
      <c r="I1472" s="18">
        <v>10772</v>
      </c>
    </row>
    <row r="1473" spans="1:9" x14ac:dyDescent="0.3">
      <c r="A1473" t="s">
        <v>1205</v>
      </c>
      <c r="B1473" s="18" t="s">
        <v>399</v>
      </c>
      <c r="C1473" s="18" t="s">
        <v>422</v>
      </c>
      <c r="D1473" s="18" t="s">
        <v>424</v>
      </c>
      <c r="E1473" s="18" t="s">
        <v>2072</v>
      </c>
      <c r="F1473" s="18">
        <v>3265</v>
      </c>
      <c r="G1473" s="18">
        <v>1102</v>
      </c>
      <c r="H1473" s="18">
        <v>139</v>
      </c>
      <c r="I1473" s="18">
        <v>2024</v>
      </c>
    </row>
    <row r="1474" spans="1:9" x14ac:dyDescent="0.3">
      <c r="A1474" t="s">
        <v>1985</v>
      </c>
      <c r="B1474" s="18" t="s">
        <v>399</v>
      </c>
      <c r="C1474" s="18" t="s">
        <v>422</v>
      </c>
      <c r="D1474" s="18" t="s">
        <v>425</v>
      </c>
      <c r="E1474" s="18" t="s">
        <v>2072</v>
      </c>
      <c r="F1474" s="18">
        <v>2110</v>
      </c>
      <c r="G1474" s="18">
        <v>628</v>
      </c>
      <c r="H1474" s="18">
        <v>53</v>
      </c>
      <c r="I1474" s="18">
        <v>1429</v>
      </c>
    </row>
    <row r="1475" spans="1:9" x14ac:dyDescent="0.3">
      <c r="A1475" t="s">
        <v>1238</v>
      </c>
      <c r="B1475" s="18" t="s">
        <v>399</v>
      </c>
      <c r="C1475" s="18" t="s">
        <v>422</v>
      </c>
      <c r="D1475" s="18" t="s">
        <v>426</v>
      </c>
      <c r="E1475" s="18" t="s">
        <v>2072</v>
      </c>
      <c r="F1475" s="18">
        <v>3063</v>
      </c>
      <c r="G1475" s="18">
        <v>664</v>
      </c>
      <c r="H1475" s="18">
        <v>104</v>
      </c>
      <c r="I1475" s="18">
        <v>2295</v>
      </c>
    </row>
    <row r="1476" spans="1:9" x14ac:dyDescent="0.3">
      <c r="A1476" t="s">
        <v>1230</v>
      </c>
      <c r="B1476" s="18" t="s">
        <v>399</v>
      </c>
      <c r="C1476" s="18" t="s">
        <v>427</v>
      </c>
      <c r="D1476" s="18" t="s">
        <v>427</v>
      </c>
      <c r="E1476" s="18" t="s">
        <v>2072</v>
      </c>
      <c r="F1476" s="18">
        <v>16478</v>
      </c>
      <c r="G1476" s="18">
        <v>5263</v>
      </c>
      <c r="H1476" s="18">
        <v>1408</v>
      </c>
      <c r="I1476" s="18">
        <v>9807</v>
      </c>
    </row>
    <row r="1477" spans="1:9" x14ac:dyDescent="0.3">
      <c r="A1477" t="s">
        <v>1414</v>
      </c>
      <c r="B1477" s="18" t="s">
        <v>399</v>
      </c>
      <c r="C1477" s="18" t="s">
        <v>448</v>
      </c>
      <c r="D1477" s="18" t="s">
        <v>449</v>
      </c>
      <c r="E1477" s="18" t="s">
        <v>2072</v>
      </c>
      <c r="F1477" s="18">
        <v>8773</v>
      </c>
      <c r="G1477" s="18">
        <v>2421</v>
      </c>
      <c r="H1477" s="18">
        <v>908</v>
      </c>
      <c r="I1477" s="18">
        <v>5444</v>
      </c>
    </row>
    <row r="1478" spans="1:9" x14ac:dyDescent="0.3">
      <c r="A1478" t="s">
        <v>1166</v>
      </c>
      <c r="B1478" s="18" t="s">
        <v>399</v>
      </c>
      <c r="C1478" s="18" t="s">
        <v>428</v>
      </c>
      <c r="D1478" s="18" t="s">
        <v>428</v>
      </c>
      <c r="E1478" s="18" t="s">
        <v>2072</v>
      </c>
      <c r="F1478" s="18">
        <v>6548</v>
      </c>
      <c r="G1478" s="18">
        <v>1038</v>
      </c>
      <c r="H1478" s="18">
        <v>356</v>
      </c>
      <c r="I1478" s="18">
        <v>5154</v>
      </c>
    </row>
    <row r="1479" spans="1:9" x14ac:dyDescent="0.3">
      <c r="A1479" t="s">
        <v>1141</v>
      </c>
      <c r="B1479" s="18" t="s">
        <v>399</v>
      </c>
      <c r="C1479" s="18" t="s">
        <v>429</v>
      </c>
      <c r="D1479" s="18" t="s">
        <v>429</v>
      </c>
      <c r="E1479" s="18" t="s">
        <v>2072</v>
      </c>
      <c r="F1479" s="18">
        <v>13521</v>
      </c>
      <c r="G1479" s="18">
        <v>3304</v>
      </c>
      <c r="H1479" s="18">
        <v>1205</v>
      </c>
      <c r="I1479" s="18">
        <v>9012</v>
      </c>
    </row>
    <row r="1480" spans="1:9" x14ac:dyDescent="0.3">
      <c r="A1480" t="s">
        <v>1029</v>
      </c>
      <c r="B1480" s="18" t="s">
        <v>399</v>
      </c>
      <c r="C1480" s="18" t="s">
        <v>429</v>
      </c>
      <c r="D1480" s="18" t="s">
        <v>431</v>
      </c>
      <c r="E1480" s="18" t="s">
        <v>2072</v>
      </c>
      <c r="F1480" s="18">
        <v>2770</v>
      </c>
      <c r="G1480" s="18">
        <v>476</v>
      </c>
      <c r="H1480" s="18">
        <v>255</v>
      </c>
      <c r="I1480" s="18">
        <v>2039</v>
      </c>
    </row>
    <row r="1481" spans="1:9" x14ac:dyDescent="0.3">
      <c r="A1481" t="s">
        <v>1986</v>
      </c>
      <c r="B1481" s="18" t="s">
        <v>399</v>
      </c>
      <c r="C1481" s="18" t="s">
        <v>429</v>
      </c>
      <c r="D1481" s="18" t="s">
        <v>430</v>
      </c>
      <c r="E1481" s="18" t="s">
        <v>2072</v>
      </c>
      <c r="F1481" s="18">
        <v>1983</v>
      </c>
      <c r="G1481" s="18">
        <v>397</v>
      </c>
      <c r="H1481" s="18">
        <v>130</v>
      </c>
      <c r="I1481" s="18">
        <v>1456</v>
      </c>
    </row>
    <row r="1482" spans="1:9" x14ac:dyDescent="0.3">
      <c r="A1482" t="s">
        <v>1309</v>
      </c>
      <c r="B1482" s="18" t="s">
        <v>399</v>
      </c>
      <c r="C1482" s="18" t="s">
        <v>443</v>
      </c>
      <c r="D1482" s="18" t="s">
        <v>444</v>
      </c>
      <c r="E1482" s="18" t="s">
        <v>2072</v>
      </c>
      <c r="F1482" s="18">
        <v>21143</v>
      </c>
      <c r="G1482" s="18">
        <v>6799</v>
      </c>
      <c r="H1482" s="18">
        <v>1865</v>
      </c>
      <c r="I1482" s="18">
        <v>12479</v>
      </c>
    </row>
    <row r="1483" spans="1:9" x14ac:dyDescent="0.3">
      <c r="A1483" t="s">
        <v>1170</v>
      </c>
      <c r="B1483" s="18" t="s">
        <v>399</v>
      </c>
      <c r="C1483" s="18" t="s">
        <v>435</v>
      </c>
      <c r="D1483" s="18" t="s">
        <v>436</v>
      </c>
      <c r="E1483" s="18" t="s">
        <v>2072</v>
      </c>
      <c r="F1483" s="18">
        <v>11275</v>
      </c>
      <c r="G1483" s="18">
        <v>2416</v>
      </c>
      <c r="H1483" s="18">
        <v>674</v>
      </c>
      <c r="I1483" s="18">
        <v>8185</v>
      </c>
    </row>
    <row r="1484" spans="1:9" x14ac:dyDescent="0.3">
      <c r="A1484" t="s">
        <v>1175</v>
      </c>
      <c r="B1484" s="18" t="s">
        <v>399</v>
      </c>
      <c r="C1484" s="18" t="s">
        <v>435</v>
      </c>
      <c r="D1484" s="18" t="s">
        <v>437</v>
      </c>
      <c r="E1484" s="18" t="s">
        <v>2072</v>
      </c>
      <c r="F1484" s="18">
        <v>3870</v>
      </c>
      <c r="G1484" s="18">
        <v>897</v>
      </c>
      <c r="H1484" s="18">
        <v>197</v>
      </c>
      <c r="I1484" s="18">
        <v>2776</v>
      </c>
    </row>
    <row r="1485" spans="1:9" x14ac:dyDescent="0.3">
      <c r="A1485" t="s">
        <v>1030</v>
      </c>
      <c r="B1485" s="18" t="s">
        <v>399</v>
      </c>
      <c r="C1485" s="18" t="s">
        <v>435</v>
      </c>
      <c r="D1485" s="18" t="s">
        <v>438</v>
      </c>
      <c r="E1485" s="18" t="s">
        <v>2072</v>
      </c>
      <c r="F1485" s="18">
        <v>4558</v>
      </c>
      <c r="G1485" s="18">
        <v>546</v>
      </c>
      <c r="H1485" s="18">
        <v>243</v>
      </c>
      <c r="I1485" s="18">
        <v>3769</v>
      </c>
    </row>
    <row r="1486" spans="1:9" x14ac:dyDescent="0.3">
      <c r="A1486" t="s">
        <v>1627</v>
      </c>
      <c r="B1486" s="18" t="s">
        <v>399</v>
      </c>
      <c r="C1486" s="18" t="s">
        <v>435</v>
      </c>
      <c r="D1486" s="18" t="s">
        <v>207</v>
      </c>
      <c r="E1486" s="18" t="s">
        <v>2072</v>
      </c>
      <c r="F1486" s="18">
        <v>2593</v>
      </c>
      <c r="G1486" s="18">
        <v>432</v>
      </c>
      <c r="H1486" s="18">
        <v>158</v>
      </c>
      <c r="I1486" s="18">
        <v>2003</v>
      </c>
    </row>
    <row r="1487" spans="1:9" x14ac:dyDescent="0.3">
      <c r="A1487" t="s">
        <v>1308</v>
      </c>
      <c r="B1487" s="18" t="s">
        <v>399</v>
      </c>
      <c r="C1487" s="18" t="s">
        <v>432</v>
      </c>
      <c r="D1487" s="18" t="s">
        <v>432</v>
      </c>
      <c r="E1487" s="18" t="s">
        <v>2072</v>
      </c>
      <c r="F1487" s="18">
        <v>33951</v>
      </c>
      <c r="G1487" s="18">
        <v>16322</v>
      </c>
      <c r="H1487" s="18">
        <v>1261</v>
      </c>
      <c r="I1487" s="18">
        <v>16368</v>
      </c>
    </row>
    <row r="1488" spans="1:9" x14ac:dyDescent="0.3">
      <c r="A1488" t="s">
        <v>1143</v>
      </c>
      <c r="B1488" s="18" t="s">
        <v>399</v>
      </c>
      <c r="C1488" s="18" t="s">
        <v>432</v>
      </c>
      <c r="D1488" s="18" t="s">
        <v>433</v>
      </c>
      <c r="E1488" s="18" t="s">
        <v>2072</v>
      </c>
      <c r="F1488" s="18">
        <v>6241</v>
      </c>
      <c r="G1488" s="18">
        <v>1246</v>
      </c>
      <c r="H1488" s="18">
        <v>543</v>
      </c>
      <c r="I1488" s="18">
        <v>4452</v>
      </c>
    </row>
    <row r="1489" spans="1:9" x14ac:dyDescent="0.3">
      <c r="A1489" t="s">
        <v>1628</v>
      </c>
      <c r="B1489" s="18" t="s">
        <v>399</v>
      </c>
      <c r="C1489" s="18" t="s">
        <v>439</v>
      </c>
      <c r="D1489" s="18" t="s">
        <v>440</v>
      </c>
      <c r="E1489" s="18" t="s">
        <v>2072</v>
      </c>
      <c r="F1489" s="18">
        <v>3098</v>
      </c>
      <c r="G1489" s="18">
        <v>892</v>
      </c>
      <c r="H1489" s="18">
        <v>133</v>
      </c>
      <c r="I1489" s="18">
        <v>2073</v>
      </c>
    </row>
    <row r="1490" spans="1:9" x14ac:dyDescent="0.3">
      <c r="A1490" t="s">
        <v>1390</v>
      </c>
      <c r="B1490" s="18" t="s">
        <v>399</v>
      </c>
      <c r="C1490" s="18" t="s">
        <v>439</v>
      </c>
      <c r="D1490" s="18" t="s">
        <v>439</v>
      </c>
      <c r="E1490" s="18" t="s">
        <v>2072</v>
      </c>
      <c r="F1490" s="18">
        <v>12343</v>
      </c>
      <c r="G1490" s="18">
        <v>3456</v>
      </c>
      <c r="H1490" s="18">
        <v>841</v>
      </c>
      <c r="I1490" s="18">
        <v>8046</v>
      </c>
    </row>
    <row r="1491" spans="1:9" x14ac:dyDescent="0.3">
      <c r="A1491" t="s">
        <v>1132</v>
      </c>
      <c r="B1491" s="18" t="s">
        <v>399</v>
      </c>
      <c r="C1491" s="18" t="s">
        <v>439</v>
      </c>
      <c r="D1491" s="18" t="s">
        <v>442</v>
      </c>
      <c r="E1491" s="18" t="s">
        <v>2072</v>
      </c>
      <c r="F1491" s="18">
        <v>6572</v>
      </c>
      <c r="G1491" s="18">
        <v>1992</v>
      </c>
      <c r="H1491" s="18">
        <v>403</v>
      </c>
      <c r="I1491" s="18">
        <v>4177</v>
      </c>
    </row>
    <row r="1492" spans="1:9" x14ac:dyDescent="0.3">
      <c r="A1492" t="s">
        <v>1987</v>
      </c>
      <c r="B1492" s="18" t="s">
        <v>399</v>
      </c>
      <c r="C1492" s="18" t="s">
        <v>439</v>
      </c>
      <c r="D1492" s="18" t="s">
        <v>441</v>
      </c>
      <c r="E1492" s="18" t="s">
        <v>2072</v>
      </c>
      <c r="F1492" s="18">
        <v>4744</v>
      </c>
      <c r="G1492" s="18">
        <v>1335</v>
      </c>
      <c r="H1492" s="18">
        <v>191</v>
      </c>
      <c r="I1492" s="18">
        <v>3218</v>
      </c>
    </row>
    <row r="1493" spans="1:9" x14ac:dyDescent="0.3">
      <c r="A1493" t="s">
        <v>1226</v>
      </c>
      <c r="B1493" s="18" t="s">
        <v>399</v>
      </c>
      <c r="C1493" s="18" t="s">
        <v>434</v>
      </c>
      <c r="D1493" s="18" t="s">
        <v>434</v>
      </c>
      <c r="E1493" s="18" t="s">
        <v>2072</v>
      </c>
      <c r="F1493" s="18">
        <v>15931</v>
      </c>
      <c r="G1493" s="18">
        <v>2639</v>
      </c>
      <c r="H1493" s="18">
        <v>1227</v>
      </c>
      <c r="I1493" s="18">
        <v>12065</v>
      </c>
    </row>
    <row r="1494" spans="1:9" x14ac:dyDescent="0.3">
      <c r="A1494" t="s">
        <v>1630</v>
      </c>
      <c r="B1494" s="18" t="s">
        <v>399</v>
      </c>
      <c r="C1494" s="18" t="s">
        <v>47</v>
      </c>
      <c r="D1494" s="18" t="s">
        <v>445</v>
      </c>
      <c r="E1494" s="18" t="s">
        <v>2072</v>
      </c>
      <c r="F1494" s="18">
        <v>4553</v>
      </c>
      <c r="G1494" s="18">
        <v>1443</v>
      </c>
      <c r="H1494" s="18">
        <v>214</v>
      </c>
      <c r="I1494" s="18">
        <v>2896</v>
      </c>
    </row>
    <row r="1495" spans="1:9" x14ac:dyDescent="0.3">
      <c r="A1495" t="s">
        <v>1629</v>
      </c>
      <c r="B1495" s="18" t="s">
        <v>399</v>
      </c>
      <c r="C1495" s="18" t="s">
        <v>47</v>
      </c>
      <c r="D1495" s="18" t="s">
        <v>47</v>
      </c>
      <c r="E1495" s="18" t="s">
        <v>2072</v>
      </c>
      <c r="F1495" s="18">
        <v>6056</v>
      </c>
      <c r="G1495" s="18">
        <v>1683</v>
      </c>
      <c r="H1495" s="18">
        <v>584</v>
      </c>
      <c r="I1495" s="18">
        <v>3789</v>
      </c>
    </row>
    <row r="1496" spans="1:9" x14ac:dyDescent="0.3">
      <c r="A1496" t="s">
        <v>1108</v>
      </c>
      <c r="B1496" s="18" t="s">
        <v>453</v>
      </c>
      <c r="C1496" s="18" t="s">
        <v>461</v>
      </c>
      <c r="D1496" s="18" t="s">
        <v>462</v>
      </c>
      <c r="E1496" s="18" t="s">
        <v>2072</v>
      </c>
      <c r="F1496" s="18">
        <v>11546</v>
      </c>
      <c r="G1496" s="18">
        <v>5886</v>
      </c>
      <c r="H1496" s="18">
        <v>633</v>
      </c>
      <c r="I1496" s="18">
        <v>5027</v>
      </c>
    </row>
    <row r="1497" spans="1:9" x14ac:dyDescent="0.3">
      <c r="A1497" t="s">
        <v>1047</v>
      </c>
      <c r="B1497" s="18" t="s">
        <v>453</v>
      </c>
      <c r="C1497" s="18" t="s">
        <v>461</v>
      </c>
      <c r="D1497" s="18" t="s">
        <v>463</v>
      </c>
      <c r="E1497" s="18" t="s">
        <v>2072</v>
      </c>
      <c r="F1497" s="18">
        <v>629</v>
      </c>
      <c r="G1497" s="18">
        <v>343</v>
      </c>
      <c r="H1497" s="18">
        <v>53</v>
      </c>
      <c r="I1497" s="18">
        <v>233</v>
      </c>
    </row>
    <row r="1498" spans="1:9" x14ac:dyDescent="0.3">
      <c r="A1498" t="s">
        <v>1151</v>
      </c>
      <c r="B1498" s="18" t="s">
        <v>453</v>
      </c>
      <c r="C1498" s="18" t="s">
        <v>461</v>
      </c>
      <c r="D1498" s="18" t="s">
        <v>464</v>
      </c>
      <c r="E1498" s="18" t="s">
        <v>2072</v>
      </c>
      <c r="F1498" s="18">
        <v>3211</v>
      </c>
      <c r="G1498" s="18">
        <v>1515</v>
      </c>
      <c r="H1498" s="18">
        <v>178</v>
      </c>
      <c r="I1498" s="18">
        <v>1518</v>
      </c>
    </row>
    <row r="1499" spans="1:9" x14ac:dyDescent="0.3">
      <c r="A1499" t="s">
        <v>1031</v>
      </c>
      <c r="B1499" s="18" t="s">
        <v>453</v>
      </c>
      <c r="C1499" s="18" t="s">
        <v>461</v>
      </c>
      <c r="D1499" s="18" t="s">
        <v>465</v>
      </c>
      <c r="E1499" s="18" t="s">
        <v>2072</v>
      </c>
      <c r="F1499" s="18">
        <v>1583</v>
      </c>
      <c r="G1499" s="18">
        <v>650</v>
      </c>
      <c r="H1499" s="18">
        <v>100</v>
      </c>
      <c r="I1499" s="18">
        <v>833</v>
      </c>
    </row>
    <row r="1500" spans="1:9" x14ac:dyDescent="0.3">
      <c r="A1500" t="s">
        <v>1199</v>
      </c>
      <c r="B1500" s="18" t="s">
        <v>453</v>
      </c>
      <c r="C1500" s="18" t="s">
        <v>461</v>
      </c>
      <c r="D1500" s="18" t="s">
        <v>317</v>
      </c>
      <c r="E1500" s="18" t="s">
        <v>2072</v>
      </c>
      <c r="F1500" s="18">
        <v>4657</v>
      </c>
      <c r="G1500" s="18">
        <v>2014</v>
      </c>
      <c r="H1500" s="18">
        <v>376</v>
      </c>
      <c r="I1500" s="18">
        <v>2267</v>
      </c>
    </row>
    <row r="1501" spans="1:9" x14ac:dyDescent="0.3">
      <c r="A1501" t="s">
        <v>1636</v>
      </c>
      <c r="B1501" s="18" t="s">
        <v>453</v>
      </c>
      <c r="C1501" s="18" t="s">
        <v>466</v>
      </c>
      <c r="D1501" s="18" t="s">
        <v>467</v>
      </c>
      <c r="E1501" s="18" t="s">
        <v>2072</v>
      </c>
      <c r="F1501" s="18">
        <v>703</v>
      </c>
      <c r="G1501" s="18">
        <v>192</v>
      </c>
      <c r="H1501" s="18">
        <v>37</v>
      </c>
      <c r="I1501" s="18">
        <v>474</v>
      </c>
    </row>
    <row r="1502" spans="1:9" x14ac:dyDescent="0.3">
      <c r="A1502" t="s">
        <v>1171</v>
      </c>
      <c r="B1502" s="18" t="s">
        <v>453</v>
      </c>
      <c r="C1502" s="18" t="s">
        <v>466</v>
      </c>
      <c r="D1502" s="18" t="s">
        <v>466</v>
      </c>
      <c r="E1502" s="18" t="s">
        <v>2072</v>
      </c>
      <c r="F1502" s="18">
        <v>8383</v>
      </c>
      <c r="G1502" s="18">
        <v>3450</v>
      </c>
      <c r="H1502" s="18">
        <v>469</v>
      </c>
      <c r="I1502" s="18">
        <v>4464</v>
      </c>
    </row>
    <row r="1503" spans="1:9" x14ac:dyDescent="0.3">
      <c r="A1503" t="s">
        <v>1420</v>
      </c>
      <c r="B1503" s="18" t="s">
        <v>453</v>
      </c>
      <c r="C1503" s="18" t="s">
        <v>466</v>
      </c>
      <c r="D1503" s="18" t="s">
        <v>160</v>
      </c>
      <c r="E1503" s="18" t="s">
        <v>2072</v>
      </c>
      <c r="F1503" s="18">
        <v>4013</v>
      </c>
      <c r="G1503" s="18">
        <v>1232</v>
      </c>
      <c r="H1503" s="18">
        <v>336</v>
      </c>
      <c r="I1503" s="18">
        <v>2445</v>
      </c>
    </row>
    <row r="1504" spans="1:9" x14ac:dyDescent="0.3">
      <c r="A1504" t="s">
        <v>1392</v>
      </c>
      <c r="B1504" s="18" t="s">
        <v>453</v>
      </c>
      <c r="C1504" s="18" t="s">
        <v>466</v>
      </c>
      <c r="D1504" s="18" t="s">
        <v>468</v>
      </c>
      <c r="E1504" s="18" t="s">
        <v>2072</v>
      </c>
      <c r="F1504" s="18">
        <v>2118</v>
      </c>
      <c r="G1504" s="18">
        <v>539</v>
      </c>
      <c r="H1504" s="18">
        <v>286</v>
      </c>
      <c r="I1504" s="18">
        <v>1293</v>
      </c>
    </row>
    <row r="1505" spans="1:9" x14ac:dyDescent="0.3">
      <c r="A1505" t="s">
        <v>1637</v>
      </c>
      <c r="B1505" s="18" t="s">
        <v>453</v>
      </c>
      <c r="C1505" s="18" t="s">
        <v>466</v>
      </c>
      <c r="D1505" s="18" t="s">
        <v>469</v>
      </c>
      <c r="E1505" s="18" t="s">
        <v>2072</v>
      </c>
      <c r="F1505" s="18">
        <v>660</v>
      </c>
      <c r="G1505" s="18">
        <v>188</v>
      </c>
      <c r="H1505" s="18">
        <v>21</v>
      </c>
      <c r="I1505" s="18">
        <v>451</v>
      </c>
    </row>
    <row r="1506" spans="1:9" x14ac:dyDescent="0.3">
      <c r="A1506" t="s">
        <v>1638</v>
      </c>
      <c r="B1506" s="18" t="s">
        <v>453</v>
      </c>
      <c r="C1506" s="18" t="s">
        <v>466</v>
      </c>
      <c r="D1506" s="18" t="s">
        <v>470</v>
      </c>
      <c r="E1506" s="18" t="s">
        <v>2072</v>
      </c>
      <c r="F1506" s="18">
        <v>121</v>
      </c>
      <c r="G1506" s="18">
        <v>31</v>
      </c>
      <c r="H1506" s="18">
        <v>3</v>
      </c>
      <c r="I1506" s="18">
        <v>87</v>
      </c>
    </row>
    <row r="1507" spans="1:9" x14ac:dyDescent="0.3">
      <c r="A1507" t="s">
        <v>1093</v>
      </c>
      <c r="B1507" s="18" t="s">
        <v>453</v>
      </c>
      <c r="C1507" s="18" t="s">
        <v>466</v>
      </c>
      <c r="D1507" s="18" t="s">
        <v>471</v>
      </c>
      <c r="E1507" s="18" t="s">
        <v>2072</v>
      </c>
      <c r="F1507" s="18">
        <v>3239</v>
      </c>
      <c r="G1507" s="18">
        <v>1264</v>
      </c>
      <c r="H1507" s="18">
        <v>131</v>
      </c>
      <c r="I1507" s="18">
        <v>1844</v>
      </c>
    </row>
    <row r="1508" spans="1:9" x14ac:dyDescent="0.3">
      <c r="A1508" t="s">
        <v>1639</v>
      </c>
      <c r="B1508" s="18" t="s">
        <v>453</v>
      </c>
      <c r="C1508" s="18" t="s">
        <v>466</v>
      </c>
      <c r="D1508" s="18" t="s">
        <v>472</v>
      </c>
      <c r="E1508" s="18" t="s">
        <v>2072</v>
      </c>
      <c r="F1508" s="18">
        <v>599</v>
      </c>
      <c r="G1508" s="18">
        <v>156</v>
      </c>
      <c r="H1508" s="18">
        <v>19</v>
      </c>
      <c r="I1508" s="18">
        <v>424</v>
      </c>
    </row>
    <row r="1509" spans="1:9" x14ac:dyDescent="0.3">
      <c r="A1509" t="s">
        <v>1988</v>
      </c>
      <c r="B1509" s="18" t="s">
        <v>453</v>
      </c>
      <c r="C1509" s="18" t="s">
        <v>466</v>
      </c>
      <c r="D1509" s="18" t="s">
        <v>473</v>
      </c>
      <c r="E1509" s="18" t="s">
        <v>2072</v>
      </c>
      <c r="F1509" s="18">
        <v>207</v>
      </c>
      <c r="G1509" s="18">
        <v>63</v>
      </c>
      <c r="H1509" s="18">
        <v>9</v>
      </c>
      <c r="I1509" s="18">
        <v>135</v>
      </c>
    </row>
    <row r="1510" spans="1:9" x14ac:dyDescent="0.3">
      <c r="A1510" t="s">
        <v>1107</v>
      </c>
      <c r="B1510" s="18" t="s">
        <v>453</v>
      </c>
      <c r="C1510" s="18" t="s">
        <v>454</v>
      </c>
      <c r="D1510" s="18" t="s">
        <v>456</v>
      </c>
      <c r="E1510" s="18" t="s">
        <v>2072</v>
      </c>
      <c r="F1510" s="18">
        <v>2530</v>
      </c>
      <c r="G1510" s="18">
        <v>1021</v>
      </c>
      <c r="H1510" s="18">
        <v>330</v>
      </c>
      <c r="I1510" s="18">
        <v>1179</v>
      </c>
    </row>
    <row r="1511" spans="1:9" x14ac:dyDescent="0.3">
      <c r="A1511" t="s">
        <v>1633</v>
      </c>
      <c r="B1511" s="18" t="s">
        <v>453</v>
      </c>
      <c r="C1511" s="18" t="s">
        <v>454</v>
      </c>
      <c r="D1511" s="18" t="s">
        <v>457</v>
      </c>
      <c r="E1511" s="18" t="s">
        <v>2072</v>
      </c>
      <c r="F1511" s="18">
        <v>1525</v>
      </c>
      <c r="G1511" s="18">
        <v>400</v>
      </c>
      <c r="H1511" s="18">
        <v>67</v>
      </c>
      <c r="I1511" s="18">
        <v>1058</v>
      </c>
    </row>
    <row r="1512" spans="1:9" x14ac:dyDescent="0.3">
      <c r="A1512" t="s">
        <v>1634</v>
      </c>
      <c r="B1512" s="18" t="s">
        <v>453</v>
      </c>
      <c r="C1512" s="18" t="s">
        <v>454</v>
      </c>
      <c r="D1512" s="18" t="s">
        <v>458</v>
      </c>
      <c r="E1512" s="18" t="s">
        <v>2072</v>
      </c>
      <c r="F1512" s="18">
        <v>1188</v>
      </c>
      <c r="G1512" s="18">
        <v>300</v>
      </c>
      <c r="H1512" s="18">
        <v>133</v>
      </c>
      <c r="I1512" s="18">
        <v>755</v>
      </c>
    </row>
    <row r="1513" spans="1:9" x14ac:dyDescent="0.3">
      <c r="A1513" t="s">
        <v>1312</v>
      </c>
      <c r="B1513" s="18" t="s">
        <v>453</v>
      </c>
      <c r="C1513" s="18" t="s">
        <v>454</v>
      </c>
      <c r="D1513" s="18" t="s">
        <v>459</v>
      </c>
      <c r="E1513" s="18" t="s">
        <v>2072</v>
      </c>
      <c r="F1513" s="18">
        <v>3485</v>
      </c>
      <c r="G1513" s="18">
        <v>908</v>
      </c>
      <c r="H1513" s="18">
        <v>341</v>
      </c>
      <c r="I1513" s="18">
        <v>2236</v>
      </c>
    </row>
    <row r="1514" spans="1:9" x14ac:dyDescent="0.3">
      <c r="A1514" t="s">
        <v>1635</v>
      </c>
      <c r="B1514" s="18" t="s">
        <v>453</v>
      </c>
      <c r="C1514" s="18" t="s">
        <v>454</v>
      </c>
      <c r="D1514" s="18" t="s">
        <v>460</v>
      </c>
      <c r="E1514" s="18" t="s">
        <v>2072</v>
      </c>
      <c r="F1514" s="18">
        <v>1296</v>
      </c>
      <c r="G1514" s="18">
        <v>360</v>
      </c>
      <c r="H1514" s="18">
        <v>40</v>
      </c>
      <c r="I1514" s="18">
        <v>896</v>
      </c>
    </row>
    <row r="1515" spans="1:9" x14ac:dyDescent="0.3">
      <c r="A1515" t="s">
        <v>1124</v>
      </c>
      <c r="B1515" s="18" t="s">
        <v>453</v>
      </c>
      <c r="C1515" s="18" t="s">
        <v>454</v>
      </c>
      <c r="D1515" s="18" t="s">
        <v>94</v>
      </c>
      <c r="E1515" s="18" t="s">
        <v>2072</v>
      </c>
      <c r="F1515" s="18">
        <v>918</v>
      </c>
      <c r="G1515" s="18">
        <v>381</v>
      </c>
      <c r="H1515" s="18">
        <v>192</v>
      </c>
      <c r="I1515" s="18">
        <v>345</v>
      </c>
    </row>
    <row r="1516" spans="1:9" x14ac:dyDescent="0.3">
      <c r="A1516" t="s">
        <v>1086</v>
      </c>
      <c r="B1516" s="18" t="s">
        <v>453</v>
      </c>
      <c r="C1516" s="18" t="s">
        <v>454</v>
      </c>
      <c r="D1516" s="18" t="s">
        <v>138</v>
      </c>
      <c r="E1516" s="18" t="s">
        <v>2072</v>
      </c>
      <c r="F1516" s="18">
        <v>8646</v>
      </c>
      <c r="G1516" s="18">
        <v>4037</v>
      </c>
      <c r="H1516" s="18">
        <v>660</v>
      </c>
      <c r="I1516" s="18">
        <v>3949</v>
      </c>
    </row>
    <row r="1517" spans="1:9" x14ac:dyDescent="0.3">
      <c r="A1517" t="s">
        <v>1352</v>
      </c>
      <c r="B1517" s="18" t="s">
        <v>453</v>
      </c>
      <c r="C1517" s="18" t="s">
        <v>454</v>
      </c>
      <c r="D1517" s="18" t="s">
        <v>455</v>
      </c>
      <c r="E1517" s="18" t="s">
        <v>2072</v>
      </c>
      <c r="F1517" s="18">
        <v>70048</v>
      </c>
      <c r="G1517" s="18">
        <v>35542</v>
      </c>
      <c r="H1517" s="18">
        <v>5330</v>
      </c>
      <c r="I1517" s="18">
        <v>29176</v>
      </c>
    </row>
    <row r="1518" spans="1:9" x14ac:dyDescent="0.3">
      <c r="A1518" t="s">
        <v>1113</v>
      </c>
      <c r="B1518" s="18" t="s">
        <v>453</v>
      </c>
      <c r="C1518" s="18" t="s">
        <v>474</v>
      </c>
      <c r="D1518" s="18" t="s">
        <v>475</v>
      </c>
      <c r="E1518" s="18" t="s">
        <v>2072</v>
      </c>
      <c r="F1518" s="18">
        <v>2677</v>
      </c>
      <c r="G1518" s="18">
        <v>1065</v>
      </c>
      <c r="H1518" s="18">
        <v>180</v>
      </c>
      <c r="I1518" s="18">
        <v>1432</v>
      </c>
    </row>
    <row r="1519" spans="1:9" x14ac:dyDescent="0.3">
      <c r="A1519" t="s">
        <v>1192</v>
      </c>
      <c r="B1519" s="18" t="s">
        <v>453</v>
      </c>
      <c r="C1519" s="18" t="s">
        <v>474</v>
      </c>
      <c r="D1519" s="18" t="s">
        <v>476</v>
      </c>
      <c r="E1519" s="18" t="s">
        <v>2072</v>
      </c>
      <c r="F1519" s="18">
        <v>3433</v>
      </c>
      <c r="G1519" s="18">
        <v>1367</v>
      </c>
      <c r="H1519" s="18">
        <v>166</v>
      </c>
      <c r="I1519" s="18">
        <v>1900</v>
      </c>
    </row>
    <row r="1520" spans="1:9" x14ac:dyDescent="0.3">
      <c r="A1520" t="s">
        <v>1640</v>
      </c>
      <c r="B1520" s="18" t="s">
        <v>453</v>
      </c>
      <c r="C1520" s="18" t="s">
        <v>474</v>
      </c>
      <c r="D1520" s="18" t="s">
        <v>477</v>
      </c>
      <c r="E1520" s="18" t="s">
        <v>2072</v>
      </c>
      <c r="F1520" s="18">
        <v>2963</v>
      </c>
      <c r="G1520" s="18">
        <v>1469</v>
      </c>
      <c r="H1520" s="18">
        <v>184</v>
      </c>
      <c r="I1520" s="18">
        <v>1310</v>
      </c>
    </row>
    <row r="1521" spans="1:9" x14ac:dyDescent="0.3">
      <c r="A1521" t="s">
        <v>1258</v>
      </c>
      <c r="B1521" s="18" t="s">
        <v>453</v>
      </c>
      <c r="C1521" s="18" t="s">
        <v>474</v>
      </c>
      <c r="D1521" s="18" t="s">
        <v>474</v>
      </c>
      <c r="E1521" s="18" t="s">
        <v>2072</v>
      </c>
      <c r="F1521" s="18">
        <v>22421</v>
      </c>
      <c r="G1521" s="18">
        <v>10310</v>
      </c>
      <c r="H1521" s="18">
        <v>1358</v>
      </c>
      <c r="I1521" s="18">
        <v>10753</v>
      </c>
    </row>
    <row r="1522" spans="1:9" x14ac:dyDescent="0.3">
      <c r="A1522" t="s">
        <v>1989</v>
      </c>
      <c r="B1522" s="18" t="s">
        <v>453</v>
      </c>
      <c r="C1522" s="18" t="s">
        <v>474</v>
      </c>
      <c r="D1522" s="18" t="s">
        <v>478</v>
      </c>
      <c r="E1522" s="18" t="s">
        <v>2072</v>
      </c>
      <c r="F1522" s="18">
        <v>94</v>
      </c>
      <c r="G1522" s="18">
        <v>28</v>
      </c>
      <c r="H1522" s="18">
        <v>2</v>
      </c>
      <c r="I1522" s="18">
        <v>64</v>
      </c>
    </row>
    <row r="1523" spans="1:9" x14ac:dyDescent="0.3">
      <c r="A1523" t="s">
        <v>1142</v>
      </c>
      <c r="B1523" s="18" t="s">
        <v>453</v>
      </c>
      <c r="C1523" s="18" t="s">
        <v>474</v>
      </c>
      <c r="D1523" s="18" t="s">
        <v>479</v>
      </c>
      <c r="E1523" s="18" t="s">
        <v>2072</v>
      </c>
      <c r="F1523" s="18">
        <v>3224</v>
      </c>
      <c r="G1523" s="18">
        <v>874</v>
      </c>
      <c r="H1523" s="18">
        <v>163</v>
      </c>
      <c r="I1523" s="18">
        <v>2187</v>
      </c>
    </row>
    <row r="1524" spans="1:9" x14ac:dyDescent="0.3">
      <c r="A1524" t="s">
        <v>1641</v>
      </c>
      <c r="B1524" s="18" t="s">
        <v>453</v>
      </c>
      <c r="C1524" s="18" t="s">
        <v>474</v>
      </c>
      <c r="D1524" s="18" t="s">
        <v>480</v>
      </c>
      <c r="E1524" s="18" t="s">
        <v>2072</v>
      </c>
      <c r="F1524" s="18">
        <v>3567</v>
      </c>
      <c r="G1524" s="18">
        <v>1044</v>
      </c>
      <c r="H1524" s="18">
        <v>224</v>
      </c>
      <c r="I1524" s="18">
        <v>2299</v>
      </c>
    </row>
    <row r="1525" spans="1:9" x14ac:dyDescent="0.3">
      <c r="A1525" t="s">
        <v>1642</v>
      </c>
      <c r="B1525" s="18" t="s">
        <v>453</v>
      </c>
      <c r="C1525" s="18" t="s">
        <v>474</v>
      </c>
      <c r="D1525" s="18" t="s">
        <v>113</v>
      </c>
      <c r="E1525" s="18" t="s">
        <v>2072</v>
      </c>
      <c r="F1525" s="18">
        <v>4377</v>
      </c>
      <c r="G1525" s="18">
        <v>2069</v>
      </c>
      <c r="H1525" s="18">
        <v>222</v>
      </c>
      <c r="I1525" s="18">
        <v>2086</v>
      </c>
    </row>
    <row r="1526" spans="1:9" x14ac:dyDescent="0.3">
      <c r="A1526" t="s">
        <v>1643</v>
      </c>
      <c r="B1526" s="18" t="s">
        <v>453</v>
      </c>
      <c r="C1526" s="18" t="s">
        <v>474</v>
      </c>
      <c r="D1526" s="18" t="s">
        <v>164</v>
      </c>
      <c r="E1526" s="18" t="s">
        <v>2072</v>
      </c>
      <c r="F1526" s="18">
        <v>2087</v>
      </c>
      <c r="G1526" s="18">
        <v>879</v>
      </c>
      <c r="H1526" s="18">
        <v>145</v>
      </c>
      <c r="I1526" s="18">
        <v>1063</v>
      </c>
    </row>
    <row r="1527" spans="1:9" x14ac:dyDescent="0.3">
      <c r="A1527" t="s">
        <v>1644</v>
      </c>
      <c r="B1527" s="18" t="s">
        <v>453</v>
      </c>
      <c r="C1527" s="18" t="s">
        <v>474</v>
      </c>
      <c r="D1527" s="18" t="s">
        <v>359</v>
      </c>
      <c r="E1527" s="18" t="s">
        <v>2072</v>
      </c>
      <c r="F1527" s="18">
        <v>467</v>
      </c>
      <c r="G1527" s="18">
        <v>102</v>
      </c>
      <c r="H1527" s="18">
        <v>11</v>
      </c>
      <c r="I1527" s="18">
        <v>354</v>
      </c>
    </row>
    <row r="1528" spans="1:9" x14ac:dyDescent="0.3">
      <c r="A1528" t="s">
        <v>1990</v>
      </c>
      <c r="B1528" s="18" t="s">
        <v>453</v>
      </c>
      <c r="C1528" s="18" t="s">
        <v>481</v>
      </c>
      <c r="D1528" s="18" t="s">
        <v>482</v>
      </c>
      <c r="E1528" s="18" t="s">
        <v>2072</v>
      </c>
      <c r="F1528" s="18">
        <v>377</v>
      </c>
      <c r="G1528" s="18">
        <v>97</v>
      </c>
      <c r="H1528" s="18">
        <v>3</v>
      </c>
      <c r="I1528" s="18">
        <v>277</v>
      </c>
    </row>
    <row r="1529" spans="1:9" x14ac:dyDescent="0.3">
      <c r="A1529" t="s">
        <v>1645</v>
      </c>
      <c r="B1529" s="18" t="s">
        <v>453</v>
      </c>
      <c r="C1529" s="18" t="s">
        <v>481</v>
      </c>
      <c r="D1529" s="18" t="s">
        <v>483</v>
      </c>
      <c r="E1529" s="18" t="s">
        <v>2072</v>
      </c>
      <c r="F1529" s="18">
        <v>548</v>
      </c>
      <c r="G1529" s="18">
        <v>235</v>
      </c>
      <c r="H1529" s="18">
        <v>6</v>
      </c>
      <c r="I1529" s="18">
        <v>307</v>
      </c>
    </row>
    <row r="1530" spans="1:9" x14ac:dyDescent="0.3">
      <c r="A1530" t="s">
        <v>1326</v>
      </c>
      <c r="B1530" s="18" t="s">
        <v>453</v>
      </c>
      <c r="C1530" s="18" t="s">
        <v>481</v>
      </c>
      <c r="D1530" s="18" t="s">
        <v>481</v>
      </c>
      <c r="E1530" s="18" t="s">
        <v>2072</v>
      </c>
      <c r="F1530" s="18">
        <v>4022</v>
      </c>
      <c r="G1530" s="18">
        <v>1767</v>
      </c>
      <c r="H1530" s="18">
        <v>310</v>
      </c>
      <c r="I1530" s="18">
        <v>1945</v>
      </c>
    </row>
    <row r="1531" spans="1:9" x14ac:dyDescent="0.3">
      <c r="A1531" t="s">
        <v>1646</v>
      </c>
      <c r="B1531" s="18" t="s">
        <v>453</v>
      </c>
      <c r="C1531" s="18" t="s">
        <v>481</v>
      </c>
      <c r="D1531" s="18" t="s">
        <v>484</v>
      </c>
      <c r="E1531" s="18" t="s">
        <v>2072</v>
      </c>
      <c r="F1531" s="18">
        <v>368</v>
      </c>
      <c r="G1531" s="18">
        <v>104</v>
      </c>
      <c r="H1531" s="18">
        <v>7</v>
      </c>
      <c r="I1531" s="18">
        <v>257</v>
      </c>
    </row>
    <row r="1532" spans="1:9" x14ac:dyDescent="0.3">
      <c r="A1532" t="s">
        <v>1647</v>
      </c>
      <c r="B1532" s="18" t="s">
        <v>453</v>
      </c>
      <c r="C1532" s="18" t="s">
        <v>485</v>
      </c>
      <c r="D1532" s="18" t="s">
        <v>487</v>
      </c>
      <c r="E1532" s="18" t="s">
        <v>2072</v>
      </c>
      <c r="F1532" s="18">
        <v>689</v>
      </c>
      <c r="G1532" s="18">
        <v>257</v>
      </c>
      <c r="H1532" s="18">
        <v>40</v>
      </c>
      <c r="I1532" s="18">
        <v>392</v>
      </c>
    </row>
    <row r="1533" spans="1:9" x14ac:dyDescent="0.3">
      <c r="A1533" t="s">
        <v>1648</v>
      </c>
      <c r="B1533" s="18" t="s">
        <v>453</v>
      </c>
      <c r="C1533" s="18" t="s">
        <v>485</v>
      </c>
      <c r="D1533" s="18" t="s">
        <v>488</v>
      </c>
      <c r="E1533" s="18" t="s">
        <v>2072</v>
      </c>
      <c r="F1533" s="18">
        <v>660</v>
      </c>
      <c r="G1533" s="18">
        <v>208</v>
      </c>
      <c r="H1533" s="18">
        <v>50</v>
      </c>
      <c r="I1533" s="18">
        <v>402</v>
      </c>
    </row>
    <row r="1534" spans="1:9" x14ac:dyDescent="0.3">
      <c r="A1534" t="s">
        <v>1649</v>
      </c>
      <c r="B1534" s="18" t="s">
        <v>453</v>
      </c>
      <c r="C1534" s="18" t="s">
        <v>485</v>
      </c>
      <c r="D1534" s="18" t="s">
        <v>489</v>
      </c>
      <c r="E1534" s="18" t="s">
        <v>2072</v>
      </c>
      <c r="F1534" s="18">
        <v>907</v>
      </c>
      <c r="G1534" s="18">
        <v>349</v>
      </c>
      <c r="H1534" s="18">
        <v>41</v>
      </c>
      <c r="I1534" s="18">
        <v>517</v>
      </c>
    </row>
    <row r="1535" spans="1:9" x14ac:dyDescent="0.3">
      <c r="A1535" t="s">
        <v>1650</v>
      </c>
      <c r="B1535" s="18" t="s">
        <v>453</v>
      </c>
      <c r="C1535" s="18" t="s">
        <v>485</v>
      </c>
      <c r="D1535" s="18" t="s">
        <v>490</v>
      </c>
      <c r="E1535" s="18" t="s">
        <v>2072</v>
      </c>
      <c r="F1535" s="18">
        <v>1354</v>
      </c>
      <c r="G1535" s="18">
        <v>584</v>
      </c>
      <c r="H1535" s="18">
        <v>45</v>
      </c>
      <c r="I1535" s="18">
        <v>725</v>
      </c>
    </row>
    <row r="1536" spans="1:9" x14ac:dyDescent="0.3">
      <c r="A1536" t="s">
        <v>1651</v>
      </c>
      <c r="B1536" s="18" t="s">
        <v>453</v>
      </c>
      <c r="C1536" s="18" t="s">
        <v>485</v>
      </c>
      <c r="D1536" s="18" t="s">
        <v>491</v>
      </c>
      <c r="E1536" s="18" t="s">
        <v>2072</v>
      </c>
      <c r="F1536" s="18">
        <v>688</v>
      </c>
      <c r="G1536" s="18">
        <v>327</v>
      </c>
      <c r="H1536" s="18">
        <v>24</v>
      </c>
      <c r="I1536" s="18">
        <v>337</v>
      </c>
    </row>
    <row r="1537" spans="1:9" x14ac:dyDescent="0.3">
      <c r="A1537" t="s">
        <v>1335</v>
      </c>
      <c r="B1537" s="18" t="s">
        <v>453</v>
      </c>
      <c r="C1537" s="18" t="s">
        <v>485</v>
      </c>
      <c r="D1537" s="18" t="s">
        <v>486</v>
      </c>
      <c r="E1537" s="18" t="s">
        <v>2072</v>
      </c>
      <c r="F1537" s="18">
        <v>2560</v>
      </c>
      <c r="G1537" s="18">
        <v>1093</v>
      </c>
      <c r="H1537" s="18">
        <v>220</v>
      </c>
      <c r="I1537" s="18">
        <v>1247</v>
      </c>
    </row>
    <row r="1538" spans="1:9" x14ac:dyDescent="0.3">
      <c r="A1538" t="s">
        <v>1441</v>
      </c>
      <c r="B1538" s="18" t="s">
        <v>492</v>
      </c>
      <c r="C1538" s="18" t="s">
        <v>505</v>
      </c>
      <c r="D1538" s="18" t="s">
        <v>506</v>
      </c>
      <c r="E1538" s="18" t="s">
        <v>2072</v>
      </c>
      <c r="F1538" s="18">
        <v>7823</v>
      </c>
      <c r="G1538" s="18">
        <v>2974</v>
      </c>
      <c r="H1538" s="18">
        <v>392</v>
      </c>
      <c r="I1538" s="18">
        <v>4457</v>
      </c>
    </row>
    <row r="1539" spans="1:9" x14ac:dyDescent="0.3">
      <c r="A1539" t="s">
        <v>1659</v>
      </c>
      <c r="B1539" s="18" t="s">
        <v>492</v>
      </c>
      <c r="C1539" s="18" t="s">
        <v>505</v>
      </c>
      <c r="D1539" s="18" t="s">
        <v>507</v>
      </c>
      <c r="E1539" s="18" t="s">
        <v>2072</v>
      </c>
      <c r="F1539" s="18">
        <v>536</v>
      </c>
      <c r="G1539" s="18">
        <v>92</v>
      </c>
      <c r="H1539" s="18">
        <v>5</v>
      </c>
      <c r="I1539" s="18">
        <v>439</v>
      </c>
    </row>
    <row r="1540" spans="1:9" x14ac:dyDescent="0.3">
      <c r="A1540" t="s">
        <v>1660</v>
      </c>
      <c r="B1540" s="18" t="s">
        <v>492</v>
      </c>
      <c r="C1540" s="18" t="s">
        <v>505</v>
      </c>
      <c r="D1540" s="18" t="s">
        <v>508</v>
      </c>
      <c r="E1540" s="18" t="s">
        <v>2072</v>
      </c>
      <c r="F1540" s="18">
        <v>1000</v>
      </c>
      <c r="G1540" s="18">
        <v>224</v>
      </c>
      <c r="H1540" s="18">
        <v>40</v>
      </c>
      <c r="I1540" s="18">
        <v>736</v>
      </c>
    </row>
    <row r="1541" spans="1:9" x14ac:dyDescent="0.3">
      <c r="A1541" t="s">
        <v>1661</v>
      </c>
      <c r="B1541" s="18" t="s">
        <v>492</v>
      </c>
      <c r="C1541" s="18" t="s">
        <v>505</v>
      </c>
      <c r="D1541" s="18" t="s">
        <v>510</v>
      </c>
      <c r="E1541" s="18" t="s">
        <v>2072</v>
      </c>
      <c r="F1541" s="18">
        <v>527</v>
      </c>
      <c r="G1541" s="18">
        <v>101</v>
      </c>
      <c r="H1541" s="18">
        <v>14</v>
      </c>
      <c r="I1541" s="18">
        <v>412</v>
      </c>
    </row>
    <row r="1542" spans="1:9" x14ac:dyDescent="0.3">
      <c r="A1542" t="s">
        <v>1993</v>
      </c>
      <c r="B1542" s="18" t="s">
        <v>492</v>
      </c>
      <c r="C1542" s="18" t="s">
        <v>505</v>
      </c>
      <c r="D1542" s="18" t="s">
        <v>509</v>
      </c>
      <c r="E1542" s="18" t="s">
        <v>2072</v>
      </c>
      <c r="F1542" s="18">
        <v>369</v>
      </c>
      <c r="G1542" s="18">
        <v>76</v>
      </c>
      <c r="H1542" s="18">
        <v>13</v>
      </c>
      <c r="I1542" s="18">
        <v>280</v>
      </c>
    </row>
    <row r="1543" spans="1:9" x14ac:dyDescent="0.3">
      <c r="A1543" t="s">
        <v>1154</v>
      </c>
      <c r="B1543" s="18" t="s">
        <v>492</v>
      </c>
      <c r="C1543" s="18" t="s">
        <v>511</v>
      </c>
      <c r="D1543" s="18" t="s">
        <v>511</v>
      </c>
      <c r="E1543" s="18" t="s">
        <v>2072</v>
      </c>
      <c r="F1543" s="18">
        <v>10937</v>
      </c>
      <c r="G1543" s="18">
        <v>4503</v>
      </c>
      <c r="H1543" s="18">
        <v>978</v>
      </c>
      <c r="I1543" s="18">
        <v>5456</v>
      </c>
    </row>
    <row r="1544" spans="1:9" x14ac:dyDescent="0.3">
      <c r="A1544" t="s">
        <v>1662</v>
      </c>
      <c r="B1544" s="18" t="s">
        <v>492</v>
      </c>
      <c r="C1544" s="18" t="s">
        <v>511</v>
      </c>
      <c r="D1544" s="18" t="s">
        <v>145</v>
      </c>
      <c r="E1544" s="18" t="s">
        <v>2072</v>
      </c>
      <c r="F1544" s="18">
        <v>1737</v>
      </c>
      <c r="G1544" s="18">
        <v>528</v>
      </c>
      <c r="H1544" s="18">
        <v>79</v>
      </c>
      <c r="I1544" s="18">
        <v>1130</v>
      </c>
    </row>
    <row r="1545" spans="1:9" x14ac:dyDescent="0.3">
      <c r="A1545" t="s">
        <v>1994</v>
      </c>
      <c r="B1545" s="18" t="s">
        <v>492</v>
      </c>
      <c r="C1545" s="18" t="s">
        <v>511</v>
      </c>
      <c r="D1545" s="18" t="s">
        <v>512</v>
      </c>
      <c r="E1545" s="18" t="s">
        <v>2072</v>
      </c>
      <c r="F1545" s="18">
        <v>115</v>
      </c>
      <c r="G1545" s="18">
        <v>42</v>
      </c>
      <c r="H1545" s="18">
        <v>4</v>
      </c>
      <c r="I1545" s="18">
        <v>69</v>
      </c>
    </row>
    <row r="1546" spans="1:9" x14ac:dyDescent="0.3">
      <c r="A1546" t="s">
        <v>1663</v>
      </c>
      <c r="B1546" s="18" t="s">
        <v>492</v>
      </c>
      <c r="C1546" s="18" t="s">
        <v>511</v>
      </c>
      <c r="D1546" s="18" t="s">
        <v>513</v>
      </c>
      <c r="E1546" s="18" t="s">
        <v>2072</v>
      </c>
      <c r="F1546" s="18">
        <v>799</v>
      </c>
      <c r="G1546" s="18">
        <v>322</v>
      </c>
      <c r="H1546" s="18">
        <v>55</v>
      </c>
      <c r="I1546" s="18">
        <v>422</v>
      </c>
    </row>
    <row r="1547" spans="1:9" x14ac:dyDescent="0.3">
      <c r="A1547" t="s">
        <v>1664</v>
      </c>
      <c r="B1547" s="18" t="s">
        <v>492</v>
      </c>
      <c r="C1547" s="18" t="s">
        <v>511</v>
      </c>
      <c r="D1547" s="18" t="s">
        <v>514</v>
      </c>
      <c r="E1547" s="18" t="s">
        <v>2072</v>
      </c>
      <c r="F1547" s="18">
        <v>179</v>
      </c>
      <c r="G1547" s="18">
        <v>40</v>
      </c>
      <c r="H1547" s="18">
        <v>6</v>
      </c>
      <c r="I1547" s="18">
        <v>133</v>
      </c>
    </row>
    <row r="1548" spans="1:9" x14ac:dyDescent="0.3">
      <c r="A1548" t="s">
        <v>1400</v>
      </c>
      <c r="B1548" s="18" t="s">
        <v>492</v>
      </c>
      <c r="C1548" s="18" t="s">
        <v>515</v>
      </c>
      <c r="D1548" s="18" t="s">
        <v>515</v>
      </c>
      <c r="E1548" s="18" t="s">
        <v>2072</v>
      </c>
      <c r="F1548" s="18">
        <v>2521</v>
      </c>
      <c r="G1548" s="18">
        <v>893</v>
      </c>
      <c r="H1548" s="18">
        <v>100</v>
      </c>
      <c r="I1548" s="18">
        <v>1528</v>
      </c>
    </row>
    <row r="1549" spans="1:9" x14ac:dyDescent="0.3">
      <c r="A1549" t="s">
        <v>1665</v>
      </c>
      <c r="B1549" s="18" t="s">
        <v>492</v>
      </c>
      <c r="C1549" s="18" t="s">
        <v>515</v>
      </c>
      <c r="D1549" s="18" t="s">
        <v>516</v>
      </c>
      <c r="E1549" s="18" t="s">
        <v>2072</v>
      </c>
      <c r="F1549" s="18">
        <v>415</v>
      </c>
      <c r="G1549" s="18">
        <v>99</v>
      </c>
      <c r="H1549" s="18">
        <v>13</v>
      </c>
      <c r="I1549" s="18">
        <v>303</v>
      </c>
    </row>
    <row r="1550" spans="1:9" x14ac:dyDescent="0.3">
      <c r="A1550" t="s">
        <v>1666</v>
      </c>
      <c r="B1550" s="18" t="s">
        <v>492</v>
      </c>
      <c r="C1550" s="18" t="s">
        <v>515</v>
      </c>
      <c r="D1550" s="18" t="s">
        <v>517</v>
      </c>
      <c r="E1550" s="18" t="s">
        <v>2072</v>
      </c>
      <c r="F1550" s="18">
        <v>1298</v>
      </c>
      <c r="G1550" s="18">
        <v>349</v>
      </c>
      <c r="H1550" s="18">
        <v>32</v>
      </c>
      <c r="I1550" s="18">
        <v>917</v>
      </c>
    </row>
    <row r="1551" spans="1:9" x14ac:dyDescent="0.3">
      <c r="A1551" t="s">
        <v>1667</v>
      </c>
      <c r="B1551" s="18" t="s">
        <v>492</v>
      </c>
      <c r="C1551" s="18" t="s">
        <v>515</v>
      </c>
      <c r="D1551" s="18" t="s">
        <v>431</v>
      </c>
      <c r="E1551" s="18" t="s">
        <v>2072</v>
      </c>
      <c r="F1551" s="18">
        <v>883</v>
      </c>
      <c r="G1551" s="18">
        <v>182</v>
      </c>
      <c r="H1551" s="18">
        <v>27</v>
      </c>
      <c r="I1551" s="18">
        <v>674</v>
      </c>
    </row>
    <row r="1552" spans="1:9" x14ac:dyDescent="0.3">
      <c r="A1552" t="s">
        <v>1668</v>
      </c>
      <c r="B1552" s="18" t="s">
        <v>492</v>
      </c>
      <c r="C1552" s="18" t="s">
        <v>515</v>
      </c>
      <c r="D1552" s="18" t="s">
        <v>518</v>
      </c>
      <c r="E1552" s="18" t="s">
        <v>2072</v>
      </c>
      <c r="F1552" s="18">
        <v>214</v>
      </c>
      <c r="G1552" s="18">
        <v>36</v>
      </c>
      <c r="H1552" s="18">
        <v>4</v>
      </c>
      <c r="I1552" s="18">
        <v>174</v>
      </c>
    </row>
    <row r="1553" spans="1:9" x14ac:dyDescent="0.3">
      <c r="A1553" t="s">
        <v>1998</v>
      </c>
      <c r="B1553" s="18" t="s">
        <v>492</v>
      </c>
      <c r="C1553" s="18" t="s">
        <v>519</v>
      </c>
      <c r="D1553" s="18" t="s">
        <v>521</v>
      </c>
      <c r="E1553" s="18" t="s">
        <v>2072</v>
      </c>
      <c r="F1553" s="18">
        <v>231</v>
      </c>
      <c r="G1553" s="18">
        <v>54</v>
      </c>
      <c r="H1553" s="18">
        <v>6</v>
      </c>
      <c r="I1553" s="18">
        <v>171</v>
      </c>
    </row>
    <row r="1554" spans="1:9" x14ac:dyDescent="0.3">
      <c r="A1554" t="s">
        <v>1995</v>
      </c>
      <c r="B1554" s="18" t="s">
        <v>492</v>
      </c>
      <c r="C1554" s="18" t="s">
        <v>519</v>
      </c>
      <c r="D1554" s="18" t="s">
        <v>306</v>
      </c>
      <c r="E1554" s="18" t="s">
        <v>2072</v>
      </c>
      <c r="F1554" s="18">
        <v>465</v>
      </c>
      <c r="G1554" s="18">
        <v>124</v>
      </c>
      <c r="H1554" s="18">
        <v>10</v>
      </c>
      <c r="I1554" s="18">
        <v>331</v>
      </c>
    </row>
    <row r="1555" spans="1:9" x14ac:dyDescent="0.3">
      <c r="A1555" t="s">
        <v>1669</v>
      </c>
      <c r="B1555" s="18" t="s">
        <v>492</v>
      </c>
      <c r="C1555" s="18" t="s">
        <v>519</v>
      </c>
      <c r="D1555" s="18" t="s">
        <v>519</v>
      </c>
      <c r="E1555" s="18" t="s">
        <v>2072</v>
      </c>
      <c r="F1555" s="18">
        <v>1369</v>
      </c>
      <c r="G1555" s="18">
        <v>492</v>
      </c>
      <c r="H1555" s="18">
        <v>37</v>
      </c>
      <c r="I1555" s="18">
        <v>840</v>
      </c>
    </row>
    <row r="1556" spans="1:9" x14ac:dyDescent="0.3">
      <c r="A1556" t="s">
        <v>1996</v>
      </c>
      <c r="B1556" s="18" t="s">
        <v>492</v>
      </c>
      <c r="C1556" s="18" t="s">
        <v>519</v>
      </c>
      <c r="D1556" s="18" t="s">
        <v>418</v>
      </c>
      <c r="E1556" s="18" t="s">
        <v>2072</v>
      </c>
      <c r="F1556" s="18">
        <v>167</v>
      </c>
      <c r="G1556" s="18">
        <v>66</v>
      </c>
      <c r="H1556" s="18">
        <v>8</v>
      </c>
      <c r="I1556" s="18">
        <v>93</v>
      </c>
    </row>
    <row r="1557" spans="1:9" x14ac:dyDescent="0.3">
      <c r="A1557" t="s">
        <v>1997</v>
      </c>
      <c r="B1557" s="18" t="s">
        <v>492</v>
      </c>
      <c r="C1557" s="18" t="s">
        <v>519</v>
      </c>
      <c r="D1557" s="18" t="s">
        <v>520</v>
      </c>
      <c r="E1557" s="18" t="s">
        <v>2072</v>
      </c>
      <c r="F1557" s="18">
        <v>450</v>
      </c>
      <c r="G1557" s="18">
        <v>88</v>
      </c>
      <c r="H1557" s="18">
        <v>10</v>
      </c>
      <c r="I1557" s="18">
        <v>352</v>
      </c>
    </row>
    <row r="1558" spans="1:9" x14ac:dyDescent="0.3">
      <c r="A1558" t="s">
        <v>1674</v>
      </c>
      <c r="B1558" s="18" t="s">
        <v>492</v>
      </c>
      <c r="C1558" s="18" t="s">
        <v>522</v>
      </c>
      <c r="D1558" s="18" t="s">
        <v>525</v>
      </c>
      <c r="E1558" s="18" t="s">
        <v>2072</v>
      </c>
      <c r="F1558" s="18">
        <v>740</v>
      </c>
      <c r="G1558" s="18">
        <v>218</v>
      </c>
      <c r="H1558" s="18">
        <v>30</v>
      </c>
      <c r="I1558" s="18">
        <v>492</v>
      </c>
    </row>
    <row r="1559" spans="1:9" x14ac:dyDescent="0.3">
      <c r="A1559" t="s">
        <v>1670</v>
      </c>
      <c r="B1559" s="18" t="s">
        <v>492</v>
      </c>
      <c r="C1559" s="18" t="s">
        <v>522</v>
      </c>
      <c r="D1559" s="18" t="s">
        <v>86</v>
      </c>
      <c r="E1559" s="18" t="s">
        <v>2072</v>
      </c>
      <c r="F1559" s="18">
        <v>1655</v>
      </c>
      <c r="G1559" s="18">
        <v>629</v>
      </c>
      <c r="H1559" s="18">
        <v>117</v>
      </c>
      <c r="I1559" s="18">
        <v>909</v>
      </c>
    </row>
    <row r="1560" spans="1:9" x14ac:dyDescent="0.3">
      <c r="A1560" t="s">
        <v>1671</v>
      </c>
      <c r="B1560" s="18" t="s">
        <v>492</v>
      </c>
      <c r="C1560" s="18" t="s">
        <v>522</v>
      </c>
      <c r="D1560" s="18" t="s">
        <v>324</v>
      </c>
      <c r="E1560" s="18" t="s">
        <v>2072</v>
      </c>
      <c r="F1560" s="18">
        <v>767</v>
      </c>
      <c r="G1560" s="18">
        <v>126</v>
      </c>
      <c r="H1560" s="18">
        <v>27</v>
      </c>
      <c r="I1560" s="18">
        <v>614</v>
      </c>
    </row>
    <row r="1561" spans="1:9" x14ac:dyDescent="0.3">
      <c r="A1561" t="s">
        <v>1999</v>
      </c>
      <c r="B1561" s="18" t="s">
        <v>492</v>
      </c>
      <c r="C1561" s="18" t="s">
        <v>522</v>
      </c>
      <c r="D1561" s="18" t="s">
        <v>526</v>
      </c>
      <c r="E1561" s="18" t="s">
        <v>2072</v>
      </c>
      <c r="F1561" s="18">
        <v>293</v>
      </c>
      <c r="G1561" s="18">
        <v>57</v>
      </c>
      <c r="H1561" s="18">
        <v>10</v>
      </c>
      <c r="I1561" s="18">
        <v>226</v>
      </c>
    </row>
    <row r="1562" spans="1:9" x14ac:dyDescent="0.3">
      <c r="A1562" t="s">
        <v>1675</v>
      </c>
      <c r="B1562" s="18" t="s">
        <v>492</v>
      </c>
      <c r="C1562" s="18" t="s">
        <v>522</v>
      </c>
      <c r="D1562" s="18" t="s">
        <v>304</v>
      </c>
      <c r="E1562" s="18" t="s">
        <v>2072</v>
      </c>
      <c r="F1562" s="18">
        <v>628</v>
      </c>
      <c r="G1562" s="18">
        <v>171</v>
      </c>
      <c r="H1562" s="18">
        <v>30</v>
      </c>
      <c r="I1562" s="18">
        <v>427</v>
      </c>
    </row>
    <row r="1563" spans="1:9" x14ac:dyDescent="0.3">
      <c r="A1563" t="s">
        <v>1672</v>
      </c>
      <c r="B1563" s="18" t="s">
        <v>492</v>
      </c>
      <c r="C1563" s="18" t="s">
        <v>522</v>
      </c>
      <c r="D1563" s="18" t="s">
        <v>523</v>
      </c>
      <c r="E1563" s="18" t="s">
        <v>2072</v>
      </c>
      <c r="F1563" s="18">
        <v>757</v>
      </c>
      <c r="G1563" s="18">
        <v>135</v>
      </c>
      <c r="H1563" s="18">
        <v>39</v>
      </c>
      <c r="I1563" s="18">
        <v>583</v>
      </c>
    </row>
    <row r="1564" spans="1:9" x14ac:dyDescent="0.3">
      <c r="A1564" t="s">
        <v>1673</v>
      </c>
      <c r="B1564" s="18" t="s">
        <v>492</v>
      </c>
      <c r="C1564" s="18" t="s">
        <v>522</v>
      </c>
      <c r="D1564" s="18" t="s">
        <v>524</v>
      </c>
      <c r="E1564" s="18" t="s">
        <v>2072</v>
      </c>
      <c r="F1564" s="18">
        <v>569</v>
      </c>
      <c r="G1564" s="18">
        <v>99</v>
      </c>
      <c r="H1564" s="18">
        <v>41</v>
      </c>
      <c r="I1564" s="18">
        <v>429</v>
      </c>
    </row>
    <row r="1565" spans="1:9" x14ac:dyDescent="0.3">
      <c r="A1565" t="s">
        <v>1676</v>
      </c>
      <c r="B1565" s="18" t="s">
        <v>492</v>
      </c>
      <c r="C1565" s="18" t="s">
        <v>527</v>
      </c>
      <c r="D1565" s="18" t="s">
        <v>528</v>
      </c>
      <c r="E1565" s="18" t="s">
        <v>2072</v>
      </c>
      <c r="F1565" s="18">
        <v>940</v>
      </c>
      <c r="G1565" s="18">
        <v>302</v>
      </c>
      <c r="H1565" s="18">
        <v>60</v>
      </c>
      <c r="I1565" s="18">
        <v>578</v>
      </c>
    </row>
    <row r="1566" spans="1:9" x14ac:dyDescent="0.3">
      <c r="A1566" t="s">
        <v>1266</v>
      </c>
      <c r="B1566" s="18" t="s">
        <v>492</v>
      </c>
      <c r="C1566" s="18" t="s">
        <v>527</v>
      </c>
      <c r="D1566" s="18" t="s">
        <v>527</v>
      </c>
      <c r="E1566" s="18" t="s">
        <v>2072</v>
      </c>
      <c r="F1566" s="18">
        <v>1170</v>
      </c>
      <c r="G1566" s="18">
        <v>539</v>
      </c>
      <c r="H1566" s="18">
        <v>41</v>
      </c>
      <c r="I1566" s="18">
        <v>590</v>
      </c>
    </row>
    <row r="1567" spans="1:9" x14ac:dyDescent="0.3">
      <c r="A1567" t="s">
        <v>2000</v>
      </c>
      <c r="B1567" s="18" t="s">
        <v>492</v>
      </c>
      <c r="C1567" s="18" t="s">
        <v>527</v>
      </c>
      <c r="D1567" s="18" t="s">
        <v>529</v>
      </c>
      <c r="E1567" s="18" t="s">
        <v>2072</v>
      </c>
      <c r="F1567" s="18">
        <v>1697</v>
      </c>
      <c r="G1567" s="18">
        <v>570</v>
      </c>
      <c r="H1567" s="18">
        <v>68</v>
      </c>
      <c r="I1567" s="18">
        <v>1059</v>
      </c>
    </row>
    <row r="1568" spans="1:9" x14ac:dyDescent="0.3">
      <c r="A1568" t="s">
        <v>1677</v>
      </c>
      <c r="B1568" s="18" t="s">
        <v>492</v>
      </c>
      <c r="C1568" s="18" t="s">
        <v>527</v>
      </c>
      <c r="D1568" s="18" t="s">
        <v>530</v>
      </c>
      <c r="E1568" s="18" t="s">
        <v>2072</v>
      </c>
      <c r="F1568" s="18">
        <v>406</v>
      </c>
      <c r="G1568" s="18">
        <v>136</v>
      </c>
      <c r="H1568" s="18">
        <v>10</v>
      </c>
      <c r="I1568" s="18">
        <v>260</v>
      </c>
    </row>
    <row r="1569" spans="1:9" x14ac:dyDescent="0.3">
      <c r="A1569" t="s">
        <v>1678</v>
      </c>
      <c r="B1569" s="18" t="s">
        <v>492</v>
      </c>
      <c r="C1569" s="18" t="s">
        <v>527</v>
      </c>
      <c r="D1569" s="18" t="s">
        <v>531</v>
      </c>
      <c r="E1569" s="18" t="s">
        <v>2072</v>
      </c>
      <c r="F1569" s="18">
        <v>641</v>
      </c>
      <c r="G1569" s="18">
        <v>167</v>
      </c>
      <c r="H1569" s="18">
        <v>14</v>
      </c>
      <c r="I1569" s="18">
        <v>460</v>
      </c>
    </row>
    <row r="1570" spans="1:9" x14ac:dyDescent="0.3">
      <c r="A1570" t="s">
        <v>1652</v>
      </c>
      <c r="B1570" s="18" t="s">
        <v>492</v>
      </c>
      <c r="C1570" s="18" t="s">
        <v>492</v>
      </c>
      <c r="D1570" s="18" t="s">
        <v>493</v>
      </c>
      <c r="E1570" s="18" t="s">
        <v>2072</v>
      </c>
      <c r="F1570" s="18">
        <v>431</v>
      </c>
      <c r="G1570" s="18">
        <v>140</v>
      </c>
      <c r="H1570" s="18">
        <v>11</v>
      </c>
      <c r="I1570" s="18">
        <v>280</v>
      </c>
    </row>
    <row r="1571" spans="1:9" x14ac:dyDescent="0.3">
      <c r="A1571" t="s">
        <v>1653</v>
      </c>
      <c r="B1571" s="18" t="s">
        <v>492</v>
      </c>
      <c r="C1571" s="18" t="s">
        <v>492</v>
      </c>
      <c r="D1571" s="18" t="s">
        <v>494</v>
      </c>
      <c r="E1571" s="18" t="s">
        <v>2072</v>
      </c>
      <c r="F1571" s="18">
        <v>883</v>
      </c>
      <c r="G1571" s="18">
        <v>363</v>
      </c>
      <c r="H1571" s="18">
        <v>34</v>
      </c>
      <c r="I1571" s="18">
        <v>486</v>
      </c>
    </row>
    <row r="1572" spans="1:9" x14ac:dyDescent="0.3">
      <c r="A1572" t="s">
        <v>1118</v>
      </c>
      <c r="B1572" s="18" t="s">
        <v>492</v>
      </c>
      <c r="C1572" s="18" t="s">
        <v>492</v>
      </c>
      <c r="D1572" s="18" t="s">
        <v>495</v>
      </c>
      <c r="E1572" s="18" t="s">
        <v>2072</v>
      </c>
      <c r="F1572" s="18">
        <v>653</v>
      </c>
      <c r="G1572" s="18">
        <v>192</v>
      </c>
      <c r="H1572" s="18">
        <v>13</v>
      </c>
      <c r="I1572" s="18">
        <v>448</v>
      </c>
    </row>
    <row r="1573" spans="1:9" x14ac:dyDescent="0.3">
      <c r="A1573" t="s">
        <v>1991</v>
      </c>
      <c r="B1573" s="18" t="s">
        <v>492</v>
      </c>
      <c r="C1573" s="18" t="s">
        <v>492</v>
      </c>
      <c r="D1573" s="18" t="s">
        <v>496</v>
      </c>
      <c r="E1573" s="18" t="s">
        <v>2072</v>
      </c>
      <c r="F1573" s="18">
        <v>823</v>
      </c>
      <c r="G1573" s="18">
        <v>243</v>
      </c>
      <c r="H1573" s="18">
        <v>13</v>
      </c>
      <c r="I1573" s="18">
        <v>567</v>
      </c>
    </row>
    <row r="1574" spans="1:9" x14ac:dyDescent="0.3">
      <c r="A1574" t="s">
        <v>1992</v>
      </c>
      <c r="B1574" s="18" t="s">
        <v>492</v>
      </c>
      <c r="C1574" s="18" t="s">
        <v>492</v>
      </c>
      <c r="D1574" s="18" t="s">
        <v>497</v>
      </c>
      <c r="E1574" s="18" t="s">
        <v>2072</v>
      </c>
      <c r="F1574" s="18">
        <v>392</v>
      </c>
      <c r="G1574" s="18">
        <v>117</v>
      </c>
      <c r="H1574" s="18">
        <v>24</v>
      </c>
      <c r="I1574" s="18">
        <v>251</v>
      </c>
    </row>
    <row r="1575" spans="1:9" x14ac:dyDescent="0.3">
      <c r="A1575" t="s">
        <v>1360</v>
      </c>
      <c r="B1575" s="18" t="s">
        <v>492</v>
      </c>
      <c r="C1575" s="18" t="s">
        <v>492</v>
      </c>
      <c r="D1575" s="18" t="s">
        <v>492</v>
      </c>
      <c r="E1575" s="18" t="s">
        <v>2072</v>
      </c>
      <c r="F1575" s="18">
        <v>87183</v>
      </c>
      <c r="G1575" s="18">
        <v>42616</v>
      </c>
      <c r="H1575" s="18">
        <v>7061</v>
      </c>
      <c r="I1575" s="18">
        <v>37506</v>
      </c>
    </row>
    <row r="1576" spans="1:9" x14ac:dyDescent="0.3">
      <c r="A1576" t="s">
        <v>1244</v>
      </c>
      <c r="B1576" s="18" t="s">
        <v>492</v>
      </c>
      <c r="C1576" s="18" t="s">
        <v>492</v>
      </c>
      <c r="D1576" s="18" t="s">
        <v>498</v>
      </c>
      <c r="E1576" s="18" t="s">
        <v>2072</v>
      </c>
      <c r="F1576" s="18">
        <v>3413</v>
      </c>
      <c r="G1576" s="18">
        <v>1374</v>
      </c>
      <c r="H1576" s="18">
        <v>196</v>
      </c>
      <c r="I1576" s="18">
        <v>1843</v>
      </c>
    </row>
    <row r="1577" spans="1:9" x14ac:dyDescent="0.3">
      <c r="A1577" t="s">
        <v>1658</v>
      </c>
      <c r="B1577" s="18" t="s">
        <v>492</v>
      </c>
      <c r="C1577" s="18" t="s">
        <v>492</v>
      </c>
      <c r="D1577" s="18" t="s">
        <v>504</v>
      </c>
      <c r="E1577" s="18" t="s">
        <v>2072</v>
      </c>
      <c r="F1577" s="18">
        <v>585</v>
      </c>
      <c r="G1577" s="18">
        <v>192</v>
      </c>
      <c r="H1577" s="18">
        <v>41</v>
      </c>
      <c r="I1577" s="18">
        <v>352</v>
      </c>
    </row>
    <row r="1578" spans="1:9" x14ac:dyDescent="0.3">
      <c r="A1578" t="s">
        <v>1203</v>
      </c>
      <c r="B1578" s="18" t="s">
        <v>492</v>
      </c>
      <c r="C1578" s="18" t="s">
        <v>492</v>
      </c>
      <c r="D1578" s="18" t="s">
        <v>499</v>
      </c>
      <c r="E1578" s="18" t="s">
        <v>2072</v>
      </c>
      <c r="F1578" s="18">
        <v>1730</v>
      </c>
      <c r="G1578" s="18">
        <v>565</v>
      </c>
      <c r="H1578" s="18">
        <v>174</v>
      </c>
      <c r="I1578" s="18">
        <v>991</v>
      </c>
    </row>
    <row r="1579" spans="1:9" x14ac:dyDescent="0.3">
      <c r="A1579" t="s">
        <v>1654</v>
      </c>
      <c r="B1579" s="18" t="s">
        <v>492</v>
      </c>
      <c r="C1579" s="18" t="s">
        <v>492</v>
      </c>
      <c r="D1579" s="18" t="s">
        <v>500</v>
      </c>
      <c r="E1579" s="18" t="s">
        <v>2072</v>
      </c>
      <c r="F1579" s="18">
        <v>541</v>
      </c>
      <c r="G1579" s="18">
        <v>236</v>
      </c>
      <c r="H1579" s="18">
        <v>27</v>
      </c>
      <c r="I1579" s="18">
        <v>278</v>
      </c>
    </row>
    <row r="1580" spans="1:9" x14ac:dyDescent="0.3">
      <c r="A1580" t="s">
        <v>1655</v>
      </c>
      <c r="B1580" s="18" t="s">
        <v>492</v>
      </c>
      <c r="C1580" s="18" t="s">
        <v>492</v>
      </c>
      <c r="D1580" s="18" t="s">
        <v>114</v>
      </c>
      <c r="E1580" s="18" t="s">
        <v>2072</v>
      </c>
      <c r="F1580" s="18">
        <v>457</v>
      </c>
      <c r="G1580" s="18">
        <v>103</v>
      </c>
      <c r="H1580" s="18">
        <v>43</v>
      </c>
      <c r="I1580" s="18">
        <v>311</v>
      </c>
    </row>
    <row r="1581" spans="1:9" x14ac:dyDescent="0.3">
      <c r="A1581" t="s">
        <v>1656</v>
      </c>
      <c r="B1581" s="18" t="s">
        <v>492</v>
      </c>
      <c r="C1581" s="18" t="s">
        <v>492</v>
      </c>
      <c r="D1581" s="18" t="s">
        <v>501</v>
      </c>
      <c r="E1581" s="18" t="s">
        <v>2072</v>
      </c>
      <c r="F1581" s="18">
        <v>1420</v>
      </c>
      <c r="G1581" s="18">
        <v>496</v>
      </c>
      <c r="H1581" s="18">
        <v>50</v>
      </c>
      <c r="I1581" s="18">
        <v>874</v>
      </c>
    </row>
    <row r="1582" spans="1:9" x14ac:dyDescent="0.3">
      <c r="A1582" t="s">
        <v>1436</v>
      </c>
      <c r="B1582" s="18" t="s">
        <v>492</v>
      </c>
      <c r="C1582" s="18" t="s">
        <v>492</v>
      </c>
      <c r="D1582" s="18" t="s">
        <v>502</v>
      </c>
      <c r="E1582" s="18" t="s">
        <v>2072</v>
      </c>
      <c r="F1582" s="18">
        <v>2260</v>
      </c>
      <c r="G1582" s="18">
        <v>985</v>
      </c>
      <c r="H1582" s="18">
        <v>184</v>
      </c>
      <c r="I1582" s="18">
        <v>1091</v>
      </c>
    </row>
    <row r="1583" spans="1:9" x14ac:dyDescent="0.3">
      <c r="A1583" t="s">
        <v>1657</v>
      </c>
      <c r="B1583" s="18" t="s">
        <v>492</v>
      </c>
      <c r="C1583" s="18" t="s">
        <v>492</v>
      </c>
      <c r="D1583" s="18" t="s">
        <v>503</v>
      </c>
      <c r="E1583" s="18" t="s">
        <v>2072</v>
      </c>
      <c r="F1583" s="18">
        <v>547</v>
      </c>
      <c r="G1583" s="18">
        <v>184</v>
      </c>
      <c r="H1583" s="18">
        <v>33</v>
      </c>
      <c r="I1583" s="18">
        <v>330</v>
      </c>
    </row>
    <row r="1584" spans="1:9" x14ac:dyDescent="0.3">
      <c r="A1584" t="s">
        <v>1680</v>
      </c>
      <c r="B1584" s="18" t="s">
        <v>492</v>
      </c>
      <c r="C1584" s="18" t="s">
        <v>532</v>
      </c>
      <c r="D1584" s="18" t="s">
        <v>207</v>
      </c>
      <c r="E1584" s="18" t="s">
        <v>2072</v>
      </c>
      <c r="F1584" s="18">
        <v>510</v>
      </c>
      <c r="G1584" s="18">
        <v>100</v>
      </c>
      <c r="H1584" s="18">
        <v>8</v>
      </c>
      <c r="I1584" s="18">
        <v>402</v>
      </c>
    </row>
    <row r="1585" spans="1:9" x14ac:dyDescent="0.3">
      <c r="A1585" t="s">
        <v>1679</v>
      </c>
      <c r="B1585" s="18" t="s">
        <v>492</v>
      </c>
      <c r="C1585" s="18" t="s">
        <v>532</v>
      </c>
      <c r="D1585" s="18" t="s">
        <v>533</v>
      </c>
      <c r="E1585" s="18" t="s">
        <v>2072</v>
      </c>
      <c r="F1585" s="18">
        <v>346</v>
      </c>
      <c r="G1585" s="18">
        <v>82</v>
      </c>
      <c r="H1585" s="18">
        <v>12</v>
      </c>
      <c r="I1585" s="18">
        <v>252</v>
      </c>
    </row>
    <row r="1586" spans="1:9" x14ac:dyDescent="0.3">
      <c r="A1586" t="s">
        <v>1346</v>
      </c>
      <c r="B1586" s="18" t="s">
        <v>492</v>
      </c>
      <c r="C1586" s="18" t="s">
        <v>532</v>
      </c>
      <c r="D1586" s="18" t="s">
        <v>532</v>
      </c>
      <c r="E1586" s="18" t="s">
        <v>2072</v>
      </c>
      <c r="F1586" s="18">
        <v>5927</v>
      </c>
      <c r="G1586" s="18">
        <v>2077</v>
      </c>
      <c r="H1586" s="18">
        <v>382</v>
      </c>
      <c r="I1586" s="18">
        <v>3468</v>
      </c>
    </row>
    <row r="1587" spans="1:9" x14ac:dyDescent="0.3">
      <c r="A1587" t="s">
        <v>1681</v>
      </c>
      <c r="B1587" s="18" t="s">
        <v>492</v>
      </c>
      <c r="C1587" s="18" t="s">
        <v>532</v>
      </c>
      <c r="D1587" s="18" t="s">
        <v>534</v>
      </c>
      <c r="E1587" s="18" t="s">
        <v>2072</v>
      </c>
      <c r="F1587" s="18">
        <v>268</v>
      </c>
      <c r="G1587" s="18">
        <v>73</v>
      </c>
      <c r="H1587" s="18">
        <v>5</v>
      </c>
      <c r="I1587" s="18">
        <v>190</v>
      </c>
    </row>
    <row r="1588" spans="1:9" x14ac:dyDescent="0.3">
      <c r="A1588" t="s">
        <v>1705</v>
      </c>
      <c r="B1588" s="18" t="s">
        <v>492</v>
      </c>
      <c r="C1588" s="18" t="s">
        <v>577</v>
      </c>
      <c r="D1588" s="18" t="s">
        <v>578</v>
      </c>
      <c r="E1588" s="18" t="s">
        <v>2072</v>
      </c>
      <c r="F1588" s="18">
        <v>188</v>
      </c>
      <c r="G1588" s="18">
        <v>50</v>
      </c>
      <c r="H1588" s="18">
        <v>3</v>
      </c>
      <c r="I1588" s="18">
        <v>135</v>
      </c>
    </row>
    <row r="1589" spans="1:9" x14ac:dyDescent="0.3">
      <c r="A1589" t="s">
        <v>1704</v>
      </c>
      <c r="B1589" s="18" t="s">
        <v>492</v>
      </c>
      <c r="C1589" s="18" t="s">
        <v>577</v>
      </c>
      <c r="D1589" s="18" t="s">
        <v>577</v>
      </c>
      <c r="E1589" s="18" t="s">
        <v>2072</v>
      </c>
      <c r="F1589" s="18">
        <v>1482</v>
      </c>
      <c r="G1589" s="18">
        <v>420</v>
      </c>
      <c r="H1589" s="18">
        <v>44</v>
      </c>
      <c r="I1589" s="18">
        <v>1018</v>
      </c>
    </row>
    <row r="1590" spans="1:9" x14ac:dyDescent="0.3">
      <c r="A1590" t="s">
        <v>2001</v>
      </c>
      <c r="B1590" s="18" t="s">
        <v>492</v>
      </c>
      <c r="C1590" s="18" t="s">
        <v>535</v>
      </c>
      <c r="D1590" s="18" t="s">
        <v>537</v>
      </c>
      <c r="E1590" s="18" t="s">
        <v>2072</v>
      </c>
      <c r="F1590" s="18">
        <v>398</v>
      </c>
      <c r="G1590" s="18">
        <v>86</v>
      </c>
      <c r="H1590" s="18">
        <v>22</v>
      </c>
      <c r="I1590" s="18">
        <v>290</v>
      </c>
    </row>
    <row r="1591" spans="1:9" x14ac:dyDescent="0.3">
      <c r="A1591" t="s">
        <v>1686</v>
      </c>
      <c r="B1591" s="18" t="s">
        <v>492</v>
      </c>
      <c r="C1591" s="18" t="s">
        <v>535</v>
      </c>
      <c r="D1591" s="18" t="s">
        <v>541</v>
      </c>
      <c r="E1591" s="18" t="s">
        <v>2072</v>
      </c>
      <c r="F1591" s="18">
        <v>663</v>
      </c>
      <c r="G1591" s="18">
        <v>193</v>
      </c>
      <c r="H1591" s="18">
        <v>36</v>
      </c>
      <c r="I1591" s="18">
        <v>434</v>
      </c>
    </row>
    <row r="1592" spans="1:9" x14ac:dyDescent="0.3">
      <c r="A1592" t="s">
        <v>1682</v>
      </c>
      <c r="B1592" s="18" t="s">
        <v>492</v>
      </c>
      <c r="C1592" s="18" t="s">
        <v>535</v>
      </c>
      <c r="D1592" s="18" t="s">
        <v>536</v>
      </c>
      <c r="E1592" s="18" t="s">
        <v>2072</v>
      </c>
      <c r="F1592" s="18">
        <v>4777</v>
      </c>
      <c r="G1592" s="18">
        <v>1794</v>
      </c>
      <c r="H1592" s="18">
        <v>335</v>
      </c>
      <c r="I1592" s="18">
        <v>2648</v>
      </c>
    </row>
    <row r="1593" spans="1:9" x14ac:dyDescent="0.3">
      <c r="A1593" t="s">
        <v>1683</v>
      </c>
      <c r="B1593" s="18" t="s">
        <v>492</v>
      </c>
      <c r="C1593" s="18" t="s">
        <v>535</v>
      </c>
      <c r="D1593" s="18" t="s">
        <v>538</v>
      </c>
      <c r="E1593" s="18" t="s">
        <v>2072</v>
      </c>
      <c r="F1593" s="18">
        <v>875</v>
      </c>
      <c r="G1593" s="18">
        <v>226</v>
      </c>
      <c r="H1593" s="18">
        <v>4</v>
      </c>
      <c r="I1593" s="18">
        <v>645</v>
      </c>
    </row>
    <row r="1594" spans="1:9" x14ac:dyDescent="0.3">
      <c r="A1594" t="s">
        <v>1684</v>
      </c>
      <c r="B1594" s="18" t="s">
        <v>492</v>
      </c>
      <c r="C1594" s="18" t="s">
        <v>535</v>
      </c>
      <c r="D1594" s="18" t="s">
        <v>539</v>
      </c>
      <c r="E1594" s="18" t="s">
        <v>2072</v>
      </c>
      <c r="F1594" s="18">
        <v>637</v>
      </c>
      <c r="G1594" s="18">
        <v>174</v>
      </c>
      <c r="H1594" s="18">
        <v>21</v>
      </c>
      <c r="I1594" s="18">
        <v>442</v>
      </c>
    </row>
    <row r="1595" spans="1:9" x14ac:dyDescent="0.3">
      <c r="A1595" t="s">
        <v>2002</v>
      </c>
      <c r="B1595" s="18" t="s">
        <v>492</v>
      </c>
      <c r="C1595" s="18" t="s">
        <v>535</v>
      </c>
      <c r="D1595" s="18" t="s">
        <v>540</v>
      </c>
      <c r="E1595" s="18" t="s">
        <v>2072</v>
      </c>
      <c r="F1595" s="18">
        <v>597</v>
      </c>
      <c r="G1595" s="18">
        <v>162</v>
      </c>
      <c r="H1595" s="18">
        <v>15</v>
      </c>
      <c r="I1595" s="18">
        <v>420</v>
      </c>
    </row>
    <row r="1596" spans="1:9" x14ac:dyDescent="0.3">
      <c r="A1596" t="s">
        <v>1685</v>
      </c>
      <c r="B1596" s="18" t="s">
        <v>492</v>
      </c>
      <c r="C1596" s="18" t="s">
        <v>535</v>
      </c>
      <c r="D1596" s="18" t="s">
        <v>138</v>
      </c>
      <c r="E1596" s="18" t="s">
        <v>2072</v>
      </c>
      <c r="F1596" s="18">
        <v>414</v>
      </c>
      <c r="G1596" s="18">
        <v>116</v>
      </c>
      <c r="H1596" s="18">
        <v>8</v>
      </c>
      <c r="I1596" s="18">
        <v>290</v>
      </c>
    </row>
    <row r="1597" spans="1:9" x14ac:dyDescent="0.3">
      <c r="A1597" t="s">
        <v>1687</v>
      </c>
      <c r="B1597" s="18" t="s">
        <v>492</v>
      </c>
      <c r="C1597" s="18" t="s">
        <v>535</v>
      </c>
      <c r="D1597" s="18" t="s">
        <v>542</v>
      </c>
      <c r="E1597" s="18" t="s">
        <v>2072</v>
      </c>
      <c r="F1597" s="18">
        <v>471</v>
      </c>
      <c r="G1597" s="18">
        <v>173</v>
      </c>
      <c r="H1597" s="18">
        <v>21</v>
      </c>
      <c r="I1597" s="18">
        <v>277</v>
      </c>
    </row>
    <row r="1598" spans="1:9" x14ac:dyDescent="0.3">
      <c r="A1598" t="s">
        <v>1700</v>
      </c>
      <c r="B1598" s="18" t="s">
        <v>492</v>
      </c>
      <c r="C1598" s="18" t="s">
        <v>570</v>
      </c>
      <c r="D1598" s="18" t="s">
        <v>572</v>
      </c>
      <c r="E1598" s="18" t="s">
        <v>2072</v>
      </c>
      <c r="F1598" s="18">
        <v>729</v>
      </c>
      <c r="G1598" s="18">
        <v>125</v>
      </c>
      <c r="H1598" s="18">
        <v>18</v>
      </c>
      <c r="I1598" s="18">
        <v>586</v>
      </c>
    </row>
    <row r="1599" spans="1:9" x14ac:dyDescent="0.3">
      <c r="A1599" t="s">
        <v>2008</v>
      </c>
      <c r="B1599" s="18" t="s">
        <v>492</v>
      </c>
      <c r="C1599" s="18" t="s">
        <v>570</v>
      </c>
      <c r="D1599" s="18" t="s">
        <v>571</v>
      </c>
      <c r="E1599" s="18" t="s">
        <v>2072</v>
      </c>
      <c r="F1599" s="18">
        <v>374</v>
      </c>
      <c r="G1599" s="18">
        <v>91</v>
      </c>
      <c r="H1599" s="18">
        <v>3</v>
      </c>
      <c r="I1599" s="18">
        <v>280</v>
      </c>
    </row>
    <row r="1600" spans="1:9" x14ac:dyDescent="0.3">
      <c r="A1600" t="s">
        <v>1701</v>
      </c>
      <c r="B1600" s="18" t="s">
        <v>492</v>
      </c>
      <c r="C1600" s="18" t="s">
        <v>570</v>
      </c>
      <c r="D1600" s="18" t="s">
        <v>573</v>
      </c>
      <c r="E1600" s="18" t="s">
        <v>2072</v>
      </c>
      <c r="F1600" s="18">
        <v>996</v>
      </c>
      <c r="G1600" s="18">
        <v>141</v>
      </c>
      <c r="H1600" s="18">
        <v>9</v>
      </c>
      <c r="I1600" s="18">
        <v>846</v>
      </c>
    </row>
    <row r="1601" spans="1:9" x14ac:dyDescent="0.3">
      <c r="A1601" t="s">
        <v>1282</v>
      </c>
      <c r="B1601" s="18" t="s">
        <v>492</v>
      </c>
      <c r="C1601" s="18" t="s">
        <v>570</v>
      </c>
      <c r="D1601" s="18" t="s">
        <v>570</v>
      </c>
      <c r="E1601" s="18" t="s">
        <v>2072</v>
      </c>
      <c r="F1601" s="18">
        <v>1610</v>
      </c>
      <c r="G1601" s="18">
        <v>592</v>
      </c>
      <c r="H1601" s="18">
        <v>87</v>
      </c>
      <c r="I1601" s="18">
        <v>931</v>
      </c>
    </row>
    <row r="1602" spans="1:9" x14ac:dyDescent="0.3">
      <c r="A1602" t="s">
        <v>1225</v>
      </c>
      <c r="B1602" s="18" t="s">
        <v>492</v>
      </c>
      <c r="C1602" s="18" t="s">
        <v>543</v>
      </c>
      <c r="D1602" s="18" t="s">
        <v>544</v>
      </c>
      <c r="E1602" s="18" t="s">
        <v>2072</v>
      </c>
      <c r="F1602" s="18">
        <v>3569</v>
      </c>
      <c r="G1602" s="18">
        <v>1405</v>
      </c>
      <c r="H1602" s="18">
        <v>207</v>
      </c>
      <c r="I1602" s="18">
        <v>1957</v>
      </c>
    </row>
    <row r="1603" spans="1:9" x14ac:dyDescent="0.3">
      <c r="A1603" t="s">
        <v>1688</v>
      </c>
      <c r="B1603" s="18" t="s">
        <v>492</v>
      </c>
      <c r="C1603" s="18" t="s">
        <v>543</v>
      </c>
      <c r="D1603" s="18" t="s">
        <v>545</v>
      </c>
      <c r="E1603" s="18" t="s">
        <v>2072</v>
      </c>
      <c r="F1603" s="18">
        <v>514</v>
      </c>
      <c r="G1603" s="18">
        <v>156</v>
      </c>
      <c r="H1603" s="18">
        <v>31</v>
      </c>
      <c r="I1603" s="18">
        <v>327</v>
      </c>
    </row>
    <row r="1604" spans="1:9" x14ac:dyDescent="0.3">
      <c r="A1604" t="s">
        <v>1689</v>
      </c>
      <c r="B1604" s="18" t="s">
        <v>492</v>
      </c>
      <c r="C1604" s="18" t="s">
        <v>543</v>
      </c>
      <c r="D1604" s="18" t="s">
        <v>546</v>
      </c>
      <c r="E1604" s="18" t="s">
        <v>2072</v>
      </c>
      <c r="F1604" s="18">
        <v>414</v>
      </c>
      <c r="G1604" s="18">
        <v>107</v>
      </c>
      <c r="H1604" s="18">
        <v>23</v>
      </c>
      <c r="I1604" s="18">
        <v>284</v>
      </c>
    </row>
    <row r="1605" spans="1:9" x14ac:dyDescent="0.3">
      <c r="A1605" t="s">
        <v>1690</v>
      </c>
      <c r="B1605" s="18" t="s">
        <v>492</v>
      </c>
      <c r="C1605" s="18" t="s">
        <v>543</v>
      </c>
      <c r="D1605" s="18" t="s">
        <v>547</v>
      </c>
      <c r="E1605" s="18" t="s">
        <v>2072</v>
      </c>
      <c r="F1605" s="18">
        <v>858</v>
      </c>
      <c r="G1605" s="18">
        <v>176</v>
      </c>
      <c r="H1605" s="18">
        <v>11</v>
      </c>
      <c r="I1605" s="18">
        <v>671</v>
      </c>
    </row>
    <row r="1606" spans="1:9" x14ac:dyDescent="0.3">
      <c r="A1606" t="s">
        <v>1691</v>
      </c>
      <c r="B1606" s="18" t="s">
        <v>492</v>
      </c>
      <c r="C1606" s="18" t="s">
        <v>543</v>
      </c>
      <c r="D1606" s="18" t="s">
        <v>548</v>
      </c>
      <c r="E1606" s="18" t="s">
        <v>2072</v>
      </c>
      <c r="F1606" s="18">
        <v>504</v>
      </c>
      <c r="G1606" s="18">
        <v>212</v>
      </c>
      <c r="H1606" s="18">
        <v>13</v>
      </c>
      <c r="I1606" s="18">
        <v>279</v>
      </c>
    </row>
    <row r="1607" spans="1:9" x14ac:dyDescent="0.3">
      <c r="A1607" t="s">
        <v>1692</v>
      </c>
      <c r="B1607" s="18" t="s">
        <v>492</v>
      </c>
      <c r="C1607" s="18" t="s">
        <v>543</v>
      </c>
      <c r="D1607" s="18" t="s">
        <v>549</v>
      </c>
      <c r="E1607" s="18" t="s">
        <v>2072</v>
      </c>
      <c r="F1607" s="18">
        <v>417</v>
      </c>
      <c r="G1607" s="18">
        <v>117</v>
      </c>
      <c r="H1607" s="18">
        <v>20</v>
      </c>
      <c r="I1607" s="18">
        <v>280</v>
      </c>
    </row>
    <row r="1608" spans="1:9" x14ac:dyDescent="0.3">
      <c r="A1608" t="s">
        <v>2009</v>
      </c>
      <c r="B1608" s="18" t="s">
        <v>492</v>
      </c>
      <c r="C1608" s="18" t="s">
        <v>574</v>
      </c>
      <c r="D1608" s="18" t="s">
        <v>575</v>
      </c>
      <c r="E1608" s="18" t="s">
        <v>2072</v>
      </c>
      <c r="F1608" s="18">
        <v>116</v>
      </c>
      <c r="G1608" s="18">
        <v>47</v>
      </c>
      <c r="H1608" s="18">
        <v>8</v>
      </c>
      <c r="I1608" s="18">
        <v>61</v>
      </c>
    </row>
    <row r="1609" spans="1:9" x14ac:dyDescent="0.3">
      <c r="A1609" t="s">
        <v>1702</v>
      </c>
      <c r="B1609" s="18" t="s">
        <v>492</v>
      </c>
      <c r="C1609" s="18" t="s">
        <v>574</v>
      </c>
      <c r="D1609" s="18" t="s">
        <v>574</v>
      </c>
      <c r="E1609" s="18" t="s">
        <v>2072</v>
      </c>
      <c r="F1609" s="18">
        <v>1056</v>
      </c>
      <c r="G1609" s="18">
        <v>278</v>
      </c>
      <c r="H1609" s="18">
        <v>83</v>
      </c>
      <c r="I1609" s="18">
        <v>695</v>
      </c>
    </row>
    <row r="1610" spans="1:9" x14ac:dyDescent="0.3">
      <c r="A1610" t="s">
        <v>1703</v>
      </c>
      <c r="B1610" s="18" t="s">
        <v>492</v>
      </c>
      <c r="C1610" s="18" t="s">
        <v>574</v>
      </c>
      <c r="D1610" s="18" t="s">
        <v>576</v>
      </c>
      <c r="E1610" s="18" t="s">
        <v>2072</v>
      </c>
      <c r="F1610" s="18">
        <v>459</v>
      </c>
      <c r="G1610" s="18">
        <v>131</v>
      </c>
      <c r="H1610" s="18">
        <v>40</v>
      </c>
      <c r="I1610" s="18">
        <v>288</v>
      </c>
    </row>
    <row r="1611" spans="1:9" x14ac:dyDescent="0.3">
      <c r="A1611" t="s">
        <v>1082</v>
      </c>
      <c r="B1611" s="18" t="s">
        <v>492</v>
      </c>
      <c r="C1611" s="18" t="s">
        <v>550</v>
      </c>
      <c r="D1611" s="18" t="s">
        <v>551</v>
      </c>
      <c r="E1611" s="18" t="s">
        <v>2072</v>
      </c>
      <c r="F1611" s="18">
        <v>820</v>
      </c>
      <c r="G1611" s="18">
        <v>88</v>
      </c>
      <c r="H1611" s="18">
        <v>34</v>
      </c>
      <c r="I1611" s="18">
        <v>698</v>
      </c>
    </row>
    <row r="1612" spans="1:9" x14ac:dyDescent="0.3">
      <c r="A1612" t="s">
        <v>1094</v>
      </c>
      <c r="B1612" s="18" t="s">
        <v>492</v>
      </c>
      <c r="C1612" s="18" t="s">
        <v>550</v>
      </c>
      <c r="D1612" s="18" t="s">
        <v>552</v>
      </c>
      <c r="E1612" s="18" t="s">
        <v>2072</v>
      </c>
      <c r="F1612" s="18">
        <v>376</v>
      </c>
      <c r="G1612" s="18">
        <v>113</v>
      </c>
      <c r="H1612" s="18">
        <v>31</v>
      </c>
      <c r="I1612" s="18">
        <v>232</v>
      </c>
    </row>
    <row r="1613" spans="1:9" x14ac:dyDescent="0.3">
      <c r="A1613" t="s">
        <v>1032</v>
      </c>
      <c r="B1613" s="18" t="s">
        <v>492</v>
      </c>
      <c r="C1613" s="18" t="s">
        <v>550</v>
      </c>
      <c r="D1613" s="18" t="s">
        <v>553</v>
      </c>
      <c r="E1613" s="18" t="s">
        <v>2072</v>
      </c>
      <c r="F1613" s="18">
        <v>565</v>
      </c>
      <c r="G1613" s="18">
        <v>98</v>
      </c>
      <c r="H1613" s="18">
        <v>23</v>
      </c>
      <c r="I1613" s="18">
        <v>444</v>
      </c>
    </row>
    <row r="1614" spans="1:9" x14ac:dyDescent="0.3">
      <c r="A1614" t="s">
        <v>1130</v>
      </c>
      <c r="B1614" s="18" t="s">
        <v>492</v>
      </c>
      <c r="C1614" s="18" t="s">
        <v>550</v>
      </c>
      <c r="D1614" s="18" t="s">
        <v>554</v>
      </c>
      <c r="E1614" s="18" t="s">
        <v>2072</v>
      </c>
      <c r="F1614" s="18">
        <v>870</v>
      </c>
      <c r="G1614" s="18">
        <v>196</v>
      </c>
      <c r="H1614" s="18">
        <v>17</v>
      </c>
      <c r="I1614" s="18">
        <v>657</v>
      </c>
    </row>
    <row r="1615" spans="1:9" x14ac:dyDescent="0.3">
      <c r="A1615" t="s">
        <v>1096</v>
      </c>
      <c r="B1615" s="18" t="s">
        <v>492</v>
      </c>
      <c r="C1615" s="18" t="s">
        <v>550</v>
      </c>
      <c r="D1615" s="18" t="s">
        <v>555</v>
      </c>
      <c r="E1615" s="18" t="s">
        <v>2072</v>
      </c>
      <c r="F1615" s="18">
        <v>493</v>
      </c>
      <c r="G1615" s="18">
        <v>147</v>
      </c>
      <c r="H1615" s="18">
        <v>28</v>
      </c>
      <c r="I1615" s="18">
        <v>318</v>
      </c>
    </row>
    <row r="1616" spans="1:9" x14ac:dyDescent="0.3">
      <c r="A1616" t="s">
        <v>2003</v>
      </c>
      <c r="B1616" s="18" t="s">
        <v>492</v>
      </c>
      <c r="C1616" s="18" t="s">
        <v>550</v>
      </c>
      <c r="D1616" s="18" t="s">
        <v>556</v>
      </c>
      <c r="E1616" s="18" t="s">
        <v>2072</v>
      </c>
      <c r="F1616" s="18">
        <v>1336</v>
      </c>
      <c r="G1616" s="18">
        <v>238</v>
      </c>
      <c r="H1616" s="18">
        <v>45</v>
      </c>
      <c r="I1616" s="18">
        <v>1053</v>
      </c>
    </row>
    <row r="1617" spans="1:9" x14ac:dyDescent="0.3">
      <c r="A1617" t="s">
        <v>1033</v>
      </c>
      <c r="B1617" s="18" t="s">
        <v>492</v>
      </c>
      <c r="C1617" s="18" t="s">
        <v>550</v>
      </c>
      <c r="D1617" s="18" t="s">
        <v>557</v>
      </c>
      <c r="E1617" s="18" t="s">
        <v>2072</v>
      </c>
      <c r="F1617" s="18">
        <v>372</v>
      </c>
      <c r="G1617" s="18">
        <v>227</v>
      </c>
      <c r="H1617" s="18">
        <v>6</v>
      </c>
      <c r="I1617" s="18">
        <v>139</v>
      </c>
    </row>
    <row r="1618" spans="1:9" x14ac:dyDescent="0.3">
      <c r="A1618" t="s">
        <v>1310</v>
      </c>
      <c r="B1618" s="18" t="s">
        <v>492</v>
      </c>
      <c r="C1618" s="18" t="s">
        <v>550</v>
      </c>
      <c r="D1618" s="18" t="s">
        <v>550</v>
      </c>
      <c r="E1618" s="18" t="s">
        <v>2072</v>
      </c>
      <c r="F1618" s="18">
        <v>3932</v>
      </c>
      <c r="G1618" s="18">
        <v>1669</v>
      </c>
      <c r="H1618" s="18">
        <v>171</v>
      </c>
      <c r="I1618" s="18">
        <v>2092</v>
      </c>
    </row>
    <row r="1619" spans="1:9" x14ac:dyDescent="0.3">
      <c r="A1619" t="s">
        <v>1693</v>
      </c>
      <c r="B1619" s="18" t="s">
        <v>492</v>
      </c>
      <c r="C1619" s="18" t="s">
        <v>550</v>
      </c>
      <c r="D1619" s="18" t="s">
        <v>359</v>
      </c>
      <c r="E1619" s="18" t="s">
        <v>2072</v>
      </c>
      <c r="F1619" s="18">
        <v>583</v>
      </c>
      <c r="G1619" s="18">
        <v>114</v>
      </c>
      <c r="H1619" s="18">
        <v>27</v>
      </c>
      <c r="I1619" s="18">
        <v>442</v>
      </c>
    </row>
    <row r="1620" spans="1:9" x14ac:dyDescent="0.3">
      <c r="A1620" t="s">
        <v>1034</v>
      </c>
      <c r="B1620" s="18" t="s">
        <v>492</v>
      </c>
      <c r="C1620" s="18" t="s">
        <v>550</v>
      </c>
      <c r="D1620" s="18" t="s">
        <v>559</v>
      </c>
      <c r="E1620" s="18" t="s">
        <v>2072</v>
      </c>
      <c r="F1620" s="18">
        <v>579</v>
      </c>
      <c r="G1620" s="18">
        <v>331</v>
      </c>
      <c r="H1620" s="18">
        <v>7</v>
      </c>
      <c r="I1620" s="18">
        <v>241</v>
      </c>
    </row>
    <row r="1621" spans="1:9" x14ac:dyDescent="0.3">
      <c r="A1621" t="s">
        <v>1694</v>
      </c>
      <c r="B1621" s="18" t="s">
        <v>492</v>
      </c>
      <c r="C1621" s="18" t="s">
        <v>550</v>
      </c>
      <c r="D1621" s="18" t="s">
        <v>558</v>
      </c>
      <c r="E1621" s="18" t="s">
        <v>2072</v>
      </c>
      <c r="F1621" s="18">
        <v>1679</v>
      </c>
      <c r="G1621" s="18">
        <v>478</v>
      </c>
      <c r="H1621" s="18">
        <v>61</v>
      </c>
      <c r="I1621" s="18">
        <v>1140</v>
      </c>
    </row>
    <row r="1622" spans="1:9" x14ac:dyDescent="0.3">
      <c r="A1622" t="s">
        <v>2004</v>
      </c>
      <c r="B1622" s="18" t="s">
        <v>492</v>
      </c>
      <c r="C1622" s="18" t="s">
        <v>560</v>
      </c>
      <c r="D1622" s="18" t="s">
        <v>561</v>
      </c>
      <c r="E1622" s="18" t="s">
        <v>2072</v>
      </c>
      <c r="F1622" s="18">
        <v>310</v>
      </c>
      <c r="G1622" s="18">
        <v>93</v>
      </c>
      <c r="H1622" s="18">
        <v>6</v>
      </c>
      <c r="I1622" s="18">
        <v>211</v>
      </c>
    </row>
    <row r="1623" spans="1:9" x14ac:dyDescent="0.3">
      <c r="A1623" t="s">
        <v>1695</v>
      </c>
      <c r="B1623" s="18" t="s">
        <v>492</v>
      </c>
      <c r="C1623" s="18" t="s">
        <v>560</v>
      </c>
      <c r="D1623" s="18" t="s">
        <v>560</v>
      </c>
      <c r="E1623" s="18" t="s">
        <v>2072</v>
      </c>
      <c r="F1623" s="18">
        <v>1323</v>
      </c>
      <c r="G1623" s="18">
        <v>322</v>
      </c>
      <c r="H1623" s="18">
        <v>41</v>
      </c>
      <c r="I1623" s="18">
        <v>960</v>
      </c>
    </row>
    <row r="1624" spans="1:9" x14ac:dyDescent="0.3">
      <c r="A1624" t="s">
        <v>2005</v>
      </c>
      <c r="B1624" s="18" t="s">
        <v>492</v>
      </c>
      <c r="C1624" s="18" t="s">
        <v>560</v>
      </c>
      <c r="D1624" s="18" t="s">
        <v>562</v>
      </c>
      <c r="E1624" s="18" t="s">
        <v>2072</v>
      </c>
      <c r="F1624" s="18">
        <v>973</v>
      </c>
      <c r="G1624" s="18">
        <v>151</v>
      </c>
      <c r="H1624" s="18">
        <v>5</v>
      </c>
      <c r="I1624" s="18">
        <v>817</v>
      </c>
    </row>
    <row r="1625" spans="1:9" x14ac:dyDescent="0.3">
      <c r="A1625" t="s">
        <v>2006</v>
      </c>
      <c r="B1625" s="18" t="s">
        <v>492</v>
      </c>
      <c r="C1625" s="18" t="s">
        <v>563</v>
      </c>
      <c r="D1625" s="18" t="s">
        <v>568</v>
      </c>
      <c r="E1625" s="18" t="s">
        <v>2072</v>
      </c>
      <c r="F1625" s="18">
        <v>405</v>
      </c>
      <c r="G1625" s="18">
        <v>94</v>
      </c>
      <c r="H1625" s="18">
        <v>20</v>
      </c>
      <c r="I1625" s="18">
        <v>291</v>
      </c>
    </row>
    <row r="1626" spans="1:9" x14ac:dyDescent="0.3">
      <c r="A1626" t="s">
        <v>2007</v>
      </c>
      <c r="B1626" s="18" t="s">
        <v>492</v>
      </c>
      <c r="C1626" s="18" t="s">
        <v>563</v>
      </c>
      <c r="D1626" s="18" t="s">
        <v>569</v>
      </c>
      <c r="E1626" s="18" t="s">
        <v>2072</v>
      </c>
      <c r="F1626" s="18">
        <v>175</v>
      </c>
      <c r="G1626" s="18">
        <v>61</v>
      </c>
      <c r="H1626" s="18">
        <v>4</v>
      </c>
      <c r="I1626" s="18">
        <v>110</v>
      </c>
    </row>
    <row r="1627" spans="1:9" x14ac:dyDescent="0.3">
      <c r="A1627" t="s">
        <v>1697</v>
      </c>
      <c r="B1627" s="18" t="s">
        <v>492</v>
      </c>
      <c r="C1627" s="18" t="s">
        <v>563</v>
      </c>
      <c r="D1627" s="18" t="s">
        <v>565</v>
      </c>
      <c r="E1627" s="18" t="s">
        <v>2072</v>
      </c>
      <c r="F1627" s="18">
        <v>679</v>
      </c>
      <c r="G1627" s="18">
        <v>153</v>
      </c>
      <c r="H1627" s="18">
        <v>48</v>
      </c>
      <c r="I1627" s="18">
        <v>478</v>
      </c>
    </row>
    <row r="1628" spans="1:9" x14ac:dyDescent="0.3">
      <c r="A1628" t="s">
        <v>1698</v>
      </c>
      <c r="B1628" s="18" t="s">
        <v>492</v>
      </c>
      <c r="C1628" s="18" t="s">
        <v>563</v>
      </c>
      <c r="D1628" s="18" t="s">
        <v>566</v>
      </c>
      <c r="E1628" s="18" t="s">
        <v>2072</v>
      </c>
      <c r="F1628" s="18">
        <v>595</v>
      </c>
      <c r="G1628" s="18">
        <v>163</v>
      </c>
      <c r="H1628" s="18">
        <v>27</v>
      </c>
      <c r="I1628" s="18">
        <v>405</v>
      </c>
    </row>
    <row r="1629" spans="1:9" x14ac:dyDescent="0.3">
      <c r="A1629" t="s">
        <v>1696</v>
      </c>
      <c r="B1629" s="18" t="s">
        <v>492</v>
      </c>
      <c r="C1629" s="18" t="s">
        <v>563</v>
      </c>
      <c r="D1629" s="18" t="s">
        <v>564</v>
      </c>
      <c r="E1629" s="18" t="s">
        <v>2072</v>
      </c>
      <c r="F1629" s="18">
        <v>326</v>
      </c>
      <c r="G1629" s="18">
        <v>104</v>
      </c>
      <c r="H1629" s="18">
        <v>20</v>
      </c>
      <c r="I1629" s="18">
        <v>202</v>
      </c>
    </row>
    <row r="1630" spans="1:9" x14ac:dyDescent="0.3">
      <c r="A1630" t="s">
        <v>1699</v>
      </c>
      <c r="B1630" s="18" t="s">
        <v>492</v>
      </c>
      <c r="C1630" s="18" t="s">
        <v>563</v>
      </c>
      <c r="D1630" s="18" t="s">
        <v>567</v>
      </c>
      <c r="E1630" s="18" t="s">
        <v>2072</v>
      </c>
      <c r="F1630" s="18">
        <v>872</v>
      </c>
      <c r="G1630" s="18">
        <v>149</v>
      </c>
      <c r="H1630" s="18">
        <v>46</v>
      </c>
      <c r="I1630" s="18">
        <v>677</v>
      </c>
    </row>
    <row r="1631" spans="1:9" x14ac:dyDescent="0.3">
      <c r="A1631" t="s">
        <v>1328</v>
      </c>
      <c r="B1631" s="18" t="s">
        <v>492</v>
      </c>
      <c r="C1631" s="18" t="s">
        <v>563</v>
      </c>
      <c r="D1631" s="18" t="s">
        <v>563</v>
      </c>
      <c r="E1631" s="18" t="s">
        <v>2072</v>
      </c>
      <c r="F1631" s="18">
        <v>2189</v>
      </c>
      <c r="G1631" s="18">
        <v>836</v>
      </c>
      <c r="H1631" s="18">
        <v>125</v>
      </c>
      <c r="I1631" s="18">
        <v>1228</v>
      </c>
    </row>
    <row r="1632" spans="1:9" x14ac:dyDescent="0.3">
      <c r="A1632" t="s">
        <v>1109</v>
      </c>
      <c r="B1632" s="18" t="s">
        <v>579</v>
      </c>
      <c r="C1632" s="18" t="s">
        <v>584</v>
      </c>
      <c r="D1632" s="18" t="s">
        <v>584</v>
      </c>
      <c r="E1632" s="18" t="s">
        <v>2072</v>
      </c>
      <c r="F1632" s="18">
        <v>7694</v>
      </c>
      <c r="G1632" s="18">
        <v>1482</v>
      </c>
      <c r="H1632" s="18">
        <v>455</v>
      </c>
      <c r="I1632" s="18">
        <v>5757</v>
      </c>
    </row>
    <row r="1633" spans="1:9" x14ac:dyDescent="0.3">
      <c r="A1633" t="s">
        <v>1709</v>
      </c>
      <c r="B1633" s="18" t="s">
        <v>579</v>
      </c>
      <c r="C1633" s="18" t="s">
        <v>584</v>
      </c>
      <c r="D1633" s="18" t="s">
        <v>585</v>
      </c>
      <c r="E1633" s="18" t="s">
        <v>2072</v>
      </c>
      <c r="F1633" s="18">
        <v>4812</v>
      </c>
      <c r="G1633" s="18">
        <v>700</v>
      </c>
      <c r="H1633" s="18">
        <v>245</v>
      </c>
      <c r="I1633" s="18">
        <v>3867</v>
      </c>
    </row>
    <row r="1634" spans="1:9" x14ac:dyDescent="0.3">
      <c r="A1634" t="s">
        <v>1710</v>
      </c>
      <c r="B1634" s="18" t="s">
        <v>579</v>
      </c>
      <c r="C1634" s="18" t="s">
        <v>584</v>
      </c>
      <c r="D1634" s="18" t="s">
        <v>586</v>
      </c>
      <c r="E1634" s="18" t="s">
        <v>2072</v>
      </c>
      <c r="F1634" s="18">
        <v>3759</v>
      </c>
      <c r="G1634" s="18">
        <v>813</v>
      </c>
      <c r="H1634" s="18">
        <v>193</v>
      </c>
      <c r="I1634" s="18">
        <v>2753</v>
      </c>
    </row>
    <row r="1635" spans="1:9" x14ac:dyDescent="0.3">
      <c r="A1635" t="s">
        <v>1291</v>
      </c>
      <c r="B1635" s="18" t="s">
        <v>579</v>
      </c>
      <c r="C1635" s="18" t="s">
        <v>580</v>
      </c>
      <c r="D1635" s="18" t="s">
        <v>580</v>
      </c>
      <c r="E1635" s="18" t="s">
        <v>2072</v>
      </c>
      <c r="F1635" s="18">
        <v>44228</v>
      </c>
      <c r="G1635" s="18">
        <v>16136</v>
      </c>
      <c r="H1635" s="18">
        <v>3729</v>
      </c>
      <c r="I1635" s="18">
        <v>24363</v>
      </c>
    </row>
    <row r="1636" spans="1:9" x14ac:dyDescent="0.3">
      <c r="A1636" t="s">
        <v>1706</v>
      </c>
      <c r="B1636" s="18" t="s">
        <v>579</v>
      </c>
      <c r="C1636" s="18" t="s">
        <v>580</v>
      </c>
      <c r="D1636" s="18" t="s">
        <v>581</v>
      </c>
      <c r="E1636" s="18" t="s">
        <v>2072</v>
      </c>
      <c r="F1636" s="18">
        <v>1815</v>
      </c>
      <c r="G1636" s="18">
        <v>331</v>
      </c>
      <c r="H1636" s="18">
        <v>70</v>
      </c>
      <c r="I1636" s="18">
        <v>1414</v>
      </c>
    </row>
    <row r="1637" spans="1:9" x14ac:dyDescent="0.3">
      <c r="A1637" t="s">
        <v>1707</v>
      </c>
      <c r="B1637" s="18" t="s">
        <v>579</v>
      </c>
      <c r="C1637" s="18" t="s">
        <v>580</v>
      </c>
      <c r="D1637" s="18" t="s">
        <v>582</v>
      </c>
      <c r="E1637" s="18" t="s">
        <v>2072</v>
      </c>
      <c r="F1637" s="18">
        <v>7102</v>
      </c>
      <c r="G1637" s="18">
        <v>1821</v>
      </c>
      <c r="H1637" s="18">
        <v>332</v>
      </c>
      <c r="I1637" s="18">
        <v>4949</v>
      </c>
    </row>
    <row r="1638" spans="1:9" x14ac:dyDescent="0.3">
      <c r="A1638" t="s">
        <v>1708</v>
      </c>
      <c r="B1638" s="18" t="s">
        <v>579</v>
      </c>
      <c r="C1638" s="18" t="s">
        <v>580</v>
      </c>
      <c r="D1638" s="18" t="s">
        <v>80</v>
      </c>
      <c r="E1638" s="18" t="s">
        <v>2072</v>
      </c>
      <c r="F1638" s="18">
        <v>5222</v>
      </c>
      <c r="G1638" s="18">
        <v>1395</v>
      </c>
      <c r="H1638" s="18">
        <v>466</v>
      </c>
      <c r="I1638" s="18">
        <v>3361</v>
      </c>
    </row>
    <row r="1639" spans="1:9" x14ac:dyDescent="0.3">
      <c r="A1639" t="s">
        <v>1423</v>
      </c>
      <c r="B1639" s="18" t="s">
        <v>579</v>
      </c>
      <c r="C1639" s="18" t="s">
        <v>580</v>
      </c>
      <c r="D1639" s="18" t="s">
        <v>583</v>
      </c>
      <c r="E1639" s="18" t="s">
        <v>2072</v>
      </c>
      <c r="F1639" s="18">
        <v>9869</v>
      </c>
      <c r="G1639" s="18">
        <v>2142</v>
      </c>
      <c r="H1639" s="18">
        <v>604</v>
      </c>
      <c r="I1639" s="18">
        <v>7123</v>
      </c>
    </row>
    <row r="1640" spans="1:9" x14ac:dyDescent="0.3">
      <c r="A1640" t="s">
        <v>1249</v>
      </c>
      <c r="B1640" s="18" t="s">
        <v>579</v>
      </c>
      <c r="C1640" s="18" t="s">
        <v>599</v>
      </c>
      <c r="D1640" s="18" t="s">
        <v>601</v>
      </c>
      <c r="E1640" s="18" t="s">
        <v>2072</v>
      </c>
      <c r="F1640" s="18">
        <v>5008</v>
      </c>
      <c r="G1640" s="18">
        <v>1311</v>
      </c>
      <c r="H1640" s="18">
        <v>253</v>
      </c>
      <c r="I1640" s="18">
        <v>3444</v>
      </c>
    </row>
    <row r="1641" spans="1:9" x14ac:dyDescent="0.3">
      <c r="A1641" t="s">
        <v>1406</v>
      </c>
      <c r="B1641" s="18" t="s">
        <v>579</v>
      </c>
      <c r="C1641" s="18" t="s">
        <v>599</v>
      </c>
      <c r="D1641" s="18" t="s">
        <v>600</v>
      </c>
      <c r="E1641" s="18" t="s">
        <v>2072</v>
      </c>
      <c r="F1641" s="18">
        <v>21309</v>
      </c>
      <c r="G1641" s="18">
        <v>5602</v>
      </c>
      <c r="H1641" s="18">
        <v>1698</v>
      </c>
      <c r="I1641" s="18">
        <v>14009</v>
      </c>
    </row>
    <row r="1642" spans="1:9" x14ac:dyDescent="0.3">
      <c r="A1642" t="s">
        <v>1416</v>
      </c>
      <c r="B1642" s="18" t="s">
        <v>579</v>
      </c>
      <c r="C1642" s="18" t="s">
        <v>603</v>
      </c>
      <c r="D1642" s="18" t="s">
        <v>603</v>
      </c>
      <c r="E1642" s="18" t="s">
        <v>2072</v>
      </c>
      <c r="F1642" s="18">
        <v>15269</v>
      </c>
      <c r="G1642" s="18">
        <v>2953</v>
      </c>
      <c r="H1642" s="18">
        <v>824</v>
      </c>
      <c r="I1642" s="18">
        <v>11492</v>
      </c>
    </row>
    <row r="1643" spans="1:9" x14ac:dyDescent="0.3">
      <c r="A1643" t="s">
        <v>2010</v>
      </c>
      <c r="B1643" s="18" t="s">
        <v>579</v>
      </c>
      <c r="C1643" s="18" t="s">
        <v>397</v>
      </c>
      <c r="D1643" s="18" t="s">
        <v>587</v>
      </c>
      <c r="E1643" s="18" t="s">
        <v>2072</v>
      </c>
      <c r="F1643" s="18">
        <v>944</v>
      </c>
      <c r="G1643" s="18">
        <v>280</v>
      </c>
      <c r="H1643" s="18">
        <v>36</v>
      </c>
      <c r="I1643" s="18">
        <v>628</v>
      </c>
    </row>
    <row r="1644" spans="1:9" x14ac:dyDescent="0.3">
      <c r="A1644" t="s">
        <v>1711</v>
      </c>
      <c r="B1644" s="18" t="s">
        <v>579</v>
      </c>
      <c r="C1644" s="18" t="s">
        <v>397</v>
      </c>
      <c r="D1644" s="18" t="s">
        <v>397</v>
      </c>
      <c r="E1644" s="18" t="s">
        <v>2072</v>
      </c>
      <c r="F1644" s="18">
        <v>9968</v>
      </c>
      <c r="G1644" s="18">
        <v>3007</v>
      </c>
      <c r="H1644" s="18">
        <v>922</v>
      </c>
      <c r="I1644" s="18">
        <v>6039</v>
      </c>
    </row>
    <row r="1645" spans="1:9" x14ac:dyDescent="0.3">
      <c r="A1645" t="s">
        <v>1717</v>
      </c>
      <c r="B1645" s="18" t="s">
        <v>579</v>
      </c>
      <c r="C1645" s="18" t="s">
        <v>598</v>
      </c>
      <c r="D1645" s="18" t="s">
        <v>598</v>
      </c>
      <c r="E1645" s="18" t="s">
        <v>2072</v>
      </c>
      <c r="F1645" s="18">
        <v>8702</v>
      </c>
      <c r="G1645" s="18">
        <v>1351</v>
      </c>
      <c r="H1645" s="18">
        <v>474</v>
      </c>
      <c r="I1645" s="18">
        <v>6877</v>
      </c>
    </row>
    <row r="1646" spans="1:9" x14ac:dyDescent="0.3">
      <c r="A1646" t="s">
        <v>1345</v>
      </c>
      <c r="B1646" s="18" t="s">
        <v>579</v>
      </c>
      <c r="C1646" s="18" t="s">
        <v>588</v>
      </c>
      <c r="D1646" s="18" t="s">
        <v>588</v>
      </c>
      <c r="E1646" s="18" t="s">
        <v>2072</v>
      </c>
      <c r="F1646" s="18">
        <v>5420</v>
      </c>
      <c r="G1646" s="18">
        <v>1307</v>
      </c>
      <c r="H1646" s="18">
        <v>208</v>
      </c>
      <c r="I1646" s="18">
        <v>3905</v>
      </c>
    </row>
    <row r="1647" spans="1:9" x14ac:dyDescent="0.3">
      <c r="A1647" t="s">
        <v>2011</v>
      </c>
      <c r="B1647" s="18" t="s">
        <v>579</v>
      </c>
      <c r="C1647" s="18" t="s">
        <v>588</v>
      </c>
      <c r="D1647" s="18" t="s">
        <v>589</v>
      </c>
      <c r="E1647" s="18" t="s">
        <v>2072</v>
      </c>
      <c r="F1647" s="18">
        <v>1854</v>
      </c>
      <c r="G1647" s="18">
        <v>341</v>
      </c>
      <c r="H1647" s="18">
        <v>84</v>
      </c>
      <c r="I1647" s="18">
        <v>1429</v>
      </c>
    </row>
    <row r="1648" spans="1:9" x14ac:dyDescent="0.3">
      <c r="A1648" t="s">
        <v>1283</v>
      </c>
      <c r="B1648" s="18" t="s">
        <v>579</v>
      </c>
      <c r="C1648" s="18" t="s">
        <v>588</v>
      </c>
      <c r="D1648" s="18" t="s">
        <v>44</v>
      </c>
      <c r="E1648" s="18" t="s">
        <v>2072</v>
      </c>
      <c r="F1648" s="18">
        <v>7574</v>
      </c>
      <c r="G1648" s="18">
        <v>1964</v>
      </c>
      <c r="H1648" s="18">
        <v>464</v>
      </c>
      <c r="I1648" s="18">
        <v>5146</v>
      </c>
    </row>
    <row r="1649" spans="1:9" x14ac:dyDescent="0.3">
      <c r="A1649" t="s">
        <v>1156</v>
      </c>
      <c r="B1649" s="18" t="s">
        <v>579</v>
      </c>
      <c r="C1649" s="18" t="s">
        <v>590</v>
      </c>
      <c r="D1649" s="18" t="s">
        <v>459</v>
      </c>
      <c r="E1649" s="18" t="s">
        <v>2072</v>
      </c>
      <c r="F1649" s="18">
        <v>2458</v>
      </c>
      <c r="G1649" s="18">
        <v>587</v>
      </c>
      <c r="H1649" s="18">
        <v>232</v>
      </c>
      <c r="I1649" s="18">
        <v>1639</v>
      </c>
    </row>
    <row r="1650" spans="1:9" x14ac:dyDescent="0.3">
      <c r="A1650" t="s">
        <v>1430</v>
      </c>
      <c r="B1650" s="18" t="s">
        <v>579</v>
      </c>
      <c r="C1650" s="18" t="s">
        <v>590</v>
      </c>
      <c r="D1650" s="18" t="s">
        <v>590</v>
      </c>
      <c r="E1650" s="18" t="s">
        <v>2072</v>
      </c>
      <c r="F1650" s="18">
        <v>70718</v>
      </c>
      <c r="G1650" s="18">
        <v>21947</v>
      </c>
      <c r="H1650" s="18">
        <v>6420</v>
      </c>
      <c r="I1650" s="18">
        <v>42351</v>
      </c>
    </row>
    <row r="1651" spans="1:9" x14ac:dyDescent="0.3">
      <c r="A1651" t="s">
        <v>1300</v>
      </c>
      <c r="B1651" s="18" t="s">
        <v>579</v>
      </c>
      <c r="C1651" s="18" t="s">
        <v>590</v>
      </c>
      <c r="D1651" s="18" t="s">
        <v>424</v>
      </c>
      <c r="E1651" s="18" t="s">
        <v>2072</v>
      </c>
      <c r="F1651" s="18">
        <v>4500</v>
      </c>
      <c r="G1651" s="18">
        <v>1092</v>
      </c>
      <c r="H1651" s="18">
        <v>305</v>
      </c>
      <c r="I1651" s="18">
        <v>3103</v>
      </c>
    </row>
    <row r="1652" spans="1:9" x14ac:dyDescent="0.3">
      <c r="A1652" t="s">
        <v>1718</v>
      </c>
      <c r="B1652" s="18" t="s">
        <v>579</v>
      </c>
      <c r="C1652" s="18" t="s">
        <v>604</v>
      </c>
      <c r="D1652" s="18" t="s">
        <v>604</v>
      </c>
      <c r="E1652" s="18" t="s">
        <v>2072</v>
      </c>
      <c r="F1652" s="18">
        <v>6963</v>
      </c>
      <c r="G1652" s="18">
        <v>1816</v>
      </c>
      <c r="H1652" s="18">
        <v>302</v>
      </c>
      <c r="I1652" s="18">
        <v>4845</v>
      </c>
    </row>
    <row r="1653" spans="1:9" x14ac:dyDescent="0.3">
      <c r="A1653" t="s">
        <v>1712</v>
      </c>
      <c r="B1653" s="18" t="s">
        <v>579</v>
      </c>
      <c r="C1653" s="18" t="s">
        <v>558</v>
      </c>
      <c r="D1653" s="18" t="s">
        <v>591</v>
      </c>
      <c r="E1653" s="18" t="s">
        <v>2072</v>
      </c>
      <c r="F1653" s="18">
        <v>3595</v>
      </c>
      <c r="G1653" s="18">
        <v>856</v>
      </c>
      <c r="H1653" s="18">
        <v>294</v>
      </c>
      <c r="I1653" s="18">
        <v>2445</v>
      </c>
    </row>
    <row r="1654" spans="1:9" x14ac:dyDescent="0.3">
      <c r="A1654" t="s">
        <v>1713</v>
      </c>
      <c r="B1654" s="18" t="s">
        <v>579</v>
      </c>
      <c r="C1654" s="18" t="s">
        <v>558</v>
      </c>
      <c r="D1654" s="18" t="s">
        <v>26</v>
      </c>
      <c r="E1654" s="18" t="s">
        <v>2072</v>
      </c>
      <c r="F1654" s="18">
        <v>8550</v>
      </c>
      <c r="G1654" s="18">
        <v>2099</v>
      </c>
      <c r="H1654" s="18">
        <v>583</v>
      </c>
      <c r="I1654" s="18">
        <v>5868</v>
      </c>
    </row>
    <row r="1655" spans="1:9" x14ac:dyDescent="0.3">
      <c r="A1655" t="s">
        <v>1468</v>
      </c>
      <c r="B1655" s="18" t="s">
        <v>579</v>
      </c>
      <c r="C1655" s="18" t="s">
        <v>602</v>
      </c>
      <c r="D1655" s="18" t="s">
        <v>602</v>
      </c>
      <c r="E1655" s="18" t="s">
        <v>2072</v>
      </c>
      <c r="F1655" s="18">
        <v>17910</v>
      </c>
      <c r="G1655" s="18">
        <v>4649</v>
      </c>
      <c r="H1655" s="18">
        <v>1169</v>
      </c>
      <c r="I1655" s="18">
        <v>12092</v>
      </c>
    </row>
    <row r="1656" spans="1:9" x14ac:dyDescent="0.3">
      <c r="A1656" t="s">
        <v>1716</v>
      </c>
      <c r="B1656" s="18" t="s">
        <v>579</v>
      </c>
      <c r="C1656" s="18" t="s">
        <v>592</v>
      </c>
      <c r="D1656" s="18" t="s">
        <v>594</v>
      </c>
      <c r="E1656" s="18" t="s">
        <v>2072</v>
      </c>
      <c r="F1656" s="18">
        <v>1129</v>
      </c>
      <c r="G1656" s="18">
        <v>246</v>
      </c>
      <c r="H1656" s="18">
        <v>82</v>
      </c>
      <c r="I1656" s="18">
        <v>801</v>
      </c>
    </row>
    <row r="1657" spans="1:9" x14ac:dyDescent="0.3">
      <c r="A1657" t="s">
        <v>2012</v>
      </c>
      <c r="B1657" s="18" t="s">
        <v>579</v>
      </c>
      <c r="C1657" s="18" t="s">
        <v>592</v>
      </c>
      <c r="D1657" s="18" t="s">
        <v>595</v>
      </c>
      <c r="E1657" s="18" t="s">
        <v>2072</v>
      </c>
      <c r="F1657" s="18">
        <v>990</v>
      </c>
      <c r="G1657" s="18">
        <v>148</v>
      </c>
      <c r="H1657" s="18">
        <v>62</v>
      </c>
      <c r="I1657" s="18">
        <v>780</v>
      </c>
    </row>
    <row r="1658" spans="1:9" x14ac:dyDescent="0.3">
      <c r="A1658" t="s">
        <v>1714</v>
      </c>
      <c r="B1658" s="18" t="s">
        <v>579</v>
      </c>
      <c r="C1658" s="18" t="s">
        <v>592</v>
      </c>
      <c r="D1658" s="18" t="s">
        <v>592</v>
      </c>
      <c r="E1658" s="18" t="s">
        <v>2072</v>
      </c>
      <c r="F1658" s="18">
        <v>18480</v>
      </c>
      <c r="G1658" s="18">
        <v>5646</v>
      </c>
      <c r="H1658" s="18">
        <v>1737</v>
      </c>
      <c r="I1658" s="18">
        <v>11097</v>
      </c>
    </row>
    <row r="1659" spans="1:9" x14ac:dyDescent="0.3">
      <c r="A1659" t="s">
        <v>1715</v>
      </c>
      <c r="B1659" s="18" t="s">
        <v>579</v>
      </c>
      <c r="C1659" s="18" t="s">
        <v>592</v>
      </c>
      <c r="D1659" s="18" t="s">
        <v>593</v>
      </c>
      <c r="E1659" s="18" t="s">
        <v>2072</v>
      </c>
      <c r="F1659" s="18">
        <v>6709</v>
      </c>
      <c r="G1659" s="18">
        <v>1427</v>
      </c>
      <c r="H1659" s="18">
        <v>331</v>
      </c>
      <c r="I1659" s="18">
        <v>4951</v>
      </c>
    </row>
    <row r="1660" spans="1:9" x14ac:dyDescent="0.3">
      <c r="A1660" t="s">
        <v>1364</v>
      </c>
      <c r="B1660" s="18" t="s">
        <v>579</v>
      </c>
      <c r="C1660" s="18" t="s">
        <v>596</v>
      </c>
      <c r="D1660" s="18" t="s">
        <v>597</v>
      </c>
      <c r="E1660" s="18" t="s">
        <v>2072</v>
      </c>
      <c r="F1660" s="18">
        <v>6272</v>
      </c>
      <c r="G1660" s="18">
        <v>1024</v>
      </c>
      <c r="H1660" s="18">
        <v>319</v>
      </c>
      <c r="I1660" s="18">
        <v>4929</v>
      </c>
    </row>
    <row r="1661" spans="1:9" x14ac:dyDescent="0.3">
      <c r="A1661" t="s">
        <v>1270</v>
      </c>
      <c r="B1661" s="18" t="s">
        <v>579</v>
      </c>
      <c r="C1661" s="18" t="s">
        <v>596</v>
      </c>
      <c r="D1661" s="18" t="s">
        <v>596</v>
      </c>
      <c r="E1661" s="18" t="s">
        <v>2072</v>
      </c>
      <c r="F1661" s="18">
        <v>23547</v>
      </c>
      <c r="G1661" s="18">
        <v>5792</v>
      </c>
      <c r="H1661" s="18">
        <v>1634</v>
      </c>
      <c r="I1661" s="18">
        <v>16121</v>
      </c>
    </row>
    <row r="1662" spans="1:9" x14ac:dyDescent="0.3">
      <c r="A1662" t="s">
        <v>2016</v>
      </c>
      <c r="B1662" s="18" t="s">
        <v>605</v>
      </c>
      <c r="C1662" s="18" t="s">
        <v>655</v>
      </c>
      <c r="D1662" s="18" t="s">
        <v>657</v>
      </c>
      <c r="E1662" s="18" t="s">
        <v>2072</v>
      </c>
      <c r="F1662" s="18">
        <v>1113</v>
      </c>
      <c r="G1662" s="18">
        <v>191</v>
      </c>
      <c r="H1662" s="18">
        <v>32</v>
      </c>
      <c r="I1662" s="18">
        <v>890</v>
      </c>
    </row>
    <row r="1663" spans="1:9" x14ac:dyDescent="0.3">
      <c r="A1663" t="s">
        <v>1744</v>
      </c>
      <c r="B1663" s="18" t="s">
        <v>605</v>
      </c>
      <c r="C1663" s="18" t="s">
        <v>655</v>
      </c>
      <c r="D1663" s="18" t="s">
        <v>324</v>
      </c>
      <c r="E1663" s="18" t="s">
        <v>2072</v>
      </c>
      <c r="F1663" s="18">
        <v>2120</v>
      </c>
      <c r="G1663" s="18">
        <v>393</v>
      </c>
      <c r="H1663" s="18">
        <v>102</v>
      </c>
      <c r="I1663" s="18">
        <v>1625</v>
      </c>
    </row>
    <row r="1664" spans="1:9" x14ac:dyDescent="0.3">
      <c r="A1664" t="s">
        <v>1038</v>
      </c>
      <c r="B1664" s="18" t="s">
        <v>605</v>
      </c>
      <c r="C1664" s="18" t="s">
        <v>655</v>
      </c>
      <c r="D1664" s="18" t="s">
        <v>656</v>
      </c>
      <c r="E1664" s="18" t="s">
        <v>2072</v>
      </c>
      <c r="F1664" s="18">
        <v>2542</v>
      </c>
      <c r="G1664" s="18">
        <v>363</v>
      </c>
      <c r="H1664" s="18">
        <v>85</v>
      </c>
      <c r="I1664" s="18">
        <v>2094</v>
      </c>
    </row>
    <row r="1665" spans="1:9" x14ac:dyDescent="0.3">
      <c r="A1665" t="s">
        <v>1316</v>
      </c>
      <c r="B1665" s="18" t="s">
        <v>605</v>
      </c>
      <c r="C1665" s="18" t="s">
        <v>655</v>
      </c>
      <c r="D1665" s="18" t="s">
        <v>649</v>
      </c>
      <c r="E1665" s="18" t="s">
        <v>2072</v>
      </c>
      <c r="F1665" s="18">
        <v>5899</v>
      </c>
      <c r="G1665" s="18">
        <v>1196</v>
      </c>
      <c r="H1665" s="18">
        <v>268</v>
      </c>
      <c r="I1665" s="18">
        <v>4435</v>
      </c>
    </row>
    <row r="1666" spans="1:9" x14ac:dyDescent="0.3">
      <c r="A1666" t="s">
        <v>1438</v>
      </c>
      <c r="B1666" s="18" t="s">
        <v>605</v>
      </c>
      <c r="C1666" s="18" t="s">
        <v>90</v>
      </c>
      <c r="D1666" s="18" t="s">
        <v>613</v>
      </c>
      <c r="E1666" s="18" t="s">
        <v>2072</v>
      </c>
      <c r="F1666" s="18">
        <v>13509</v>
      </c>
      <c r="G1666" s="18">
        <v>3907</v>
      </c>
      <c r="H1666" s="18">
        <v>1074</v>
      </c>
      <c r="I1666" s="18">
        <v>8528</v>
      </c>
    </row>
    <row r="1667" spans="1:9" x14ac:dyDescent="0.3">
      <c r="A1667" t="s">
        <v>1723</v>
      </c>
      <c r="B1667" s="18" t="s">
        <v>605</v>
      </c>
      <c r="C1667" s="18" t="s">
        <v>90</v>
      </c>
      <c r="D1667" s="18" t="s">
        <v>614</v>
      </c>
      <c r="E1667" s="18" t="s">
        <v>2072</v>
      </c>
      <c r="F1667" s="18">
        <v>1279</v>
      </c>
      <c r="G1667" s="18">
        <v>148</v>
      </c>
      <c r="H1667" s="18">
        <v>38</v>
      </c>
      <c r="I1667" s="18">
        <v>1093</v>
      </c>
    </row>
    <row r="1668" spans="1:9" x14ac:dyDescent="0.3">
      <c r="A1668" t="s">
        <v>1384</v>
      </c>
      <c r="B1668" s="18" t="s">
        <v>605</v>
      </c>
      <c r="C1668" s="18" t="s">
        <v>90</v>
      </c>
      <c r="D1668" s="18" t="s">
        <v>471</v>
      </c>
      <c r="E1668" s="18" t="s">
        <v>2072</v>
      </c>
      <c r="F1668" s="18">
        <v>1367</v>
      </c>
      <c r="G1668" s="18">
        <v>299</v>
      </c>
      <c r="H1668" s="18">
        <v>72</v>
      </c>
      <c r="I1668" s="18">
        <v>996</v>
      </c>
    </row>
    <row r="1669" spans="1:9" x14ac:dyDescent="0.3">
      <c r="A1669" t="s">
        <v>1724</v>
      </c>
      <c r="B1669" s="18" t="s">
        <v>605</v>
      </c>
      <c r="C1669" s="18" t="s">
        <v>615</v>
      </c>
      <c r="D1669" s="18" t="s">
        <v>616</v>
      </c>
      <c r="E1669" s="18" t="s">
        <v>2072</v>
      </c>
      <c r="F1669" s="18">
        <v>1599</v>
      </c>
      <c r="G1669" s="18">
        <v>270</v>
      </c>
      <c r="H1669" s="18">
        <v>62</v>
      </c>
      <c r="I1669" s="18">
        <v>1267</v>
      </c>
    </row>
    <row r="1670" spans="1:9" x14ac:dyDescent="0.3">
      <c r="A1670" t="s">
        <v>1462</v>
      </c>
      <c r="B1670" s="18" t="s">
        <v>605</v>
      </c>
      <c r="C1670" s="18" t="s">
        <v>615</v>
      </c>
      <c r="D1670" s="18" t="s">
        <v>617</v>
      </c>
      <c r="E1670" s="18" t="s">
        <v>2072</v>
      </c>
      <c r="F1670" s="18">
        <v>4254</v>
      </c>
      <c r="G1670" s="18">
        <v>974</v>
      </c>
      <c r="H1670" s="18">
        <v>168</v>
      </c>
      <c r="I1670" s="18">
        <v>3112</v>
      </c>
    </row>
    <row r="1671" spans="1:9" x14ac:dyDescent="0.3">
      <c r="A1671" t="s">
        <v>1726</v>
      </c>
      <c r="B1671" s="18" t="s">
        <v>605</v>
      </c>
      <c r="C1671" s="18" t="s">
        <v>615</v>
      </c>
      <c r="D1671" s="18" t="s">
        <v>619</v>
      </c>
      <c r="E1671" s="18" t="s">
        <v>2072</v>
      </c>
      <c r="F1671" s="18">
        <v>2051</v>
      </c>
      <c r="G1671" s="18">
        <v>301</v>
      </c>
      <c r="H1671" s="18">
        <v>76</v>
      </c>
      <c r="I1671" s="18">
        <v>1674</v>
      </c>
    </row>
    <row r="1672" spans="1:9" x14ac:dyDescent="0.3">
      <c r="A1672" t="s">
        <v>1470</v>
      </c>
      <c r="B1672" s="18" t="s">
        <v>605</v>
      </c>
      <c r="C1672" s="18" t="s">
        <v>615</v>
      </c>
      <c r="D1672" s="18" t="s">
        <v>615</v>
      </c>
      <c r="E1672" s="18" t="s">
        <v>2072</v>
      </c>
      <c r="F1672" s="18">
        <v>30420</v>
      </c>
      <c r="G1672" s="18">
        <v>10859</v>
      </c>
      <c r="H1672" s="18">
        <v>2404</v>
      </c>
      <c r="I1672" s="18">
        <v>17157</v>
      </c>
    </row>
    <row r="1673" spans="1:9" x14ac:dyDescent="0.3">
      <c r="A1673" t="s">
        <v>1725</v>
      </c>
      <c r="B1673" s="18" t="s">
        <v>605</v>
      </c>
      <c r="C1673" s="18" t="s">
        <v>615</v>
      </c>
      <c r="D1673" s="18" t="s">
        <v>618</v>
      </c>
      <c r="E1673" s="18" t="s">
        <v>2072</v>
      </c>
      <c r="F1673" s="18">
        <v>2278</v>
      </c>
      <c r="G1673" s="18">
        <v>475</v>
      </c>
      <c r="H1673" s="18">
        <v>85</v>
      </c>
      <c r="I1673" s="18">
        <v>1718</v>
      </c>
    </row>
    <row r="1674" spans="1:9" x14ac:dyDescent="0.3">
      <c r="A1674" t="s">
        <v>1469</v>
      </c>
      <c r="B1674" s="18" t="s">
        <v>605</v>
      </c>
      <c r="C1674" s="18" t="s">
        <v>615</v>
      </c>
      <c r="D1674" s="18" t="s">
        <v>350</v>
      </c>
      <c r="E1674" s="18" t="s">
        <v>2072</v>
      </c>
      <c r="F1674" s="18">
        <v>2547</v>
      </c>
      <c r="G1674" s="18">
        <v>489</v>
      </c>
      <c r="H1674" s="18">
        <v>158</v>
      </c>
      <c r="I1674" s="18">
        <v>1900</v>
      </c>
    </row>
    <row r="1675" spans="1:9" x14ac:dyDescent="0.3">
      <c r="A1675" t="s">
        <v>1727</v>
      </c>
      <c r="B1675" s="18" t="s">
        <v>605</v>
      </c>
      <c r="C1675" s="18" t="s">
        <v>615</v>
      </c>
      <c r="D1675" s="18" t="s">
        <v>26</v>
      </c>
      <c r="E1675" s="18" t="s">
        <v>2072</v>
      </c>
      <c r="F1675" s="18">
        <v>2997</v>
      </c>
      <c r="G1675" s="18">
        <v>769</v>
      </c>
      <c r="H1675" s="18">
        <v>154</v>
      </c>
      <c r="I1675" s="18">
        <v>2074</v>
      </c>
    </row>
    <row r="1676" spans="1:9" x14ac:dyDescent="0.3">
      <c r="A1676" t="s">
        <v>1728</v>
      </c>
      <c r="B1676" s="18" t="s">
        <v>605</v>
      </c>
      <c r="C1676" s="18" t="s">
        <v>615</v>
      </c>
      <c r="D1676" s="18" t="s">
        <v>138</v>
      </c>
      <c r="E1676" s="18" t="s">
        <v>2072</v>
      </c>
      <c r="F1676" s="18">
        <v>3679</v>
      </c>
      <c r="G1676" s="18">
        <v>1006</v>
      </c>
      <c r="H1676" s="18">
        <v>161</v>
      </c>
      <c r="I1676" s="18">
        <v>2512</v>
      </c>
    </row>
    <row r="1677" spans="1:9" x14ac:dyDescent="0.3">
      <c r="A1677" t="s">
        <v>1433</v>
      </c>
      <c r="B1677" s="18" t="s">
        <v>605</v>
      </c>
      <c r="C1677" s="18" t="s">
        <v>620</v>
      </c>
      <c r="D1677" s="18" t="s">
        <v>620</v>
      </c>
      <c r="E1677" s="18" t="s">
        <v>2072</v>
      </c>
      <c r="F1677" s="18">
        <v>31270</v>
      </c>
      <c r="G1677" s="18">
        <v>9378</v>
      </c>
      <c r="H1677" s="18">
        <v>2058</v>
      </c>
      <c r="I1677" s="18">
        <v>19834</v>
      </c>
    </row>
    <row r="1678" spans="1:9" x14ac:dyDescent="0.3">
      <c r="A1678" t="s">
        <v>1229</v>
      </c>
      <c r="B1678" s="18" t="s">
        <v>605</v>
      </c>
      <c r="C1678" s="18" t="s">
        <v>620</v>
      </c>
      <c r="D1678" s="18" t="s">
        <v>624</v>
      </c>
      <c r="E1678" s="18" t="s">
        <v>2072</v>
      </c>
      <c r="F1678" s="18">
        <v>4225</v>
      </c>
      <c r="G1678" s="18">
        <v>794</v>
      </c>
      <c r="H1678" s="18">
        <v>164</v>
      </c>
      <c r="I1678" s="18">
        <v>3267</v>
      </c>
    </row>
    <row r="1679" spans="1:9" x14ac:dyDescent="0.3">
      <c r="A1679" t="s">
        <v>1730</v>
      </c>
      <c r="B1679" s="18" t="s">
        <v>605</v>
      </c>
      <c r="C1679" s="18" t="s">
        <v>620</v>
      </c>
      <c r="D1679" s="18" t="s">
        <v>622</v>
      </c>
      <c r="E1679" s="18" t="s">
        <v>2072</v>
      </c>
      <c r="F1679" s="18">
        <v>2594</v>
      </c>
      <c r="G1679" s="18">
        <v>606</v>
      </c>
      <c r="H1679" s="18">
        <v>90</v>
      </c>
      <c r="I1679" s="18">
        <v>1898</v>
      </c>
    </row>
    <row r="1680" spans="1:9" x14ac:dyDescent="0.3">
      <c r="A1680" t="s">
        <v>1731</v>
      </c>
      <c r="B1680" s="18" t="s">
        <v>605</v>
      </c>
      <c r="C1680" s="18" t="s">
        <v>620</v>
      </c>
      <c r="D1680" s="18" t="s">
        <v>623</v>
      </c>
      <c r="E1680" s="18" t="s">
        <v>2072</v>
      </c>
      <c r="F1680" s="18">
        <v>4678</v>
      </c>
      <c r="G1680" s="18">
        <v>815</v>
      </c>
      <c r="H1680" s="18">
        <v>158</v>
      </c>
      <c r="I1680" s="18">
        <v>3705</v>
      </c>
    </row>
    <row r="1681" spans="1:9" x14ac:dyDescent="0.3">
      <c r="A1681" t="s">
        <v>1729</v>
      </c>
      <c r="B1681" s="18" t="s">
        <v>605</v>
      </c>
      <c r="C1681" s="18" t="s">
        <v>620</v>
      </c>
      <c r="D1681" s="18" t="s">
        <v>621</v>
      </c>
      <c r="E1681" s="18" t="s">
        <v>2072</v>
      </c>
      <c r="F1681" s="18">
        <v>1382</v>
      </c>
      <c r="G1681" s="18">
        <v>299</v>
      </c>
      <c r="H1681" s="18">
        <v>43</v>
      </c>
      <c r="I1681" s="18">
        <v>1040</v>
      </c>
    </row>
    <row r="1682" spans="1:9" x14ac:dyDescent="0.3">
      <c r="A1682" t="s">
        <v>1452</v>
      </c>
      <c r="B1682" s="18" t="s">
        <v>605</v>
      </c>
      <c r="C1682" s="18" t="s">
        <v>625</v>
      </c>
      <c r="D1682" s="18" t="s">
        <v>625</v>
      </c>
      <c r="E1682" s="18" t="s">
        <v>2072</v>
      </c>
      <c r="F1682" s="18">
        <v>7547</v>
      </c>
      <c r="G1682" s="18">
        <v>2014</v>
      </c>
      <c r="H1682" s="18">
        <v>404</v>
      </c>
      <c r="I1682" s="18">
        <v>5129</v>
      </c>
    </row>
    <row r="1683" spans="1:9" x14ac:dyDescent="0.3">
      <c r="A1683" t="s">
        <v>1732</v>
      </c>
      <c r="B1683" s="18" t="s">
        <v>605</v>
      </c>
      <c r="C1683" s="18" t="s">
        <v>625</v>
      </c>
      <c r="D1683" s="18" t="s">
        <v>626</v>
      </c>
      <c r="E1683" s="18" t="s">
        <v>2072</v>
      </c>
      <c r="F1683" s="18">
        <v>898</v>
      </c>
      <c r="G1683" s="18">
        <v>119</v>
      </c>
      <c r="H1683" s="18">
        <v>38</v>
      </c>
      <c r="I1683" s="18">
        <v>741</v>
      </c>
    </row>
    <row r="1684" spans="1:9" x14ac:dyDescent="0.3">
      <c r="A1684" t="s">
        <v>1733</v>
      </c>
      <c r="B1684" s="18" t="s">
        <v>605</v>
      </c>
      <c r="C1684" s="18" t="s">
        <v>625</v>
      </c>
      <c r="D1684" s="18" t="s">
        <v>627</v>
      </c>
      <c r="E1684" s="18" t="s">
        <v>2072</v>
      </c>
      <c r="F1684" s="18">
        <v>1347</v>
      </c>
      <c r="G1684" s="18">
        <v>366</v>
      </c>
      <c r="H1684" s="18">
        <v>118</v>
      </c>
      <c r="I1684" s="18">
        <v>863</v>
      </c>
    </row>
    <row r="1685" spans="1:9" x14ac:dyDescent="0.3">
      <c r="A1685" t="s">
        <v>1461</v>
      </c>
      <c r="B1685" s="18" t="s">
        <v>605</v>
      </c>
      <c r="C1685" s="18" t="s">
        <v>664</v>
      </c>
      <c r="D1685" s="18" t="s">
        <v>664</v>
      </c>
      <c r="E1685" s="18" t="s">
        <v>2072</v>
      </c>
      <c r="F1685" s="18">
        <v>5896</v>
      </c>
      <c r="G1685" s="18">
        <v>1337</v>
      </c>
      <c r="H1685" s="18">
        <v>432</v>
      </c>
      <c r="I1685" s="18">
        <v>4127</v>
      </c>
    </row>
    <row r="1686" spans="1:9" x14ac:dyDescent="0.3">
      <c r="A1686" t="s">
        <v>1385</v>
      </c>
      <c r="B1686" s="18" t="s">
        <v>605</v>
      </c>
      <c r="C1686" s="18" t="s">
        <v>665</v>
      </c>
      <c r="D1686" s="18" t="s">
        <v>665</v>
      </c>
      <c r="E1686" s="18" t="s">
        <v>2072</v>
      </c>
      <c r="F1686" s="18">
        <v>10415</v>
      </c>
      <c r="G1686" s="18">
        <v>2668</v>
      </c>
      <c r="H1686" s="18">
        <v>809</v>
      </c>
      <c r="I1686" s="18">
        <v>6938</v>
      </c>
    </row>
    <row r="1687" spans="1:9" x14ac:dyDescent="0.3">
      <c r="A1687" t="s">
        <v>1734</v>
      </c>
      <c r="B1687" s="18" t="s">
        <v>605</v>
      </c>
      <c r="C1687" s="18" t="s">
        <v>628</v>
      </c>
      <c r="D1687" s="18" t="s">
        <v>629</v>
      </c>
      <c r="E1687" s="18" t="s">
        <v>2072</v>
      </c>
      <c r="F1687" s="18">
        <v>1291</v>
      </c>
      <c r="G1687" s="18">
        <v>187</v>
      </c>
      <c r="H1687" s="18">
        <v>39</v>
      </c>
      <c r="I1687" s="18">
        <v>1065</v>
      </c>
    </row>
    <row r="1688" spans="1:9" x14ac:dyDescent="0.3">
      <c r="A1688" t="s">
        <v>1735</v>
      </c>
      <c r="B1688" s="18" t="s">
        <v>605</v>
      </c>
      <c r="C1688" s="18" t="s">
        <v>628</v>
      </c>
      <c r="D1688" s="18" t="s">
        <v>630</v>
      </c>
      <c r="E1688" s="18" t="s">
        <v>2072</v>
      </c>
      <c r="F1688" s="18">
        <v>2531</v>
      </c>
      <c r="G1688" s="18">
        <v>450</v>
      </c>
      <c r="H1688" s="18">
        <v>78</v>
      </c>
      <c r="I1688" s="18">
        <v>2003</v>
      </c>
    </row>
    <row r="1689" spans="1:9" x14ac:dyDescent="0.3">
      <c r="A1689" t="s">
        <v>1361</v>
      </c>
      <c r="B1689" s="18" t="s">
        <v>605</v>
      </c>
      <c r="C1689" s="18" t="s">
        <v>628</v>
      </c>
      <c r="D1689" s="18" t="s">
        <v>628</v>
      </c>
      <c r="E1689" s="18" t="s">
        <v>2072</v>
      </c>
      <c r="F1689" s="18">
        <v>21246</v>
      </c>
      <c r="G1689" s="18">
        <v>6697</v>
      </c>
      <c r="H1689" s="18">
        <v>1700</v>
      </c>
      <c r="I1689" s="18">
        <v>12849</v>
      </c>
    </row>
    <row r="1690" spans="1:9" x14ac:dyDescent="0.3">
      <c r="A1690" t="s">
        <v>1736</v>
      </c>
      <c r="B1690" s="18" t="s">
        <v>605</v>
      </c>
      <c r="C1690" s="18" t="s">
        <v>628</v>
      </c>
      <c r="D1690" s="18" t="s">
        <v>631</v>
      </c>
      <c r="E1690" s="18" t="s">
        <v>2072</v>
      </c>
      <c r="F1690" s="18">
        <v>670</v>
      </c>
      <c r="G1690" s="18">
        <v>87</v>
      </c>
      <c r="H1690" s="18">
        <v>9</v>
      </c>
      <c r="I1690" s="18">
        <v>574</v>
      </c>
    </row>
    <row r="1691" spans="1:9" x14ac:dyDescent="0.3">
      <c r="A1691" t="s">
        <v>2013</v>
      </c>
      <c r="B1691" s="18" t="s">
        <v>605</v>
      </c>
      <c r="C1691" s="18" t="s">
        <v>628</v>
      </c>
      <c r="D1691" s="18" t="s">
        <v>80</v>
      </c>
      <c r="E1691" s="18" t="s">
        <v>2072</v>
      </c>
      <c r="F1691" s="18">
        <v>634</v>
      </c>
      <c r="G1691" s="18">
        <v>105</v>
      </c>
      <c r="H1691" s="18">
        <v>15</v>
      </c>
      <c r="I1691" s="18">
        <v>514</v>
      </c>
    </row>
    <row r="1692" spans="1:9" x14ac:dyDescent="0.3">
      <c r="A1692" t="s">
        <v>1211</v>
      </c>
      <c r="B1692" s="18" t="s">
        <v>605</v>
      </c>
      <c r="C1692" s="18" t="s">
        <v>628</v>
      </c>
      <c r="D1692" s="18" t="s">
        <v>632</v>
      </c>
      <c r="E1692" s="18" t="s">
        <v>2072</v>
      </c>
      <c r="F1692" s="18">
        <v>355</v>
      </c>
      <c r="G1692" s="18">
        <v>59</v>
      </c>
      <c r="H1692" s="18">
        <v>6</v>
      </c>
      <c r="I1692" s="18">
        <v>290</v>
      </c>
    </row>
    <row r="1693" spans="1:9" x14ac:dyDescent="0.3">
      <c r="A1693" t="s">
        <v>1264</v>
      </c>
      <c r="B1693" s="18" t="s">
        <v>605</v>
      </c>
      <c r="C1693" s="18" t="s">
        <v>628</v>
      </c>
      <c r="D1693" s="18" t="s">
        <v>633</v>
      </c>
      <c r="E1693" s="18" t="s">
        <v>2072</v>
      </c>
      <c r="F1693" s="18">
        <v>1403</v>
      </c>
      <c r="G1693" s="18">
        <v>183</v>
      </c>
      <c r="H1693" s="18">
        <v>34</v>
      </c>
      <c r="I1693" s="18">
        <v>1186</v>
      </c>
    </row>
    <row r="1694" spans="1:9" x14ac:dyDescent="0.3">
      <c r="A1694" t="s">
        <v>1425</v>
      </c>
      <c r="B1694" s="18" t="s">
        <v>605</v>
      </c>
      <c r="C1694" s="18" t="s">
        <v>628</v>
      </c>
      <c r="D1694" s="18" t="s">
        <v>634</v>
      </c>
      <c r="E1694" s="18" t="s">
        <v>2072</v>
      </c>
      <c r="F1694" s="18">
        <v>1565</v>
      </c>
      <c r="G1694" s="18">
        <v>391</v>
      </c>
      <c r="H1694" s="18">
        <v>59</v>
      </c>
      <c r="I1694" s="18">
        <v>1115</v>
      </c>
    </row>
    <row r="1695" spans="1:9" x14ac:dyDescent="0.3">
      <c r="A1695" t="s">
        <v>1467</v>
      </c>
      <c r="B1695" s="18" t="s">
        <v>605</v>
      </c>
      <c r="C1695" s="18" t="s">
        <v>635</v>
      </c>
      <c r="D1695" s="18" t="s">
        <v>635</v>
      </c>
      <c r="E1695" s="18" t="s">
        <v>2072</v>
      </c>
      <c r="F1695" s="18">
        <v>8288</v>
      </c>
      <c r="G1695" s="18">
        <v>2044</v>
      </c>
      <c r="H1695" s="18">
        <v>421</v>
      </c>
      <c r="I1695" s="18">
        <v>5823</v>
      </c>
    </row>
    <row r="1696" spans="1:9" x14ac:dyDescent="0.3">
      <c r="A1696" t="s">
        <v>1434</v>
      </c>
      <c r="B1696" s="18" t="s">
        <v>605</v>
      </c>
      <c r="C1696" s="18" t="s">
        <v>636</v>
      </c>
      <c r="D1696" s="18" t="s">
        <v>636</v>
      </c>
      <c r="E1696" s="18" t="s">
        <v>2072</v>
      </c>
      <c r="F1696" s="18">
        <v>103784</v>
      </c>
      <c r="G1696" s="18">
        <v>40960</v>
      </c>
      <c r="H1696" s="18">
        <v>10562</v>
      </c>
      <c r="I1696" s="18">
        <v>52262</v>
      </c>
    </row>
    <row r="1697" spans="1:9" x14ac:dyDescent="0.3">
      <c r="A1697" t="s">
        <v>1399</v>
      </c>
      <c r="B1697" s="18" t="s">
        <v>605</v>
      </c>
      <c r="C1697" s="18" t="s">
        <v>636</v>
      </c>
      <c r="D1697" s="18" t="s">
        <v>95</v>
      </c>
      <c r="E1697" s="18" t="s">
        <v>2072</v>
      </c>
      <c r="F1697" s="18">
        <v>1934</v>
      </c>
      <c r="G1697" s="18">
        <v>366</v>
      </c>
      <c r="H1697" s="18">
        <v>296</v>
      </c>
      <c r="I1697" s="18">
        <v>1272</v>
      </c>
    </row>
    <row r="1698" spans="1:9" x14ac:dyDescent="0.3">
      <c r="A1698" t="s">
        <v>1349</v>
      </c>
      <c r="B1698" s="18" t="s">
        <v>605</v>
      </c>
      <c r="C1698" s="18" t="s">
        <v>636</v>
      </c>
      <c r="D1698" s="18" t="s">
        <v>637</v>
      </c>
      <c r="E1698" s="18" t="s">
        <v>2072</v>
      </c>
      <c r="F1698" s="18">
        <v>1390</v>
      </c>
      <c r="G1698" s="18">
        <v>323</v>
      </c>
      <c r="H1698" s="18">
        <v>122</v>
      </c>
      <c r="I1698" s="18">
        <v>945</v>
      </c>
    </row>
    <row r="1699" spans="1:9" x14ac:dyDescent="0.3">
      <c r="A1699" t="s">
        <v>1388</v>
      </c>
      <c r="B1699" s="18" t="s">
        <v>605</v>
      </c>
      <c r="C1699" s="18" t="s">
        <v>638</v>
      </c>
      <c r="D1699" s="18" t="s">
        <v>639</v>
      </c>
      <c r="E1699" s="18" t="s">
        <v>2072</v>
      </c>
      <c r="F1699" s="18">
        <v>1079</v>
      </c>
      <c r="G1699" s="18">
        <v>459</v>
      </c>
      <c r="H1699" s="18">
        <v>64</v>
      </c>
      <c r="I1699" s="18">
        <v>556</v>
      </c>
    </row>
    <row r="1700" spans="1:9" x14ac:dyDescent="0.3">
      <c r="A1700" t="s">
        <v>1451</v>
      </c>
      <c r="B1700" s="18" t="s">
        <v>605</v>
      </c>
      <c r="C1700" s="18" t="s">
        <v>638</v>
      </c>
      <c r="D1700" s="18" t="s">
        <v>638</v>
      </c>
      <c r="E1700" s="18" t="s">
        <v>2072</v>
      </c>
      <c r="F1700" s="18">
        <v>36409</v>
      </c>
      <c r="G1700" s="18">
        <v>12052</v>
      </c>
      <c r="H1700" s="18">
        <v>3501</v>
      </c>
      <c r="I1700" s="18">
        <v>20856</v>
      </c>
    </row>
    <row r="1701" spans="1:9" x14ac:dyDescent="0.3">
      <c r="A1701" t="s">
        <v>1442</v>
      </c>
      <c r="B1701" s="18" t="s">
        <v>605</v>
      </c>
      <c r="C1701" s="18" t="s">
        <v>577</v>
      </c>
      <c r="D1701" s="18" t="s">
        <v>577</v>
      </c>
      <c r="E1701" s="18" t="s">
        <v>2072</v>
      </c>
      <c r="F1701" s="18">
        <v>3736</v>
      </c>
      <c r="G1701" s="18">
        <v>867</v>
      </c>
      <c r="H1701" s="18">
        <v>92</v>
      </c>
      <c r="I1701" s="18">
        <v>2777</v>
      </c>
    </row>
    <row r="1702" spans="1:9" x14ac:dyDescent="0.3">
      <c r="A1702" t="s">
        <v>2014</v>
      </c>
      <c r="B1702" s="18" t="s">
        <v>605</v>
      </c>
      <c r="C1702" s="18" t="s">
        <v>640</v>
      </c>
      <c r="D1702" s="18" t="s">
        <v>641</v>
      </c>
      <c r="E1702" s="18" t="s">
        <v>2072</v>
      </c>
      <c r="F1702" s="18">
        <v>3062</v>
      </c>
      <c r="G1702" s="18">
        <v>383</v>
      </c>
      <c r="H1702" s="18">
        <v>50</v>
      </c>
      <c r="I1702" s="18">
        <v>2629</v>
      </c>
    </row>
    <row r="1703" spans="1:9" x14ac:dyDescent="0.3">
      <c r="A1703" t="s">
        <v>2015</v>
      </c>
      <c r="B1703" s="18" t="s">
        <v>605</v>
      </c>
      <c r="C1703" s="18" t="s">
        <v>640</v>
      </c>
      <c r="D1703" s="18" t="s">
        <v>642</v>
      </c>
      <c r="E1703" s="18" t="s">
        <v>2072</v>
      </c>
      <c r="F1703" s="18">
        <v>2973</v>
      </c>
      <c r="G1703" s="18">
        <v>527</v>
      </c>
      <c r="H1703" s="18">
        <v>103</v>
      </c>
      <c r="I1703" s="18">
        <v>2343</v>
      </c>
    </row>
    <row r="1704" spans="1:9" x14ac:dyDescent="0.3">
      <c r="A1704" t="s">
        <v>1036</v>
      </c>
      <c r="B1704" s="18" t="s">
        <v>605</v>
      </c>
      <c r="C1704" s="18" t="s">
        <v>640</v>
      </c>
      <c r="D1704" s="18" t="s">
        <v>643</v>
      </c>
      <c r="E1704" s="18" t="s">
        <v>2072</v>
      </c>
      <c r="F1704" s="18">
        <v>1602</v>
      </c>
      <c r="G1704" s="18">
        <v>215</v>
      </c>
      <c r="H1704" s="18">
        <v>92</v>
      </c>
      <c r="I1704" s="18">
        <v>1295</v>
      </c>
    </row>
    <row r="1705" spans="1:9" x14ac:dyDescent="0.3">
      <c r="A1705" t="s">
        <v>1037</v>
      </c>
      <c r="B1705" s="18" t="s">
        <v>605</v>
      </c>
      <c r="C1705" s="18" t="s">
        <v>640</v>
      </c>
      <c r="D1705" s="18" t="s">
        <v>644</v>
      </c>
      <c r="E1705" s="18" t="s">
        <v>2072</v>
      </c>
      <c r="F1705" s="18">
        <v>1837</v>
      </c>
      <c r="G1705" s="18">
        <v>284</v>
      </c>
      <c r="H1705" s="18">
        <v>21</v>
      </c>
      <c r="I1705" s="18">
        <v>1532</v>
      </c>
    </row>
    <row r="1706" spans="1:9" x14ac:dyDescent="0.3">
      <c r="A1706" t="s">
        <v>1035</v>
      </c>
      <c r="B1706" s="18" t="s">
        <v>605</v>
      </c>
      <c r="C1706" s="18" t="s">
        <v>640</v>
      </c>
      <c r="D1706" s="18" t="s">
        <v>640</v>
      </c>
      <c r="E1706" s="18" t="s">
        <v>2072</v>
      </c>
      <c r="F1706" s="18">
        <v>5340</v>
      </c>
      <c r="G1706" s="18">
        <v>1404</v>
      </c>
      <c r="H1706" s="18">
        <v>286</v>
      </c>
      <c r="I1706" s="18">
        <v>3650</v>
      </c>
    </row>
    <row r="1707" spans="1:9" x14ac:dyDescent="0.3">
      <c r="A1707" t="s">
        <v>1746</v>
      </c>
      <c r="B1707" s="18" t="s">
        <v>605</v>
      </c>
      <c r="C1707" s="18" t="s">
        <v>658</v>
      </c>
      <c r="D1707" s="18" t="s">
        <v>288</v>
      </c>
      <c r="E1707" s="18" t="s">
        <v>2072</v>
      </c>
      <c r="F1707" s="18">
        <v>886</v>
      </c>
      <c r="G1707" s="18">
        <v>87</v>
      </c>
      <c r="H1707" s="18">
        <v>28</v>
      </c>
      <c r="I1707" s="18">
        <v>771</v>
      </c>
    </row>
    <row r="1708" spans="1:9" x14ac:dyDescent="0.3">
      <c r="A1708" t="s">
        <v>1745</v>
      </c>
      <c r="B1708" s="18" t="s">
        <v>605</v>
      </c>
      <c r="C1708" s="18" t="s">
        <v>658</v>
      </c>
      <c r="D1708" s="18" t="s">
        <v>659</v>
      </c>
      <c r="E1708" s="18" t="s">
        <v>2072</v>
      </c>
      <c r="F1708" s="18">
        <v>5875</v>
      </c>
      <c r="G1708" s="18">
        <v>908</v>
      </c>
      <c r="H1708" s="18">
        <v>477</v>
      </c>
      <c r="I1708" s="18">
        <v>4490</v>
      </c>
    </row>
    <row r="1709" spans="1:9" x14ac:dyDescent="0.3">
      <c r="A1709" t="s">
        <v>1463</v>
      </c>
      <c r="B1709" s="18" t="s">
        <v>605</v>
      </c>
      <c r="C1709" s="18" t="s">
        <v>658</v>
      </c>
      <c r="D1709" s="18" t="s">
        <v>660</v>
      </c>
      <c r="E1709" s="18" t="s">
        <v>2072</v>
      </c>
      <c r="F1709" s="18">
        <v>2156</v>
      </c>
      <c r="G1709" s="18">
        <v>248</v>
      </c>
      <c r="H1709" s="18">
        <v>68</v>
      </c>
      <c r="I1709" s="18">
        <v>1840</v>
      </c>
    </row>
    <row r="1710" spans="1:9" x14ac:dyDescent="0.3">
      <c r="A1710" t="s">
        <v>1472</v>
      </c>
      <c r="B1710" s="18" t="s">
        <v>605</v>
      </c>
      <c r="C1710" s="18" t="s">
        <v>658</v>
      </c>
      <c r="D1710" s="18" t="s">
        <v>658</v>
      </c>
      <c r="E1710" s="18" t="s">
        <v>2072</v>
      </c>
      <c r="F1710" s="18">
        <v>14800</v>
      </c>
      <c r="G1710" s="18">
        <v>3853</v>
      </c>
      <c r="H1710" s="18">
        <v>1094</v>
      </c>
      <c r="I1710" s="18">
        <v>9853</v>
      </c>
    </row>
    <row r="1711" spans="1:9" x14ac:dyDescent="0.3">
      <c r="A1711" t="s">
        <v>1737</v>
      </c>
      <c r="B1711" s="18" t="s">
        <v>605</v>
      </c>
      <c r="C1711" s="18" t="s">
        <v>645</v>
      </c>
      <c r="D1711" s="18" t="s">
        <v>646</v>
      </c>
      <c r="E1711" s="18" t="s">
        <v>2072</v>
      </c>
      <c r="F1711" s="18">
        <v>2775</v>
      </c>
      <c r="G1711" s="18">
        <v>231</v>
      </c>
      <c r="H1711" s="18">
        <v>94</v>
      </c>
      <c r="I1711" s="18">
        <v>2450</v>
      </c>
    </row>
    <row r="1712" spans="1:9" x14ac:dyDescent="0.3">
      <c r="A1712" t="s">
        <v>1427</v>
      </c>
      <c r="B1712" s="18" t="s">
        <v>605</v>
      </c>
      <c r="C1712" s="18" t="s">
        <v>645</v>
      </c>
      <c r="D1712" s="18" t="s">
        <v>645</v>
      </c>
      <c r="E1712" s="18" t="s">
        <v>2072</v>
      </c>
      <c r="F1712" s="18">
        <v>6304</v>
      </c>
      <c r="G1712" s="18">
        <v>1107</v>
      </c>
      <c r="H1712" s="18">
        <v>243</v>
      </c>
      <c r="I1712" s="18">
        <v>4954</v>
      </c>
    </row>
    <row r="1713" spans="1:9" x14ac:dyDescent="0.3">
      <c r="A1713" t="s">
        <v>1738</v>
      </c>
      <c r="B1713" s="18" t="s">
        <v>605</v>
      </c>
      <c r="C1713" s="18" t="s">
        <v>645</v>
      </c>
      <c r="D1713" s="18" t="s">
        <v>106</v>
      </c>
      <c r="E1713" s="18" t="s">
        <v>2072</v>
      </c>
      <c r="F1713" s="18">
        <v>1798</v>
      </c>
      <c r="G1713" s="18">
        <v>307</v>
      </c>
      <c r="H1713" s="18">
        <v>161</v>
      </c>
      <c r="I1713" s="18">
        <v>1330</v>
      </c>
    </row>
    <row r="1714" spans="1:9" x14ac:dyDescent="0.3">
      <c r="A1714" t="s">
        <v>1457</v>
      </c>
      <c r="B1714" s="18" t="s">
        <v>605</v>
      </c>
      <c r="C1714" s="18" t="s">
        <v>606</v>
      </c>
      <c r="D1714" s="18" t="s">
        <v>65</v>
      </c>
      <c r="E1714" s="18" t="s">
        <v>2072</v>
      </c>
      <c r="F1714" s="18">
        <v>6432</v>
      </c>
      <c r="G1714" s="18">
        <v>1995</v>
      </c>
      <c r="H1714" s="18">
        <v>439</v>
      </c>
      <c r="I1714" s="18">
        <v>3998</v>
      </c>
    </row>
    <row r="1715" spans="1:9" x14ac:dyDescent="0.3">
      <c r="A1715" t="s">
        <v>1719</v>
      </c>
      <c r="B1715" s="18" t="s">
        <v>605</v>
      </c>
      <c r="C1715" s="18" t="s">
        <v>606</v>
      </c>
      <c r="D1715" s="18" t="s">
        <v>607</v>
      </c>
      <c r="E1715" s="18" t="s">
        <v>2072</v>
      </c>
      <c r="F1715" s="18">
        <v>1835</v>
      </c>
      <c r="G1715" s="18">
        <v>579</v>
      </c>
      <c r="H1715" s="18">
        <v>166</v>
      </c>
      <c r="I1715" s="18">
        <v>1090</v>
      </c>
    </row>
    <row r="1716" spans="1:9" x14ac:dyDescent="0.3">
      <c r="A1716" t="s">
        <v>1722</v>
      </c>
      <c r="B1716" s="18" t="s">
        <v>605</v>
      </c>
      <c r="C1716" s="18" t="s">
        <v>606</v>
      </c>
      <c r="D1716" s="18" t="s">
        <v>612</v>
      </c>
      <c r="E1716" s="18" t="s">
        <v>2072</v>
      </c>
      <c r="F1716" s="18">
        <v>1034</v>
      </c>
      <c r="G1716" s="18">
        <v>255</v>
      </c>
      <c r="H1716" s="18">
        <v>68</v>
      </c>
      <c r="I1716" s="18">
        <v>711</v>
      </c>
    </row>
    <row r="1717" spans="1:9" x14ac:dyDescent="0.3">
      <c r="A1717" t="s">
        <v>1418</v>
      </c>
      <c r="B1717" s="18" t="s">
        <v>605</v>
      </c>
      <c r="C1717" s="18" t="s">
        <v>606</v>
      </c>
      <c r="D1717" s="18" t="s">
        <v>608</v>
      </c>
      <c r="E1717" s="18" t="s">
        <v>2072</v>
      </c>
      <c r="F1717" s="18">
        <v>6329</v>
      </c>
      <c r="G1717" s="18">
        <v>1702</v>
      </c>
      <c r="H1717" s="18">
        <v>637</v>
      </c>
      <c r="I1717" s="18">
        <v>3990</v>
      </c>
    </row>
    <row r="1718" spans="1:9" x14ac:dyDescent="0.3">
      <c r="A1718" t="s">
        <v>1456</v>
      </c>
      <c r="B1718" s="18" t="s">
        <v>605</v>
      </c>
      <c r="C1718" s="18" t="s">
        <v>606</v>
      </c>
      <c r="D1718" s="18" t="s">
        <v>606</v>
      </c>
      <c r="E1718" s="18" t="s">
        <v>2072</v>
      </c>
      <c r="F1718" s="18">
        <v>101778</v>
      </c>
      <c r="G1718" s="18">
        <v>39760</v>
      </c>
      <c r="H1718" s="18">
        <v>11269</v>
      </c>
      <c r="I1718" s="18">
        <v>50749</v>
      </c>
    </row>
    <row r="1719" spans="1:9" x14ac:dyDescent="0.3">
      <c r="A1719" t="s">
        <v>1720</v>
      </c>
      <c r="B1719" s="18" t="s">
        <v>605</v>
      </c>
      <c r="C1719" s="18" t="s">
        <v>606</v>
      </c>
      <c r="D1719" s="18" t="s">
        <v>609</v>
      </c>
      <c r="E1719" s="18" t="s">
        <v>2072</v>
      </c>
      <c r="F1719" s="18">
        <v>1523</v>
      </c>
      <c r="G1719" s="18">
        <v>367</v>
      </c>
      <c r="H1719" s="18">
        <v>106</v>
      </c>
      <c r="I1719" s="18">
        <v>1050</v>
      </c>
    </row>
    <row r="1720" spans="1:9" x14ac:dyDescent="0.3">
      <c r="A1720" t="s">
        <v>1721</v>
      </c>
      <c r="B1720" s="18" t="s">
        <v>605</v>
      </c>
      <c r="C1720" s="18" t="s">
        <v>606</v>
      </c>
      <c r="D1720" s="18" t="s">
        <v>610</v>
      </c>
      <c r="E1720" s="18" t="s">
        <v>2072</v>
      </c>
      <c r="F1720" s="18">
        <v>5661</v>
      </c>
      <c r="G1720" s="18">
        <v>1728</v>
      </c>
      <c r="H1720" s="18">
        <v>336</v>
      </c>
      <c r="I1720" s="18">
        <v>3597</v>
      </c>
    </row>
    <row r="1721" spans="1:9" x14ac:dyDescent="0.3">
      <c r="A1721" t="s">
        <v>1458</v>
      </c>
      <c r="B1721" s="18" t="s">
        <v>605</v>
      </c>
      <c r="C1721" s="18" t="s">
        <v>606</v>
      </c>
      <c r="D1721" s="18" t="s">
        <v>611</v>
      </c>
      <c r="E1721" s="18" t="s">
        <v>2072</v>
      </c>
      <c r="F1721" s="18">
        <v>3179</v>
      </c>
      <c r="G1721" s="18">
        <v>811</v>
      </c>
      <c r="H1721" s="18">
        <v>221</v>
      </c>
      <c r="I1721" s="18">
        <v>2147</v>
      </c>
    </row>
    <row r="1722" spans="1:9" x14ac:dyDescent="0.3">
      <c r="A1722" t="s">
        <v>1218</v>
      </c>
      <c r="B1722" s="18" t="s">
        <v>605</v>
      </c>
      <c r="C1722" s="18" t="s">
        <v>661</v>
      </c>
      <c r="D1722" s="18" t="s">
        <v>662</v>
      </c>
      <c r="E1722" s="18" t="s">
        <v>2072</v>
      </c>
      <c r="F1722" s="18">
        <v>2219</v>
      </c>
      <c r="G1722" s="18">
        <v>240</v>
      </c>
      <c r="H1722" s="18">
        <v>140</v>
      </c>
      <c r="I1722" s="18">
        <v>1839</v>
      </c>
    </row>
    <row r="1723" spans="1:9" x14ac:dyDescent="0.3">
      <c r="A1723" t="s">
        <v>1277</v>
      </c>
      <c r="B1723" s="18" t="s">
        <v>605</v>
      </c>
      <c r="C1723" s="18" t="s">
        <v>661</v>
      </c>
      <c r="D1723" s="18" t="s">
        <v>661</v>
      </c>
      <c r="E1723" s="18" t="s">
        <v>2072</v>
      </c>
      <c r="F1723" s="18">
        <v>4711</v>
      </c>
      <c r="G1723" s="18">
        <v>1261</v>
      </c>
      <c r="H1723" s="18">
        <v>363</v>
      </c>
      <c r="I1723" s="18">
        <v>3087</v>
      </c>
    </row>
    <row r="1724" spans="1:9" x14ac:dyDescent="0.3">
      <c r="A1724" t="s">
        <v>1329</v>
      </c>
      <c r="B1724" s="18" t="s">
        <v>605</v>
      </c>
      <c r="C1724" s="18" t="s">
        <v>661</v>
      </c>
      <c r="D1724" s="18" t="s">
        <v>663</v>
      </c>
      <c r="E1724" s="18" t="s">
        <v>2072</v>
      </c>
      <c r="F1724" s="18">
        <v>2085</v>
      </c>
      <c r="G1724" s="18">
        <v>554</v>
      </c>
      <c r="H1724" s="18">
        <v>236</v>
      </c>
      <c r="I1724" s="18">
        <v>1295</v>
      </c>
    </row>
    <row r="1725" spans="1:9" x14ac:dyDescent="0.3">
      <c r="A1725" t="s">
        <v>1454</v>
      </c>
      <c r="B1725" s="18" t="s">
        <v>605</v>
      </c>
      <c r="C1725" s="18" t="s">
        <v>398</v>
      </c>
      <c r="D1725" s="18" t="s">
        <v>398</v>
      </c>
      <c r="E1725" s="18" t="s">
        <v>2072</v>
      </c>
      <c r="F1725" s="18">
        <v>16247</v>
      </c>
      <c r="G1725" s="18">
        <v>5276</v>
      </c>
      <c r="H1725" s="18">
        <v>876</v>
      </c>
      <c r="I1725" s="18">
        <v>10095</v>
      </c>
    </row>
    <row r="1726" spans="1:9" x14ac:dyDescent="0.3">
      <c r="A1726" t="s">
        <v>1747</v>
      </c>
      <c r="B1726" s="18" t="s">
        <v>605</v>
      </c>
      <c r="C1726" s="18" t="s">
        <v>84</v>
      </c>
      <c r="D1726" s="18" t="s">
        <v>666</v>
      </c>
      <c r="E1726" s="18" t="s">
        <v>2072</v>
      </c>
      <c r="F1726" s="18">
        <v>2868</v>
      </c>
      <c r="G1726" s="18">
        <v>666</v>
      </c>
      <c r="H1726" s="18">
        <v>153</v>
      </c>
      <c r="I1726" s="18">
        <v>2049</v>
      </c>
    </row>
    <row r="1727" spans="1:9" x14ac:dyDescent="0.3">
      <c r="A1727" t="s">
        <v>1471</v>
      </c>
      <c r="B1727" s="18" t="s">
        <v>605</v>
      </c>
      <c r="C1727" s="18" t="s">
        <v>84</v>
      </c>
      <c r="D1727" s="18" t="s">
        <v>84</v>
      </c>
      <c r="E1727" s="18" t="s">
        <v>2072</v>
      </c>
      <c r="F1727" s="18">
        <v>6528</v>
      </c>
      <c r="G1727" s="18">
        <v>1903</v>
      </c>
      <c r="H1727" s="18">
        <v>669</v>
      </c>
      <c r="I1727" s="18">
        <v>3956</v>
      </c>
    </row>
    <row r="1728" spans="1:9" x14ac:dyDescent="0.3">
      <c r="A1728" t="s">
        <v>1739</v>
      </c>
      <c r="B1728" s="18" t="s">
        <v>605</v>
      </c>
      <c r="C1728" s="18" t="s">
        <v>28</v>
      </c>
      <c r="D1728" s="18" t="s">
        <v>648</v>
      </c>
      <c r="E1728" s="18" t="s">
        <v>2072</v>
      </c>
      <c r="F1728" s="18">
        <v>3058</v>
      </c>
      <c r="G1728" s="18">
        <v>874</v>
      </c>
      <c r="H1728" s="18">
        <v>144</v>
      </c>
      <c r="I1728" s="18">
        <v>2040</v>
      </c>
    </row>
    <row r="1729" spans="1:9" x14ac:dyDescent="0.3">
      <c r="A1729" t="s">
        <v>1432</v>
      </c>
      <c r="B1729" s="18" t="s">
        <v>605</v>
      </c>
      <c r="C1729" s="18" t="s">
        <v>28</v>
      </c>
      <c r="D1729" s="18" t="s">
        <v>135</v>
      </c>
      <c r="E1729" s="18" t="s">
        <v>2072</v>
      </c>
      <c r="F1729" s="18">
        <v>2132</v>
      </c>
      <c r="G1729" s="18">
        <v>482</v>
      </c>
      <c r="H1729" s="18">
        <v>57</v>
      </c>
      <c r="I1729" s="18">
        <v>1593</v>
      </c>
    </row>
    <row r="1730" spans="1:9" x14ac:dyDescent="0.3">
      <c r="A1730" t="s">
        <v>1740</v>
      </c>
      <c r="B1730" s="18" t="s">
        <v>605</v>
      </c>
      <c r="C1730" s="18" t="s">
        <v>28</v>
      </c>
      <c r="D1730" s="18" t="s">
        <v>80</v>
      </c>
      <c r="E1730" s="18" t="s">
        <v>2072</v>
      </c>
      <c r="F1730" s="18">
        <v>2506</v>
      </c>
      <c r="G1730" s="18">
        <v>370</v>
      </c>
      <c r="H1730" s="18">
        <v>104</v>
      </c>
      <c r="I1730" s="18">
        <v>2032</v>
      </c>
    </row>
    <row r="1731" spans="1:9" x14ac:dyDescent="0.3">
      <c r="A1731" t="s">
        <v>1741</v>
      </c>
      <c r="B1731" s="18" t="s">
        <v>605</v>
      </c>
      <c r="C1731" s="18" t="s">
        <v>28</v>
      </c>
      <c r="D1731" s="18" t="s">
        <v>113</v>
      </c>
      <c r="E1731" s="18" t="s">
        <v>2072</v>
      </c>
      <c r="F1731" s="18">
        <v>2020</v>
      </c>
      <c r="G1731" s="18">
        <v>331</v>
      </c>
      <c r="H1731" s="18">
        <v>111</v>
      </c>
      <c r="I1731" s="18">
        <v>1578</v>
      </c>
    </row>
    <row r="1732" spans="1:9" x14ac:dyDescent="0.3">
      <c r="A1732" t="s">
        <v>1397</v>
      </c>
      <c r="B1732" s="18" t="s">
        <v>605</v>
      </c>
      <c r="C1732" s="18" t="s">
        <v>28</v>
      </c>
      <c r="D1732" s="18" t="s">
        <v>647</v>
      </c>
      <c r="E1732" s="18" t="s">
        <v>2072</v>
      </c>
      <c r="F1732" s="18">
        <v>9443</v>
      </c>
      <c r="G1732" s="18">
        <v>2743</v>
      </c>
      <c r="H1732" s="18">
        <v>662</v>
      </c>
      <c r="I1732" s="18">
        <v>6038</v>
      </c>
    </row>
    <row r="1733" spans="1:9" x14ac:dyDescent="0.3">
      <c r="A1733" t="s">
        <v>1448</v>
      </c>
      <c r="B1733" s="18" t="s">
        <v>605</v>
      </c>
      <c r="C1733" s="18" t="s">
        <v>649</v>
      </c>
      <c r="D1733" s="18" t="s">
        <v>2066</v>
      </c>
      <c r="E1733" s="18" t="s">
        <v>2072</v>
      </c>
      <c r="F1733" s="18">
        <v>10564</v>
      </c>
      <c r="G1733" s="18">
        <v>3546</v>
      </c>
      <c r="H1733" s="18">
        <v>852</v>
      </c>
      <c r="I1733" s="18">
        <v>6166</v>
      </c>
    </row>
    <row r="1734" spans="1:9" x14ac:dyDescent="0.3">
      <c r="A1734" t="s">
        <v>1447</v>
      </c>
      <c r="B1734" s="18" t="s">
        <v>605</v>
      </c>
      <c r="C1734" s="18" t="s">
        <v>649</v>
      </c>
      <c r="D1734" s="18" t="s">
        <v>651</v>
      </c>
      <c r="E1734" s="18" t="s">
        <v>2072</v>
      </c>
      <c r="F1734" s="18">
        <v>8791</v>
      </c>
      <c r="G1734" s="18">
        <v>2562</v>
      </c>
      <c r="H1734" s="18">
        <v>642</v>
      </c>
      <c r="I1734" s="18">
        <v>5587</v>
      </c>
    </row>
    <row r="1735" spans="1:9" x14ac:dyDescent="0.3">
      <c r="A1735" t="s">
        <v>1466</v>
      </c>
      <c r="B1735" s="18" t="s">
        <v>605</v>
      </c>
      <c r="C1735" s="18" t="s">
        <v>649</v>
      </c>
      <c r="D1735" s="18" t="s">
        <v>169</v>
      </c>
      <c r="E1735" s="18" t="s">
        <v>2072</v>
      </c>
      <c r="F1735" s="18">
        <v>4511</v>
      </c>
      <c r="G1735" s="18">
        <v>1132</v>
      </c>
      <c r="H1735" s="18">
        <v>142</v>
      </c>
      <c r="I1735" s="18">
        <v>3237</v>
      </c>
    </row>
    <row r="1736" spans="1:9" x14ac:dyDescent="0.3">
      <c r="A1736" t="s">
        <v>1743</v>
      </c>
      <c r="B1736" s="18" t="s">
        <v>605</v>
      </c>
      <c r="C1736" s="18" t="s">
        <v>652</v>
      </c>
      <c r="D1736" s="18" t="s">
        <v>654</v>
      </c>
      <c r="E1736" s="18" t="s">
        <v>2072</v>
      </c>
      <c r="F1736" s="18">
        <v>2695</v>
      </c>
      <c r="G1736" s="18">
        <v>653</v>
      </c>
      <c r="H1736" s="18">
        <v>149</v>
      </c>
      <c r="I1736" s="18">
        <v>1893</v>
      </c>
    </row>
    <row r="1737" spans="1:9" x14ac:dyDescent="0.3">
      <c r="A1737" t="s">
        <v>1742</v>
      </c>
      <c r="B1737" s="18" t="s">
        <v>605</v>
      </c>
      <c r="C1737" s="18" t="s">
        <v>652</v>
      </c>
      <c r="D1737" s="18" t="s">
        <v>653</v>
      </c>
      <c r="E1737" s="18" t="s">
        <v>2072</v>
      </c>
      <c r="F1737" s="18">
        <v>1719</v>
      </c>
      <c r="G1737" s="18">
        <v>501</v>
      </c>
      <c r="H1737" s="18">
        <v>111</v>
      </c>
      <c r="I1737" s="18">
        <v>1107</v>
      </c>
    </row>
    <row r="1738" spans="1:9" x14ac:dyDescent="0.3">
      <c r="A1738" t="s">
        <v>1464</v>
      </c>
      <c r="B1738" s="18" t="s">
        <v>605</v>
      </c>
      <c r="C1738" s="18" t="s">
        <v>652</v>
      </c>
      <c r="D1738" s="18" t="s">
        <v>652</v>
      </c>
      <c r="E1738" s="18" t="s">
        <v>2072</v>
      </c>
      <c r="F1738" s="18">
        <v>11666</v>
      </c>
      <c r="G1738" s="18">
        <v>2556</v>
      </c>
      <c r="H1738" s="18">
        <v>519</v>
      </c>
      <c r="I1738" s="18">
        <v>8591</v>
      </c>
    </row>
    <row r="1739" spans="1:9" x14ac:dyDescent="0.3">
      <c r="A1739" t="s">
        <v>1756</v>
      </c>
      <c r="B1739" s="18" t="s">
        <v>667</v>
      </c>
      <c r="C1739" s="18" t="s">
        <v>677</v>
      </c>
      <c r="D1739" s="18" t="s">
        <v>678</v>
      </c>
      <c r="E1739" s="18" t="s">
        <v>2072</v>
      </c>
      <c r="F1739" s="18">
        <v>58</v>
      </c>
      <c r="G1739" s="18">
        <v>15</v>
      </c>
      <c r="H1739" s="18">
        <v>7</v>
      </c>
      <c r="I1739" s="18">
        <v>36</v>
      </c>
    </row>
    <row r="1740" spans="1:9" x14ac:dyDescent="0.3">
      <c r="A1740" t="s">
        <v>2017</v>
      </c>
      <c r="B1740" s="18" t="s">
        <v>667</v>
      </c>
      <c r="C1740" s="18" t="s">
        <v>677</v>
      </c>
      <c r="D1740" s="18" t="s">
        <v>679</v>
      </c>
      <c r="E1740" s="18" t="s">
        <v>2072</v>
      </c>
      <c r="F1740" s="18">
        <v>72</v>
      </c>
      <c r="G1740" s="18">
        <v>30</v>
      </c>
      <c r="H1740" s="18">
        <v>2</v>
      </c>
      <c r="I1740" s="18">
        <v>40</v>
      </c>
    </row>
    <row r="1741" spans="1:9" x14ac:dyDescent="0.3">
      <c r="A1741" t="s">
        <v>1757</v>
      </c>
      <c r="B1741" s="18" t="s">
        <v>667</v>
      </c>
      <c r="C1741" s="18" t="s">
        <v>677</v>
      </c>
      <c r="D1741" s="18" t="s">
        <v>680</v>
      </c>
      <c r="E1741" s="18" t="s">
        <v>2072</v>
      </c>
      <c r="F1741" s="18">
        <v>1964</v>
      </c>
      <c r="G1741" s="18">
        <v>349</v>
      </c>
      <c r="H1741" s="18">
        <v>118</v>
      </c>
      <c r="I1741" s="18">
        <v>1497</v>
      </c>
    </row>
    <row r="1742" spans="1:9" x14ac:dyDescent="0.3">
      <c r="A1742" t="s">
        <v>2018</v>
      </c>
      <c r="B1742" s="18" t="s">
        <v>667</v>
      </c>
      <c r="C1742" s="18" t="s">
        <v>677</v>
      </c>
      <c r="D1742" s="18" t="s">
        <v>681</v>
      </c>
      <c r="E1742" s="18" t="s">
        <v>2072</v>
      </c>
      <c r="F1742" s="18">
        <v>200</v>
      </c>
      <c r="G1742" s="18">
        <v>66</v>
      </c>
      <c r="H1742" s="18">
        <v>5</v>
      </c>
      <c r="I1742" s="18">
        <v>129</v>
      </c>
    </row>
    <row r="1743" spans="1:9" x14ac:dyDescent="0.3">
      <c r="A1743" t="s">
        <v>2019</v>
      </c>
      <c r="B1743" s="18" t="s">
        <v>667</v>
      </c>
      <c r="C1743" s="18" t="s">
        <v>677</v>
      </c>
      <c r="D1743" s="18" t="s">
        <v>684</v>
      </c>
      <c r="E1743" s="18" t="s">
        <v>2072</v>
      </c>
      <c r="F1743" s="18">
        <v>270</v>
      </c>
      <c r="G1743" s="18">
        <v>99</v>
      </c>
      <c r="H1743" s="18">
        <v>23</v>
      </c>
      <c r="I1743" s="18">
        <v>148</v>
      </c>
    </row>
    <row r="1744" spans="1:9" x14ac:dyDescent="0.3">
      <c r="A1744" t="s">
        <v>1758</v>
      </c>
      <c r="B1744" s="18" t="s">
        <v>667</v>
      </c>
      <c r="C1744" s="18" t="s">
        <v>677</v>
      </c>
      <c r="D1744" s="18" t="s">
        <v>418</v>
      </c>
      <c r="E1744" s="18" t="s">
        <v>2072</v>
      </c>
      <c r="F1744" s="18">
        <v>213</v>
      </c>
      <c r="G1744" s="18">
        <v>77</v>
      </c>
      <c r="H1744" s="18">
        <v>1</v>
      </c>
      <c r="I1744" s="18">
        <v>135</v>
      </c>
    </row>
    <row r="1745" spans="1:9" x14ac:dyDescent="0.3">
      <c r="A1745" t="s">
        <v>1314</v>
      </c>
      <c r="B1745" s="18" t="s">
        <v>667</v>
      </c>
      <c r="C1745" s="18" t="s">
        <v>677</v>
      </c>
      <c r="D1745" s="18" t="s">
        <v>677</v>
      </c>
      <c r="E1745" s="18" t="s">
        <v>2072</v>
      </c>
      <c r="F1745" s="18">
        <v>4505</v>
      </c>
      <c r="G1745" s="18">
        <v>2079</v>
      </c>
      <c r="H1745" s="18">
        <v>204</v>
      </c>
      <c r="I1745" s="18">
        <v>2222</v>
      </c>
    </row>
    <row r="1746" spans="1:9" x14ac:dyDescent="0.3">
      <c r="A1746" t="s">
        <v>1759</v>
      </c>
      <c r="B1746" s="18" t="s">
        <v>667</v>
      </c>
      <c r="C1746" s="18" t="s">
        <v>677</v>
      </c>
      <c r="D1746" s="18" t="s">
        <v>682</v>
      </c>
      <c r="E1746" s="18" t="s">
        <v>2072</v>
      </c>
      <c r="F1746" s="18">
        <v>240</v>
      </c>
      <c r="G1746" s="18">
        <v>92</v>
      </c>
      <c r="H1746" s="18">
        <v>16</v>
      </c>
      <c r="I1746" s="18">
        <v>132</v>
      </c>
    </row>
    <row r="1747" spans="1:9" x14ac:dyDescent="0.3">
      <c r="A1747" t="s">
        <v>1760</v>
      </c>
      <c r="B1747" s="18" t="s">
        <v>667</v>
      </c>
      <c r="C1747" s="18" t="s">
        <v>677</v>
      </c>
      <c r="D1747" s="18" t="s">
        <v>683</v>
      </c>
      <c r="E1747" s="18" t="s">
        <v>2072</v>
      </c>
      <c r="F1747" s="18">
        <v>47</v>
      </c>
      <c r="G1747" s="18">
        <v>15</v>
      </c>
      <c r="H1747" s="18">
        <v>1</v>
      </c>
      <c r="I1747" s="18">
        <v>31</v>
      </c>
    </row>
    <row r="1748" spans="1:9" x14ac:dyDescent="0.3">
      <c r="A1748" t="s">
        <v>1773</v>
      </c>
      <c r="B1748" s="18" t="s">
        <v>667</v>
      </c>
      <c r="C1748" s="18" t="s">
        <v>705</v>
      </c>
      <c r="D1748" s="18" t="s">
        <v>706</v>
      </c>
      <c r="E1748" s="18" t="s">
        <v>2072</v>
      </c>
      <c r="F1748" s="18">
        <v>2002</v>
      </c>
      <c r="G1748" s="18">
        <v>250</v>
      </c>
      <c r="H1748" s="18">
        <v>138</v>
      </c>
      <c r="I1748" s="18">
        <v>1614</v>
      </c>
    </row>
    <row r="1749" spans="1:9" x14ac:dyDescent="0.3">
      <c r="A1749" t="s">
        <v>1292</v>
      </c>
      <c r="B1749" s="18" t="s">
        <v>667</v>
      </c>
      <c r="C1749" s="18" t="s">
        <v>705</v>
      </c>
      <c r="D1749" s="18" t="s">
        <v>705</v>
      </c>
      <c r="E1749" s="18" t="s">
        <v>2072</v>
      </c>
      <c r="F1749" s="18">
        <v>1237</v>
      </c>
      <c r="G1749" s="18">
        <v>340</v>
      </c>
      <c r="H1749" s="18">
        <v>83</v>
      </c>
      <c r="I1749" s="18">
        <v>814</v>
      </c>
    </row>
    <row r="1750" spans="1:9" x14ac:dyDescent="0.3">
      <c r="A1750" t="s">
        <v>1039</v>
      </c>
      <c r="B1750" s="18" t="s">
        <v>667</v>
      </c>
      <c r="C1750" s="18" t="s">
        <v>685</v>
      </c>
      <c r="D1750" s="18" t="s">
        <v>2067</v>
      </c>
      <c r="E1750" s="18" t="s">
        <v>2072</v>
      </c>
      <c r="F1750" s="18">
        <v>1768</v>
      </c>
      <c r="G1750" s="18">
        <v>939</v>
      </c>
      <c r="H1750" s="18">
        <v>128</v>
      </c>
      <c r="I1750" s="18">
        <v>701</v>
      </c>
    </row>
    <row r="1751" spans="1:9" x14ac:dyDescent="0.3">
      <c r="A1751" t="s">
        <v>1761</v>
      </c>
      <c r="B1751" s="18" t="s">
        <v>667</v>
      </c>
      <c r="C1751" s="18" t="s">
        <v>685</v>
      </c>
      <c r="D1751" s="18" t="s">
        <v>687</v>
      </c>
      <c r="E1751" s="18" t="s">
        <v>2072</v>
      </c>
      <c r="F1751" s="18">
        <v>396</v>
      </c>
      <c r="G1751" s="18">
        <v>175</v>
      </c>
      <c r="H1751" s="18">
        <v>27</v>
      </c>
      <c r="I1751" s="18">
        <v>194</v>
      </c>
    </row>
    <row r="1752" spans="1:9" x14ac:dyDescent="0.3">
      <c r="A1752" t="s">
        <v>2020</v>
      </c>
      <c r="B1752" s="18" t="s">
        <v>667</v>
      </c>
      <c r="C1752" s="18" t="s">
        <v>685</v>
      </c>
      <c r="D1752" s="18" t="s">
        <v>138</v>
      </c>
      <c r="E1752" s="18" t="s">
        <v>2072</v>
      </c>
      <c r="F1752" s="18">
        <v>404</v>
      </c>
      <c r="G1752" s="18">
        <v>52</v>
      </c>
      <c r="H1752" s="18">
        <v>4</v>
      </c>
      <c r="I1752" s="18">
        <v>348</v>
      </c>
    </row>
    <row r="1753" spans="1:9" x14ac:dyDescent="0.3">
      <c r="A1753" t="s">
        <v>2021</v>
      </c>
      <c r="B1753" s="18" t="s">
        <v>667</v>
      </c>
      <c r="C1753" s="18" t="s">
        <v>685</v>
      </c>
      <c r="D1753" s="18" t="s">
        <v>688</v>
      </c>
      <c r="E1753" s="18" t="s">
        <v>2072</v>
      </c>
      <c r="F1753" s="18">
        <v>136</v>
      </c>
      <c r="G1753" s="18">
        <v>45</v>
      </c>
      <c r="H1753" s="18">
        <v>4</v>
      </c>
      <c r="I1753" s="18">
        <v>87</v>
      </c>
    </row>
    <row r="1754" spans="1:9" x14ac:dyDescent="0.3">
      <c r="A1754" t="s">
        <v>1762</v>
      </c>
      <c r="B1754" s="18" t="s">
        <v>667</v>
      </c>
      <c r="C1754" s="18" t="s">
        <v>685</v>
      </c>
      <c r="D1754" s="18" t="s">
        <v>689</v>
      </c>
      <c r="E1754" s="18" t="s">
        <v>2072</v>
      </c>
      <c r="F1754" s="18">
        <v>267</v>
      </c>
      <c r="G1754" s="18">
        <v>56</v>
      </c>
      <c r="H1754" s="18">
        <v>1</v>
      </c>
      <c r="I1754" s="18">
        <v>210</v>
      </c>
    </row>
    <row r="1755" spans="1:9" x14ac:dyDescent="0.3">
      <c r="A1755" t="s">
        <v>1763</v>
      </c>
      <c r="B1755" s="18" t="s">
        <v>667</v>
      </c>
      <c r="C1755" s="18" t="s">
        <v>685</v>
      </c>
      <c r="D1755" s="18" t="s">
        <v>690</v>
      </c>
      <c r="E1755" s="18" t="s">
        <v>2072</v>
      </c>
      <c r="F1755" s="18">
        <v>404</v>
      </c>
      <c r="G1755" s="18">
        <v>56</v>
      </c>
      <c r="H1755" s="18">
        <v>21</v>
      </c>
      <c r="I1755" s="18">
        <v>327</v>
      </c>
    </row>
    <row r="1756" spans="1:9" x14ac:dyDescent="0.3">
      <c r="A1756" t="s">
        <v>1778</v>
      </c>
      <c r="B1756" s="18" t="s">
        <v>667</v>
      </c>
      <c r="C1756" s="18" t="s">
        <v>717</v>
      </c>
      <c r="D1756" s="18" t="s">
        <v>717</v>
      </c>
      <c r="E1756" s="18" t="s">
        <v>2072</v>
      </c>
      <c r="F1756" s="18">
        <v>882</v>
      </c>
      <c r="G1756" s="18">
        <v>217</v>
      </c>
      <c r="H1756" s="18">
        <v>29</v>
      </c>
      <c r="I1756" s="18">
        <v>636</v>
      </c>
    </row>
    <row r="1757" spans="1:9" x14ac:dyDescent="0.3">
      <c r="A1757" t="s">
        <v>1779</v>
      </c>
      <c r="B1757" s="18" t="s">
        <v>667</v>
      </c>
      <c r="C1757" s="18" t="s">
        <v>717</v>
      </c>
      <c r="D1757" s="18" t="s">
        <v>719</v>
      </c>
      <c r="E1757" s="18" t="s">
        <v>2072</v>
      </c>
      <c r="F1757" s="18">
        <v>791</v>
      </c>
      <c r="G1757" s="18">
        <v>86</v>
      </c>
      <c r="H1757" s="18">
        <v>54</v>
      </c>
      <c r="I1757" s="18">
        <v>651</v>
      </c>
    </row>
    <row r="1758" spans="1:9" x14ac:dyDescent="0.3">
      <c r="A1758" t="s">
        <v>2026</v>
      </c>
      <c r="B1758" s="18" t="s">
        <v>667</v>
      </c>
      <c r="C1758" s="18" t="s">
        <v>717</v>
      </c>
      <c r="D1758" s="18" t="s">
        <v>718</v>
      </c>
      <c r="E1758" s="18" t="s">
        <v>2072</v>
      </c>
      <c r="F1758" s="18">
        <v>589</v>
      </c>
      <c r="G1758" s="18">
        <v>38</v>
      </c>
      <c r="H1758" s="18">
        <v>53</v>
      </c>
      <c r="I1758" s="18">
        <v>498</v>
      </c>
    </row>
    <row r="1759" spans="1:9" x14ac:dyDescent="0.3">
      <c r="A1759" t="s">
        <v>1748</v>
      </c>
      <c r="B1759" s="18" t="s">
        <v>667</v>
      </c>
      <c r="C1759" s="18" t="s">
        <v>668</v>
      </c>
      <c r="D1759" s="18" t="s">
        <v>670</v>
      </c>
      <c r="E1759" s="18" t="s">
        <v>2072</v>
      </c>
      <c r="F1759" s="18">
        <v>145</v>
      </c>
      <c r="G1759" s="18">
        <v>38</v>
      </c>
      <c r="H1759" s="18">
        <v>15</v>
      </c>
      <c r="I1759" s="18">
        <v>92</v>
      </c>
    </row>
    <row r="1760" spans="1:9" x14ac:dyDescent="0.3">
      <c r="A1760" t="s">
        <v>1754</v>
      </c>
      <c r="B1760" s="18" t="s">
        <v>667</v>
      </c>
      <c r="C1760" s="18" t="s">
        <v>668</v>
      </c>
      <c r="D1760" s="18" t="s">
        <v>675</v>
      </c>
      <c r="E1760" s="18" t="s">
        <v>2072</v>
      </c>
      <c r="F1760" s="18">
        <v>787</v>
      </c>
      <c r="G1760" s="18">
        <v>34</v>
      </c>
      <c r="H1760" s="18">
        <v>50</v>
      </c>
      <c r="I1760" s="18">
        <v>703</v>
      </c>
    </row>
    <row r="1761" spans="1:9" x14ac:dyDescent="0.3">
      <c r="A1761" t="s">
        <v>1749</v>
      </c>
      <c r="B1761" s="18" t="s">
        <v>667</v>
      </c>
      <c r="C1761" s="18" t="s">
        <v>668</v>
      </c>
      <c r="D1761" s="18" t="s">
        <v>671</v>
      </c>
      <c r="E1761" s="18" t="s">
        <v>2072</v>
      </c>
      <c r="F1761" s="18">
        <v>1793</v>
      </c>
      <c r="G1761" s="18">
        <v>794</v>
      </c>
      <c r="H1761" s="18">
        <v>165</v>
      </c>
      <c r="I1761" s="18">
        <v>834</v>
      </c>
    </row>
    <row r="1762" spans="1:9" x14ac:dyDescent="0.3">
      <c r="A1762" t="s">
        <v>1350</v>
      </c>
      <c r="B1762" s="18" t="s">
        <v>667</v>
      </c>
      <c r="C1762" s="18" t="s">
        <v>668</v>
      </c>
      <c r="D1762" s="18" t="s">
        <v>669</v>
      </c>
      <c r="E1762" s="18" t="s">
        <v>2072</v>
      </c>
      <c r="F1762" s="18">
        <v>8461</v>
      </c>
      <c r="G1762" s="18">
        <v>4384</v>
      </c>
      <c r="H1762" s="18">
        <v>611</v>
      </c>
      <c r="I1762" s="18">
        <v>3466</v>
      </c>
    </row>
    <row r="1763" spans="1:9" x14ac:dyDescent="0.3">
      <c r="A1763" t="s">
        <v>1755</v>
      </c>
      <c r="B1763" s="18" t="s">
        <v>667</v>
      </c>
      <c r="C1763" s="18" t="s">
        <v>668</v>
      </c>
      <c r="D1763" s="18" t="s">
        <v>676</v>
      </c>
      <c r="E1763" s="18" t="s">
        <v>2072</v>
      </c>
      <c r="F1763" s="18">
        <v>1115</v>
      </c>
      <c r="G1763" s="18">
        <v>392</v>
      </c>
      <c r="H1763" s="18">
        <v>96</v>
      </c>
      <c r="I1763" s="18">
        <v>627</v>
      </c>
    </row>
    <row r="1764" spans="1:9" x14ac:dyDescent="0.3">
      <c r="A1764" t="s">
        <v>1750</v>
      </c>
      <c r="B1764" s="18" t="s">
        <v>667</v>
      </c>
      <c r="C1764" s="18" t="s">
        <v>668</v>
      </c>
      <c r="D1764" s="18" t="s">
        <v>169</v>
      </c>
      <c r="E1764" s="18" t="s">
        <v>2072</v>
      </c>
      <c r="F1764" s="18">
        <v>420</v>
      </c>
      <c r="G1764" s="18">
        <v>172</v>
      </c>
      <c r="H1764" s="18">
        <v>39</v>
      </c>
      <c r="I1764" s="18">
        <v>209</v>
      </c>
    </row>
    <row r="1765" spans="1:9" x14ac:dyDescent="0.3">
      <c r="A1765" t="s">
        <v>1751</v>
      </c>
      <c r="B1765" s="18" t="s">
        <v>667</v>
      </c>
      <c r="C1765" s="18" t="s">
        <v>668</v>
      </c>
      <c r="D1765" s="18" t="s">
        <v>672</v>
      </c>
      <c r="E1765" s="18" t="s">
        <v>2072</v>
      </c>
      <c r="F1765" s="18">
        <v>5746</v>
      </c>
      <c r="G1765" s="18">
        <v>997</v>
      </c>
      <c r="H1765" s="18">
        <v>545</v>
      </c>
      <c r="I1765" s="18">
        <v>4204</v>
      </c>
    </row>
    <row r="1766" spans="1:9" x14ac:dyDescent="0.3">
      <c r="A1766" t="s">
        <v>1752</v>
      </c>
      <c r="B1766" s="18" t="s">
        <v>667</v>
      </c>
      <c r="C1766" s="18" t="s">
        <v>668</v>
      </c>
      <c r="D1766" s="18" t="s">
        <v>673</v>
      </c>
      <c r="E1766" s="18" t="s">
        <v>2072</v>
      </c>
      <c r="F1766" s="18">
        <v>349</v>
      </c>
      <c r="G1766" s="18">
        <v>87</v>
      </c>
      <c r="H1766" s="18">
        <v>21</v>
      </c>
      <c r="I1766" s="18">
        <v>241</v>
      </c>
    </row>
    <row r="1767" spans="1:9" x14ac:dyDescent="0.3">
      <c r="A1767" t="s">
        <v>1753</v>
      </c>
      <c r="B1767" s="18" t="s">
        <v>667</v>
      </c>
      <c r="C1767" s="18" t="s">
        <v>668</v>
      </c>
      <c r="D1767" s="18" t="s">
        <v>674</v>
      </c>
      <c r="E1767" s="18" t="s">
        <v>2072</v>
      </c>
      <c r="F1767" s="18">
        <v>81</v>
      </c>
      <c r="G1767" s="18">
        <v>42</v>
      </c>
      <c r="H1767" s="18">
        <v>11</v>
      </c>
      <c r="I1767" s="18">
        <v>28</v>
      </c>
    </row>
    <row r="1768" spans="1:9" x14ac:dyDescent="0.3">
      <c r="A1768" t="s">
        <v>1060</v>
      </c>
      <c r="B1768" s="18" t="s">
        <v>667</v>
      </c>
      <c r="C1768" s="18" t="s">
        <v>720</v>
      </c>
      <c r="D1768" s="18" t="s">
        <v>720</v>
      </c>
      <c r="E1768" s="18" t="s">
        <v>2072</v>
      </c>
      <c r="F1768" s="18">
        <v>750</v>
      </c>
      <c r="G1768" s="18">
        <v>199</v>
      </c>
      <c r="H1768" s="18">
        <v>22</v>
      </c>
      <c r="I1768" s="18">
        <v>529</v>
      </c>
    </row>
    <row r="1769" spans="1:9" x14ac:dyDescent="0.3">
      <c r="A1769" t="s">
        <v>1764</v>
      </c>
      <c r="B1769" s="18" t="s">
        <v>667</v>
      </c>
      <c r="C1769" s="18" t="s">
        <v>691</v>
      </c>
      <c r="D1769" s="18" t="s">
        <v>694</v>
      </c>
      <c r="E1769" s="18" t="s">
        <v>2072</v>
      </c>
      <c r="F1769" s="18">
        <v>410</v>
      </c>
      <c r="G1769" s="18">
        <v>111</v>
      </c>
      <c r="H1769" s="18">
        <v>6</v>
      </c>
      <c r="I1769" s="18">
        <v>293</v>
      </c>
    </row>
    <row r="1770" spans="1:9" x14ac:dyDescent="0.3">
      <c r="A1770" t="s">
        <v>1239</v>
      </c>
      <c r="B1770" s="18" t="s">
        <v>667</v>
      </c>
      <c r="C1770" s="18" t="s">
        <v>691</v>
      </c>
      <c r="D1770" s="18" t="s">
        <v>692</v>
      </c>
      <c r="E1770" s="18" t="s">
        <v>2072</v>
      </c>
      <c r="F1770" s="18">
        <v>291</v>
      </c>
      <c r="G1770" s="18">
        <v>48</v>
      </c>
      <c r="H1770" s="18">
        <v>19</v>
      </c>
      <c r="I1770" s="18">
        <v>224</v>
      </c>
    </row>
    <row r="1771" spans="1:9" x14ac:dyDescent="0.3">
      <c r="A1771" t="s">
        <v>1051</v>
      </c>
      <c r="B1771" s="18" t="s">
        <v>667</v>
      </c>
      <c r="C1771" s="18" t="s">
        <v>691</v>
      </c>
      <c r="D1771" s="18" t="s">
        <v>279</v>
      </c>
      <c r="E1771" s="18" t="s">
        <v>2072</v>
      </c>
      <c r="F1771" s="18">
        <v>102</v>
      </c>
      <c r="G1771" s="18">
        <v>28</v>
      </c>
      <c r="H1771" s="18">
        <v>6</v>
      </c>
      <c r="I1771" s="18">
        <v>68</v>
      </c>
    </row>
    <row r="1772" spans="1:9" x14ac:dyDescent="0.3">
      <c r="A1772" t="s">
        <v>1152</v>
      </c>
      <c r="B1772" s="18" t="s">
        <v>667</v>
      </c>
      <c r="C1772" s="18" t="s">
        <v>691</v>
      </c>
      <c r="D1772" s="18" t="s">
        <v>691</v>
      </c>
      <c r="E1772" s="18" t="s">
        <v>2072</v>
      </c>
      <c r="F1772" s="18">
        <v>2455</v>
      </c>
      <c r="G1772" s="18">
        <v>1310</v>
      </c>
      <c r="H1772" s="18">
        <v>189</v>
      </c>
      <c r="I1772" s="18">
        <v>956</v>
      </c>
    </row>
    <row r="1773" spans="1:9" x14ac:dyDescent="0.3">
      <c r="A1773" t="s">
        <v>1165</v>
      </c>
      <c r="B1773" s="18" t="s">
        <v>667</v>
      </c>
      <c r="C1773" s="18" t="s">
        <v>691</v>
      </c>
      <c r="D1773" s="18" t="s">
        <v>693</v>
      </c>
      <c r="E1773" s="18" t="s">
        <v>2072</v>
      </c>
      <c r="F1773" s="18">
        <v>780</v>
      </c>
      <c r="G1773" s="18">
        <v>231</v>
      </c>
      <c r="H1773" s="18">
        <v>37</v>
      </c>
      <c r="I1773" s="18">
        <v>512</v>
      </c>
    </row>
    <row r="1774" spans="1:9" x14ac:dyDescent="0.3">
      <c r="A1774" t="s">
        <v>2022</v>
      </c>
      <c r="B1774" s="18" t="s">
        <v>667</v>
      </c>
      <c r="C1774" s="18" t="s">
        <v>707</v>
      </c>
      <c r="D1774" s="18" t="s">
        <v>708</v>
      </c>
      <c r="E1774" s="18" t="s">
        <v>2072</v>
      </c>
      <c r="F1774" s="18">
        <v>70</v>
      </c>
      <c r="G1774" s="18">
        <v>22</v>
      </c>
      <c r="H1774" s="18">
        <v>5</v>
      </c>
      <c r="I1774" s="18">
        <v>43</v>
      </c>
    </row>
    <row r="1775" spans="1:9" x14ac:dyDescent="0.3">
      <c r="A1775" t="s">
        <v>2023</v>
      </c>
      <c r="B1775" s="18" t="s">
        <v>667</v>
      </c>
      <c r="C1775" s="18" t="s">
        <v>707</v>
      </c>
      <c r="D1775" s="18" t="s">
        <v>709</v>
      </c>
      <c r="E1775" s="18" t="s">
        <v>2072</v>
      </c>
      <c r="F1775" s="18">
        <v>224</v>
      </c>
      <c r="G1775" s="18">
        <v>9</v>
      </c>
      <c r="H1775" s="18">
        <v>23</v>
      </c>
      <c r="I1775" s="18">
        <v>192</v>
      </c>
    </row>
    <row r="1776" spans="1:9" x14ac:dyDescent="0.3">
      <c r="A1776" t="s">
        <v>2024</v>
      </c>
      <c r="B1776" s="18" t="s">
        <v>667</v>
      </c>
      <c r="C1776" s="18" t="s">
        <v>707</v>
      </c>
      <c r="D1776" s="18" t="s">
        <v>710</v>
      </c>
      <c r="E1776" s="18" t="s">
        <v>2072</v>
      </c>
      <c r="F1776" s="18">
        <v>67</v>
      </c>
      <c r="G1776" s="18">
        <v>14</v>
      </c>
      <c r="H1776" s="18">
        <v>2</v>
      </c>
      <c r="I1776" s="18">
        <v>51</v>
      </c>
    </row>
    <row r="1777" spans="1:9" x14ac:dyDescent="0.3">
      <c r="A1777" t="s">
        <v>1348</v>
      </c>
      <c r="B1777" s="18" t="s">
        <v>667</v>
      </c>
      <c r="C1777" s="18" t="s">
        <v>707</v>
      </c>
      <c r="D1777" s="18" t="s">
        <v>707</v>
      </c>
      <c r="E1777" s="18" t="s">
        <v>2072</v>
      </c>
      <c r="F1777" s="18">
        <v>946</v>
      </c>
      <c r="G1777" s="18">
        <v>419</v>
      </c>
      <c r="H1777" s="18">
        <v>53</v>
      </c>
      <c r="I1777" s="18">
        <v>474</v>
      </c>
    </row>
    <row r="1778" spans="1:9" x14ac:dyDescent="0.3">
      <c r="A1778" t="s">
        <v>2025</v>
      </c>
      <c r="B1778" s="18" t="s">
        <v>667</v>
      </c>
      <c r="C1778" s="18" t="s">
        <v>707</v>
      </c>
      <c r="D1778" s="18" t="s">
        <v>711</v>
      </c>
      <c r="E1778" s="18" t="s">
        <v>2072</v>
      </c>
      <c r="F1778" s="18">
        <v>158</v>
      </c>
      <c r="G1778" s="18">
        <v>49</v>
      </c>
      <c r="H1778" s="18">
        <v>9</v>
      </c>
      <c r="I1778" s="18">
        <v>100</v>
      </c>
    </row>
    <row r="1779" spans="1:9" x14ac:dyDescent="0.3">
      <c r="A1779" t="s">
        <v>1131</v>
      </c>
      <c r="B1779" s="18" t="s">
        <v>667</v>
      </c>
      <c r="C1779" s="18" t="s">
        <v>114</v>
      </c>
      <c r="D1779" s="18" t="s">
        <v>697</v>
      </c>
      <c r="E1779" s="18" t="s">
        <v>2072</v>
      </c>
      <c r="F1779" s="18">
        <v>243</v>
      </c>
      <c r="G1779" s="18">
        <v>70</v>
      </c>
      <c r="H1779" s="18">
        <v>12</v>
      </c>
      <c r="I1779" s="18">
        <v>161</v>
      </c>
    </row>
    <row r="1780" spans="1:9" x14ac:dyDescent="0.3">
      <c r="A1780" t="s">
        <v>1765</v>
      </c>
      <c r="B1780" s="18" t="s">
        <v>667</v>
      </c>
      <c r="C1780" s="18" t="s">
        <v>114</v>
      </c>
      <c r="D1780" s="18" t="s">
        <v>696</v>
      </c>
      <c r="E1780" s="18" t="s">
        <v>2072</v>
      </c>
      <c r="F1780" s="18">
        <v>137</v>
      </c>
      <c r="G1780" s="18">
        <v>53</v>
      </c>
      <c r="H1780" s="18">
        <v>6</v>
      </c>
      <c r="I1780" s="18">
        <v>78</v>
      </c>
    </row>
    <row r="1781" spans="1:9" x14ac:dyDescent="0.3">
      <c r="A1781" t="s">
        <v>1766</v>
      </c>
      <c r="B1781" s="18" t="s">
        <v>667</v>
      </c>
      <c r="C1781" s="18" t="s">
        <v>114</v>
      </c>
      <c r="D1781" s="18" t="s">
        <v>698</v>
      </c>
      <c r="E1781" s="18" t="s">
        <v>2072</v>
      </c>
      <c r="F1781" s="18">
        <v>632</v>
      </c>
      <c r="G1781" s="18">
        <v>140</v>
      </c>
      <c r="H1781" s="18">
        <v>62</v>
      </c>
      <c r="I1781" s="18">
        <v>430</v>
      </c>
    </row>
    <row r="1782" spans="1:9" x14ac:dyDescent="0.3">
      <c r="A1782" t="s">
        <v>1769</v>
      </c>
      <c r="B1782" s="18" t="s">
        <v>667</v>
      </c>
      <c r="C1782" s="18" t="s">
        <v>114</v>
      </c>
      <c r="D1782" s="18" t="s">
        <v>701</v>
      </c>
      <c r="E1782" s="18" t="s">
        <v>2072</v>
      </c>
      <c r="F1782" s="18">
        <v>384</v>
      </c>
      <c r="G1782" s="18">
        <v>70</v>
      </c>
      <c r="H1782" s="18">
        <v>14</v>
      </c>
      <c r="I1782" s="18">
        <v>300</v>
      </c>
    </row>
    <row r="1783" spans="1:9" x14ac:dyDescent="0.3">
      <c r="A1783" t="s">
        <v>1767</v>
      </c>
      <c r="B1783" s="18" t="s">
        <v>667</v>
      </c>
      <c r="C1783" s="18" t="s">
        <v>114</v>
      </c>
      <c r="D1783" s="18" t="s">
        <v>699</v>
      </c>
      <c r="E1783" s="18" t="s">
        <v>2072</v>
      </c>
      <c r="F1783" s="18">
        <v>196</v>
      </c>
      <c r="G1783" s="18">
        <v>49</v>
      </c>
      <c r="H1783" s="18">
        <v>8</v>
      </c>
      <c r="I1783" s="18">
        <v>139</v>
      </c>
    </row>
    <row r="1784" spans="1:9" x14ac:dyDescent="0.3">
      <c r="A1784" t="s">
        <v>1110</v>
      </c>
      <c r="B1784" s="18" t="s">
        <v>667</v>
      </c>
      <c r="C1784" s="18" t="s">
        <v>114</v>
      </c>
      <c r="D1784" s="18" t="s">
        <v>695</v>
      </c>
      <c r="E1784" s="18" t="s">
        <v>2072</v>
      </c>
      <c r="F1784" s="18">
        <v>1254</v>
      </c>
      <c r="G1784" s="18">
        <v>583</v>
      </c>
      <c r="H1784" s="18">
        <v>77</v>
      </c>
      <c r="I1784" s="18">
        <v>594</v>
      </c>
    </row>
    <row r="1785" spans="1:9" x14ac:dyDescent="0.3">
      <c r="A1785" t="s">
        <v>1768</v>
      </c>
      <c r="B1785" s="18" t="s">
        <v>667</v>
      </c>
      <c r="C1785" s="18" t="s">
        <v>114</v>
      </c>
      <c r="D1785" s="18" t="s">
        <v>700</v>
      </c>
      <c r="E1785" s="18" t="s">
        <v>2072</v>
      </c>
      <c r="F1785" s="18">
        <v>543</v>
      </c>
      <c r="G1785" s="18">
        <v>154</v>
      </c>
      <c r="H1785" s="18">
        <v>60</v>
      </c>
      <c r="I1785" s="18">
        <v>329</v>
      </c>
    </row>
    <row r="1786" spans="1:9" x14ac:dyDescent="0.3">
      <c r="A1786" t="s">
        <v>1770</v>
      </c>
      <c r="B1786" s="18" t="s">
        <v>667</v>
      </c>
      <c r="C1786" s="18" t="s">
        <v>702</v>
      </c>
      <c r="D1786" s="18" t="s">
        <v>104</v>
      </c>
      <c r="E1786" s="18" t="s">
        <v>2072</v>
      </c>
      <c r="F1786" s="18">
        <v>752</v>
      </c>
      <c r="G1786" s="18">
        <v>65</v>
      </c>
      <c r="H1786" s="18">
        <v>40</v>
      </c>
      <c r="I1786" s="18">
        <v>647</v>
      </c>
    </row>
    <row r="1787" spans="1:9" x14ac:dyDescent="0.3">
      <c r="A1787" t="s">
        <v>1771</v>
      </c>
      <c r="B1787" s="18" t="s">
        <v>667</v>
      </c>
      <c r="C1787" s="18" t="s">
        <v>702</v>
      </c>
      <c r="D1787" s="18" t="s">
        <v>703</v>
      </c>
      <c r="E1787" s="18" t="s">
        <v>2072</v>
      </c>
      <c r="F1787" s="18">
        <v>1214</v>
      </c>
      <c r="G1787" s="18">
        <v>268</v>
      </c>
      <c r="H1787" s="18">
        <v>89</v>
      </c>
      <c r="I1787" s="18">
        <v>857</v>
      </c>
    </row>
    <row r="1788" spans="1:9" x14ac:dyDescent="0.3">
      <c r="A1788" t="s">
        <v>1772</v>
      </c>
      <c r="B1788" s="18" t="s">
        <v>667</v>
      </c>
      <c r="C1788" s="18" t="s">
        <v>702</v>
      </c>
      <c r="D1788" s="18" t="s">
        <v>704</v>
      </c>
      <c r="E1788" s="18" t="s">
        <v>2072</v>
      </c>
      <c r="F1788" s="18">
        <v>493</v>
      </c>
      <c r="G1788" s="18">
        <v>212</v>
      </c>
      <c r="H1788" s="18">
        <v>17</v>
      </c>
      <c r="I1788" s="18">
        <v>264</v>
      </c>
    </row>
    <row r="1789" spans="1:9" x14ac:dyDescent="0.3">
      <c r="A1789" t="s">
        <v>1394</v>
      </c>
      <c r="B1789" s="18" t="s">
        <v>667</v>
      </c>
      <c r="C1789" s="18" t="s">
        <v>702</v>
      </c>
      <c r="D1789" s="18" t="s">
        <v>702</v>
      </c>
      <c r="E1789" s="18" t="s">
        <v>2072</v>
      </c>
      <c r="F1789" s="18">
        <v>5891</v>
      </c>
      <c r="G1789" s="18">
        <v>2383</v>
      </c>
      <c r="H1789" s="18">
        <v>430</v>
      </c>
      <c r="I1789" s="18">
        <v>3078</v>
      </c>
    </row>
    <row r="1790" spans="1:9" x14ac:dyDescent="0.3">
      <c r="A1790" t="s">
        <v>1774</v>
      </c>
      <c r="B1790" s="18" t="s">
        <v>667</v>
      </c>
      <c r="C1790" s="18" t="s">
        <v>712</v>
      </c>
      <c r="D1790" s="18" t="s">
        <v>713</v>
      </c>
      <c r="E1790" s="18" t="s">
        <v>2072</v>
      </c>
      <c r="F1790" s="18">
        <v>520</v>
      </c>
      <c r="G1790" s="18">
        <v>9</v>
      </c>
      <c r="H1790" s="18">
        <v>112</v>
      </c>
      <c r="I1790" s="18">
        <v>399</v>
      </c>
    </row>
    <row r="1791" spans="1:9" x14ac:dyDescent="0.3">
      <c r="A1791" t="s">
        <v>1775</v>
      </c>
      <c r="B1791" s="18" t="s">
        <v>667</v>
      </c>
      <c r="C1791" s="18" t="s">
        <v>712</v>
      </c>
      <c r="D1791" s="18" t="s">
        <v>714</v>
      </c>
      <c r="E1791" s="18" t="s">
        <v>2072</v>
      </c>
      <c r="F1791" s="18">
        <v>1888</v>
      </c>
      <c r="G1791" s="18">
        <v>111</v>
      </c>
      <c r="H1791" s="18">
        <v>116</v>
      </c>
      <c r="I1791" s="18">
        <v>1661</v>
      </c>
    </row>
    <row r="1792" spans="1:9" x14ac:dyDescent="0.3">
      <c r="A1792" t="s">
        <v>1777</v>
      </c>
      <c r="B1792" s="18" t="s">
        <v>667</v>
      </c>
      <c r="C1792" s="18" t="s">
        <v>712</v>
      </c>
      <c r="D1792" s="18" t="s">
        <v>716</v>
      </c>
      <c r="E1792" s="18" t="s">
        <v>2072</v>
      </c>
      <c r="F1792" s="18">
        <v>1032</v>
      </c>
      <c r="G1792" s="18">
        <v>73</v>
      </c>
      <c r="H1792" s="18">
        <v>9</v>
      </c>
      <c r="I1792" s="18">
        <v>950</v>
      </c>
    </row>
    <row r="1793" spans="1:9" x14ac:dyDescent="0.3">
      <c r="A1793" t="s">
        <v>1465</v>
      </c>
      <c r="B1793" s="18" t="s">
        <v>667</v>
      </c>
      <c r="C1793" s="18" t="s">
        <v>712</v>
      </c>
      <c r="D1793" s="18" t="s">
        <v>712</v>
      </c>
      <c r="E1793" s="18" t="s">
        <v>2072</v>
      </c>
      <c r="F1793" s="18">
        <v>2211</v>
      </c>
      <c r="G1793" s="18">
        <v>316</v>
      </c>
      <c r="H1793" s="18">
        <v>103</v>
      </c>
      <c r="I1793" s="18">
        <v>1792</v>
      </c>
    </row>
    <row r="1794" spans="1:9" x14ac:dyDescent="0.3">
      <c r="A1794" t="s">
        <v>1776</v>
      </c>
      <c r="B1794" s="18" t="s">
        <v>667</v>
      </c>
      <c r="C1794" s="18" t="s">
        <v>712</v>
      </c>
      <c r="D1794" s="18" t="s">
        <v>715</v>
      </c>
      <c r="E1794" s="18" t="s">
        <v>2072</v>
      </c>
      <c r="F1794" s="18">
        <v>1299</v>
      </c>
      <c r="G1794" s="18">
        <v>77</v>
      </c>
      <c r="H1794" s="18">
        <v>69</v>
      </c>
      <c r="I1794" s="18">
        <v>1153</v>
      </c>
    </row>
    <row r="1795" spans="1:9" x14ac:dyDescent="0.3">
      <c r="A1795" t="s">
        <v>1781</v>
      </c>
      <c r="B1795" s="18" t="s">
        <v>667</v>
      </c>
      <c r="C1795" s="18" t="s">
        <v>721</v>
      </c>
      <c r="D1795" s="18" t="s">
        <v>722</v>
      </c>
      <c r="E1795" s="18" t="s">
        <v>2072</v>
      </c>
      <c r="F1795" s="18">
        <v>1002</v>
      </c>
      <c r="G1795" s="18">
        <v>215</v>
      </c>
      <c r="H1795" s="18">
        <v>49</v>
      </c>
      <c r="I1795" s="18">
        <v>738</v>
      </c>
    </row>
    <row r="1796" spans="1:9" x14ac:dyDescent="0.3">
      <c r="A1796" t="s">
        <v>1780</v>
      </c>
      <c r="B1796" s="18" t="s">
        <v>667</v>
      </c>
      <c r="C1796" s="18" t="s">
        <v>721</v>
      </c>
      <c r="D1796" s="18" t="s">
        <v>114</v>
      </c>
      <c r="E1796" s="18" t="s">
        <v>2072</v>
      </c>
      <c r="F1796" s="18">
        <v>1556</v>
      </c>
      <c r="G1796" s="18">
        <v>329</v>
      </c>
      <c r="H1796" s="18">
        <v>50</v>
      </c>
      <c r="I1796" s="18">
        <v>1177</v>
      </c>
    </row>
    <row r="1797" spans="1:9" x14ac:dyDescent="0.3">
      <c r="A1797" t="s">
        <v>1367</v>
      </c>
      <c r="B1797" s="18" t="s">
        <v>723</v>
      </c>
      <c r="C1797" s="18" t="s">
        <v>732</v>
      </c>
      <c r="D1797" s="18" t="s">
        <v>732</v>
      </c>
      <c r="E1797" s="18" t="s">
        <v>2072</v>
      </c>
      <c r="F1797" s="18">
        <v>5343</v>
      </c>
      <c r="G1797" s="18">
        <v>1993</v>
      </c>
      <c r="H1797" s="18">
        <v>432</v>
      </c>
      <c r="I1797" s="18">
        <v>2918</v>
      </c>
    </row>
    <row r="1798" spans="1:9" x14ac:dyDescent="0.3">
      <c r="A1798" t="s">
        <v>1787</v>
      </c>
      <c r="B1798" s="18" t="s">
        <v>723</v>
      </c>
      <c r="C1798" s="18" t="s">
        <v>732</v>
      </c>
      <c r="D1798" s="18" t="s">
        <v>733</v>
      </c>
      <c r="E1798" s="18" t="s">
        <v>2072</v>
      </c>
      <c r="F1798" s="18">
        <v>2271</v>
      </c>
      <c r="G1798" s="18">
        <v>529</v>
      </c>
      <c r="H1798" s="18">
        <v>188</v>
      </c>
      <c r="I1798" s="18">
        <v>1554</v>
      </c>
    </row>
    <row r="1799" spans="1:9" x14ac:dyDescent="0.3">
      <c r="A1799" t="s">
        <v>1788</v>
      </c>
      <c r="B1799" s="18" t="s">
        <v>723</v>
      </c>
      <c r="C1799" s="18" t="s">
        <v>732</v>
      </c>
      <c r="D1799" s="18" t="s">
        <v>735</v>
      </c>
      <c r="E1799" s="18" t="s">
        <v>2072</v>
      </c>
      <c r="F1799" s="18">
        <v>856</v>
      </c>
      <c r="G1799" s="18">
        <v>252</v>
      </c>
      <c r="H1799" s="18">
        <v>48</v>
      </c>
      <c r="I1799" s="18">
        <v>556</v>
      </c>
    </row>
    <row r="1800" spans="1:9" x14ac:dyDescent="0.3">
      <c r="A1800" t="s">
        <v>2027</v>
      </c>
      <c r="B1800" s="18" t="s">
        <v>723</v>
      </c>
      <c r="C1800" s="18" t="s">
        <v>732</v>
      </c>
      <c r="D1800" s="18" t="s">
        <v>734</v>
      </c>
      <c r="E1800" s="18" t="s">
        <v>2072</v>
      </c>
      <c r="F1800" s="18">
        <v>1666</v>
      </c>
      <c r="G1800" s="18">
        <v>324</v>
      </c>
      <c r="H1800" s="18">
        <v>92</v>
      </c>
      <c r="I1800" s="18">
        <v>1250</v>
      </c>
    </row>
    <row r="1801" spans="1:9" x14ac:dyDescent="0.3">
      <c r="A1801" t="s">
        <v>1281</v>
      </c>
      <c r="B1801" s="18" t="s">
        <v>723</v>
      </c>
      <c r="C1801" s="18" t="s">
        <v>748</v>
      </c>
      <c r="D1801" s="18" t="s">
        <v>748</v>
      </c>
      <c r="E1801" s="18" t="s">
        <v>2072</v>
      </c>
      <c r="F1801" s="18">
        <v>1571</v>
      </c>
      <c r="G1801" s="18">
        <v>662</v>
      </c>
      <c r="H1801" s="18">
        <v>82</v>
      </c>
      <c r="I1801" s="18">
        <v>827</v>
      </c>
    </row>
    <row r="1802" spans="1:9" x14ac:dyDescent="0.3">
      <c r="A1802" t="s">
        <v>1084</v>
      </c>
      <c r="B1802" s="18" t="s">
        <v>723</v>
      </c>
      <c r="C1802" s="18" t="s">
        <v>736</v>
      </c>
      <c r="D1802" s="18" t="s">
        <v>736</v>
      </c>
      <c r="E1802" s="18" t="s">
        <v>2072</v>
      </c>
      <c r="F1802" s="18">
        <v>2144</v>
      </c>
      <c r="G1802" s="18">
        <v>957</v>
      </c>
      <c r="H1802" s="18">
        <v>259</v>
      </c>
      <c r="I1802" s="18">
        <v>928</v>
      </c>
    </row>
    <row r="1803" spans="1:9" x14ac:dyDescent="0.3">
      <c r="A1803" t="s">
        <v>1398</v>
      </c>
      <c r="B1803" s="18" t="s">
        <v>723</v>
      </c>
      <c r="C1803" s="18" t="s">
        <v>736</v>
      </c>
      <c r="D1803" s="18" t="s">
        <v>737</v>
      </c>
      <c r="E1803" s="18" t="s">
        <v>2072</v>
      </c>
      <c r="F1803" s="18">
        <v>187</v>
      </c>
      <c r="G1803" s="18">
        <v>73</v>
      </c>
      <c r="H1803" s="18">
        <v>26</v>
      </c>
      <c r="I1803" s="18">
        <v>88</v>
      </c>
    </row>
    <row r="1804" spans="1:9" x14ac:dyDescent="0.3">
      <c r="A1804" t="s">
        <v>1102</v>
      </c>
      <c r="B1804" s="18" t="s">
        <v>723</v>
      </c>
      <c r="C1804" s="18" t="s">
        <v>736</v>
      </c>
      <c r="D1804" s="18" t="s">
        <v>738</v>
      </c>
      <c r="E1804" s="18" t="s">
        <v>2072</v>
      </c>
      <c r="F1804" s="18">
        <v>69</v>
      </c>
      <c r="G1804" s="18">
        <v>38</v>
      </c>
      <c r="H1804" s="18">
        <v>9</v>
      </c>
      <c r="I1804" s="18">
        <v>22</v>
      </c>
    </row>
    <row r="1805" spans="1:9" x14ac:dyDescent="0.3">
      <c r="A1805" t="s">
        <v>1789</v>
      </c>
      <c r="B1805" s="18" t="s">
        <v>723</v>
      </c>
      <c r="C1805" s="18" t="s">
        <v>736</v>
      </c>
      <c r="D1805" s="18" t="s">
        <v>739</v>
      </c>
      <c r="E1805" s="18" t="s">
        <v>2072</v>
      </c>
      <c r="F1805" s="18">
        <v>264</v>
      </c>
      <c r="G1805" s="18">
        <v>114</v>
      </c>
      <c r="H1805" s="18">
        <v>13</v>
      </c>
      <c r="I1805" s="18">
        <v>137</v>
      </c>
    </row>
    <row r="1806" spans="1:9" x14ac:dyDescent="0.3">
      <c r="A1806" t="s">
        <v>1435</v>
      </c>
      <c r="B1806" s="18" t="s">
        <v>723</v>
      </c>
      <c r="C1806" s="18" t="s">
        <v>736</v>
      </c>
      <c r="D1806" s="18" t="s">
        <v>323</v>
      </c>
      <c r="E1806" s="18" t="s">
        <v>2072</v>
      </c>
      <c r="F1806" s="18">
        <v>590</v>
      </c>
      <c r="G1806" s="18">
        <v>300</v>
      </c>
      <c r="H1806" s="18">
        <v>73</v>
      </c>
      <c r="I1806" s="18">
        <v>217</v>
      </c>
    </row>
    <row r="1807" spans="1:9" x14ac:dyDescent="0.3">
      <c r="A1807" t="s">
        <v>1790</v>
      </c>
      <c r="B1807" s="18" t="s">
        <v>723</v>
      </c>
      <c r="C1807" s="18" t="s">
        <v>736</v>
      </c>
      <c r="D1807" s="18" t="s">
        <v>740</v>
      </c>
      <c r="E1807" s="18" t="s">
        <v>2072</v>
      </c>
      <c r="F1807" s="18">
        <v>232</v>
      </c>
      <c r="G1807" s="18">
        <v>131</v>
      </c>
      <c r="H1807" s="18">
        <v>11</v>
      </c>
      <c r="I1807" s="18">
        <v>90</v>
      </c>
    </row>
    <row r="1808" spans="1:9" x14ac:dyDescent="0.3">
      <c r="A1808" t="s">
        <v>1159</v>
      </c>
      <c r="B1808" s="18" t="s">
        <v>723</v>
      </c>
      <c r="C1808" s="18" t="s">
        <v>741</v>
      </c>
      <c r="D1808" s="18" t="s">
        <v>742</v>
      </c>
      <c r="E1808" s="18" t="s">
        <v>2072</v>
      </c>
      <c r="F1808" s="18">
        <v>897</v>
      </c>
      <c r="G1808" s="18">
        <v>476</v>
      </c>
      <c r="H1808" s="18">
        <v>36</v>
      </c>
      <c r="I1808" s="18">
        <v>385</v>
      </c>
    </row>
    <row r="1809" spans="1:9" x14ac:dyDescent="0.3">
      <c r="A1809" t="s">
        <v>1791</v>
      </c>
      <c r="B1809" s="18" t="s">
        <v>723</v>
      </c>
      <c r="C1809" s="18" t="s">
        <v>741</v>
      </c>
      <c r="D1809" s="18" t="s">
        <v>743</v>
      </c>
      <c r="E1809" s="18" t="s">
        <v>2072</v>
      </c>
      <c r="F1809" s="18">
        <v>148</v>
      </c>
      <c r="G1809" s="18">
        <v>78</v>
      </c>
      <c r="H1809" s="18">
        <v>13</v>
      </c>
      <c r="I1809" s="18">
        <v>57</v>
      </c>
    </row>
    <row r="1810" spans="1:9" x14ac:dyDescent="0.3">
      <c r="A1810" t="s">
        <v>2028</v>
      </c>
      <c r="B1810" s="18" t="s">
        <v>723</v>
      </c>
      <c r="C1810" s="18" t="s">
        <v>741</v>
      </c>
      <c r="D1810" s="18" t="s">
        <v>744</v>
      </c>
      <c r="E1810" s="18" t="s">
        <v>2072</v>
      </c>
      <c r="F1810" s="18">
        <v>182</v>
      </c>
      <c r="G1810" s="18">
        <v>92</v>
      </c>
      <c r="H1810" s="18">
        <v>4</v>
      </c>
      <c r="I1810" s="18">
        <v>86</v>
      </c>
    </row>
    <row r="1811" spans="1:9" x14ac:dyDescent="0.3">
      <c r="A1811" t="s">
        <v>1792</v>
      </c>
      <c r="B1811" s="18" t="s">
        <v>723</v>
      </c>
      <c r="C1811" s="18" t="s">
        <v>741</v>
      </c>
      <c r="D1811" s="18" t="s">
        <v>745</v>
      </c>
      <c r="E1811" s="18" t="s">
        <v>2072</v>
      </c>
      <c r="F1811" s="18">
        <v>251</v>
      </c>
      <c r="G1811" s="18">
        <v>121</v>
      </c>
      <c r="H1811" s="18">
        <v>30</v>
      </c>
      <c r="I1811" s="18">
        <v>100</v>
      </c>
    </row>
    <row r="1812" spans="1:9" x14ac:dyDescent="0.3">
      <c r="A1812" t="s">
        <v>1105</v>
      </c>
      <c r="B1812" s="18" t="s">
        <v>723</v>
      </c>
      <c r="C1812" s="18" t="s">
        <v>741</v>
      </c>
      <c r="D1812" s="18" t="s">
        <v>746</v>
      </c>
      <c r="E1812" s="18" t="s">
        <v>2072</v>
      </c>
      <c r="F1812" s="18">
        <v>970</v>
      </c>
      <c r="G1812" s="18">
        <v>492</v>
      </c>
      <c r="H1812" s="18">
        <v>122</v>
      </c>
      <c r="I1812" s="18">
        <v>356</v>
      </c>
    </row>
    <row r="1813" spans="1:9" x14ac:dyDescent="0.3">
      <c r="A1813" t="s">
        <v>1793</v>
      </c>
      <c r="B1813" s="18" t="s">
        <v>723</v>
      </c>
      <c r="C1813" s="18" t="s">
        <v>741</v>
      </c>
      <c r="D1813" s="18" t="s">
        <v>747</v>
      </c>
      <c r="E1813" s="18" t="s">
        <v>2072</v>
      </c>
      <c r="F1813" s="18">
        <v>43</v>
      </c>
      <c r="G1813" s="18">
        <v>15</v>
      </c>
      <c r="H1813" s="18">
        <v>10</v>
      </c>
      <c r="I1813" s="18">
        <v>18</v>
      </c>
    </row>
    <row r="1814" spans="1:9" x14ac:dyDescent="0.3">
      <c r="A1814" t="s">
        <v>1782</v>
      </c>
      <c r="B1814" s="18" t="s">
        <v>723</v>
      </c>
      <c r="C1814" s="18" t="s">
        <v>724</v>
      </c>
      <c r="D1814" s="18" t="s">
        <v>725</v>
      </c>
      <c r="E1814" s="18" t="s">
        <v>2072</v>
      </c>
      <c r="F1814" s="18">
        <v>2141</v>
      </c>
      <c r="G1814" s="18">
        <v>473</v>
      </c>
      <c r="H1814" s="18">
        <v>230</v>
      </c>
      <c r="I1814" s="18">
        <v>1438</v>
      </c>
    </row>
    <row r="1815" spans="1:9" x14ac:dyDescent="0.3">
      <c r="A1815" t="s">
        <v>1783</v>
      </c>
      <c r="B1815" s="18" t="s">
        <v>723</v>
      </c>
      <c r="C1815" s="18" t="s">
        <v>724</v>
      </c>
      <c r="D1815" s="18" t="s">
        <v>726</v>
      </c>
      <c r="E1815" s="18" t="s">
        <v>2072</v>
      </c>
      <c r="F1815" s="18">
        <v>2339</v>
      </c>
      <c r="G1815" s="18">
        <v>596</v>
      </c>
      <c r="H1815" s="18">
        <v>97</v>
      </c>
      <c r="I1815" s="18">
        <v>1646</v>
      </c>
    </row>
    <row r="1816" spans="1:9" x14ac:dyDescent="0.3">
      <c r="A1816" t="s">
        <v>1784</v>
      </c>
      <c r="B1816" s="18" t="s">
        <v>723</v>
      </c>
      <c r="C1816" s="18" t="s">
        <v>724</v>
      </c>
      <c r="D1816" s="18" t="s">
        <v>727</v>
      </c>
      <c r="E1816" s="18" t="s">
        <v>2072</v>
      </c>
      <c r="F1816" s="18">
        <v>717</v>
      </c>
      <c r="G1816" s="18">
        <v>229</v>
      </c>
      <c r="H1816" s="18">
        <v>112</v>
      </c>
      <c r="I1816" s="18">
        <v>376</v>
      </c>
    </row>
    <row r="1817" spans="1:9" x14ac:dyDescent="0.3">
      <c r="A1817" t="s">
        <v>1242</v>
      </c>
      <c r="B1817" s="18" t="s">
        <v>723</v>
      </c>
      <c r="C1817" s="18" t="s">
        <v>724</v>
      </c>
      <c r="D1817" s="18" t="s">
        <v>728</v>
      </c>
      <c r="E1817" s="18" t="s">
        <v>2072</v>
      </c>
      <c r="F1817" s="18">
        <v>1554</v>
      </c>
      <c r="G1817" s="18">
        <v>348</v>
      </c>
      <c r="H1817" s="18">
        <v>98</v>
      </c>
      <c r="I1817" s="18">
        <v>1108</v>
      </c>
    </row>
    <row r="1818" spans="1:9" x14ac:dyDescent="0.3">
      <c r="A1818" t="s">
        <v>1424</v>
      </c>
      <c r="B1818" s="18" t="s">
        <v>723</v>
      </c>
      <c r="C1818" s="18" t="s">
        <v>724</v>
      </c>
      <c r="D1818" s="18" t="s">
        <v>729</v>
      </c>
      <c r="E1818" s="18" t="s">
        <v>2072</v>
      </c>
      <c r="F1818" s="18">
        <v>2361</v>
      </c>
      <c r="G1818" s="18">
        <v>789</v>
      </c>
      <c r="H1818" s="18">
        <v>191</v>
      </c>
      <c r="I1818" s="18">
        <v>1381</v>
      </c>
    </row>
    <row r="1819" spans="1:9" x14ac:dyDescent="0.3">
      <c r="A1819" t="s">
        <v>1786</v>
      </c>
      <c r="B1819" s="18" t="s">
        <v>723</v>
      </c>
      <c r="C1819" s="18" t="s">
        <v>724</v>
      </c>
      <c r="D1819" s="18" t="s">
        <v>731</v>
      </c>
      <c r="E1819" s="18" t="s">
        <v>2072</v>
      </c>
      <c r="F1819" s="18">
        <v>2315</v>
      </c>
      <c r="G1819" s="18">
        <v>655</v>
      </c>
      <c r="H1819" s="18">
        <v>156</v>
      </c>
      <c r="I1819" s="18">
        <v>1504</v>
      </c>
    </row>
    <row r="1820" spans="1:9" x14ac:dyDescent="0.3">
      <c r="A1820" t="s">
        <v>1785</v>
      </c>
      <c r="B1820" s="18" t="s">
        <v>723</v>
      </c>
      <c r="C1820" s="18" t="s">
        <v>724</v>
      </c>
      <c r="D1820" s="18" t="s">
        <v>730</v>
      </c>
      <c r="E1820" s="18" t="s">
        <v>2072</v>
      </c>
      <c r="F1820" s="18">
        <v>1092</v>
      </c>
      <c r="G1820" s="18">
        <v>303</v>
      </c>
      <c r="H1820" s="18">
        <v>95</v>
      </c>
      <c r="I1820" s="18">
        <v>694</v>
      </c>
    </row>
    <row r="1821" spans="1:9" x14ac:dyDescent="0.3">
      <c r="A1821" t="s">
        <v>1265</v>
      </c>
      <c r="B1821" s="18" t="s">
        <v>723</v>
      </c>
      <c r="C1821" s="18" t="s">
        <v>724</v>
      </c>
      <c r="D1821" s="18" t="s">
        <v>724</v>
      </c>
      <c r="E1821" s="18" t="s">
        <v>2072</v>
      </c>
      <c r="F1821" s="18">
        <v>14884</v>
      </c>
      <c r="G1821" s="18">
        <v>7287</v>
      </c>
      <c r="H1821" s="18">
        <v>1453</v>
      </c>
      <c r="I1821" s="18">
        <v>6144</v>
      </c>
    </row>
    <row r="1822" spans="1:9" x14ac:dyDescent="0.3">
      <c r="A1822" t="s">
        <v>1891</v>
      </c>
      <c r="B1822" s="18" t="s">
        <v>952</v>
      </c>
      <c r="C1822" s="18" t="s">
        <v>964</v>
      </c>
      <c r="D1822" s="18" t="s">
        <v>966</v>
      </c>
      <c r="E1822" s="18" t="s">
        <v>2072</v>
      </c>
      <c r="F1822" s="18">
        <v>309</v>
      </c>
      <c r="G1822" s="18">
        <v>22</v>
      </c>
      <c r="H1822" s="18">
        <v>10</v>
      </c>
      <c r="I1822" s="18">
        <v>277</v>
      </c>
    </row>
    <row r="1823" spans="1:9" x14ac:dyDescent="0.3">
      <c r="A1823" t="s">
        <v>1892</v>
      </c>
      <c r="B1823" s="18" t="s">
        <v>952</v>
      </c>
      <c r="C1823" s="18" t="s">
        <v>964</v>
      </c>
      <c r="D1823" s="18" t="s">
        <v>967</v>
      </c>
      <c r="E1823" s="18" t="s">
        <v>2072</v>
      </c>
      <c r="F1823" s="18">
        <v>210</v>
      </c>
      <c r="G1823" s="18">
        <v>35</v>
      </c>
      <c r="H1823" s="18">
        <v>11</v>
      </c>
      <c r="I1823" s="18">
        <v>164</v>
      </c>
    </row>
    <row r="1824" spans="1:9" x14ac:dyDescent="0.3">
      <c r="A1824" t="s">
        <v>1409</v>
      </c>
      <c r="B1824" s="18" t="s">
        <v>952</v>
      </c>
      <c r="C1824" s="18" t="s">
        <v>964</v>
      </c>
      <c r="D1824" s="18" t="s">
        <v>965</v>
      </c>
      <c r="E1824" s="18" t="s">
        <v>2072</v>
      </c>
      <c r="F1824" s="18">
        <v>1135</v>
      </c>
      <c r="G1824" s="18">
        <v>256</v>
      </c>
      <c r="H1824" s="18">
        <v>94</v>
      </c>
      <c r="I1824" s="18">
        <v>785</v>
      </c>
    </row>
    <row r="1825" spans="1:9" x14ac:dyDescent="0.3">
      <c r="A1825" t="s">
        <v>1893</v>
      </c>
      <c r="B1825" s="18" t="s">
        <v>952</v>
      </c>
      <c r="C1825" s="18" t="s">
        <v>964</v>
      </c>
      <c r="D1825" s="18" t="s">
        <v>968</v>
      </c>
      <c r="E1825" s="18" t="s">
        <v>2072</v>
      </c>
      <c r="F1825" s="18">
        <v>255</v>
      </c>
      <c r="G1825" s="18">
        <v>5</v>
      </c>
      <c r="H1825" s="18">
        <v>1</v>
      </c>
      <c r="I1825" s="18">
        <v>249</v>
      </c>
    </row>
    <row r="1826" spans="1:9" x14ac:dyDescent="0.3">
      <c r="A1826" t="s">
        <v>1117</v>
      </c>
      <c r="B1826" s="18" t="s">
        <v>952</v>
      </c>
      <c r="C1826" s="18" t="s">
        <v>964</v>
      </c>
      <c r="D1826" s="18" t="s">
        <v>969</v>
      </c>
      <c r="E1826" s="18" t="s">
        <v>2072</v>
      </c>
      <c r="F1826" s="18">
        <v>124</v>
      </c>
      <c r="G1826" s="18">
        <v>10</v>
      </c>
      <c r="H1826" s="18">
        <v>21</v>
      </c>
      <c r="I1826" s="18">
        <v>93</v>
      </c>
    </row>
    <row r="1827" spans="1:9" x14ac:dyDescent="0.3">
      <c r="A1827" t="s">
        <v>1883</v>
      </c>
      <c r="B1827" s="18" t="s">
        <v>952</v>
      </c>
      <c r="C1827" s="18" t="s">
        <v>953</v>
      </c>
      <c r="D1827" s="18" t="s">
        <v>957</v>
      </c>
      <c r="E1827" s="18" t="s">
        <v>2072</v>
      </c>
      <c r="F1827" s="18">
        <v>420</v>
      </c>
      <c r="G1827" s="18">
        <v>39</v>
      </c>
      <c r="H1827" s="18">
        <v>21</v>
      </c>
      <c r="I1827" s="18">
        <v>360</v>
      </c>
    </row>
    <row r="1828" spans="1:9" x14ac:dyDescent="0.3">
      <c r="A1828" t="s">
        <v>1881</v>
      </c>
      <c r="B1828" s="18" t="s">
        <v>952</v>
      </c>
      <c r="C1828" s="18" t="s">
        <v>953</v>
      </c>
      <c r="D1828" s="18" t="s">
        <v>955</v>
      </c>
      <c r="E1828" s="18" t="s">
        <v>2072</v>
      </c>
      <c r="F1828" s="18">
        <v>2235</v>
      </c>
      <c r="G1828" s="18">
        <v>517</v>
      </c>
      <c r="H1828" s="18">
        <v>300</v>
      </c>
      <c r="I1828" s="18">
        <v>1418</v>
      </c>
    </row>
    <row r="1829" spans="1:9" x14ac:dyDescent="0.3">
      <c r="A1829" t="s">
        <v>1440</v>
      </c>
      <c r="B1829" s="18" t="s">
        <v>952</v>
      </c>
      <c r="C1829" s="18" t="s">
        <v>953</v>
      </c>
      <c r="D1829" s="18" t="s">
        <v>2070</v>
      </c>
      <c r="E1829" s="18" t="s">
        <v>2072</v>
      </c>
      <c r="F1829" s="18">
        <v>20808</v>
      </c>
      <c r="G1829" s="18">
        <v>8588</v>
      </c>
      <c r="H1829" s="18">
        <v>2530</v>
      </c>
      <c r="I1829" s="18">
        <v>9690</v>
      </c>
    </row>
    <row r="1830" spans="1:9" x14ac:dyDescent="0.3">
      <c r="A1830" t="s">
        <v>1884</v>
      </c>
      <c r="B1830" s="18" t="s">
        <v>952</v>
      </c>
      <c r="C1830" s="18" t="s">
        <v>953</v>
      </c>
      <c r="D1830" s="18" t="s">
        <v>958</v>
      </c>
      <c r="E1830" s="18" t="s">
        <v>2072</v>
      </c>
      <c r="F1830" s="18">
        <v>1104</v>
      </c>
      <c r="G1830" s="18">
        <v>279</v>
      </c>
      <c r="H1830" s="18">
        <v>193</v>
      </c>
      <c r="I1830" s="18">
        <v>632</v>
      </c>
    </row>
    <row r="1831" spans="1:9" x14ac:dyDescent="0.3">
      <c r="A1831" t="s">
        <v>1885</v>
      </c>
      <c r="B1831" s="18" t="s">
        <v>952</v>
      </c>
      <c r="C1831" s="18" t="s">
        <v>953</v>
      </c>
      <c r="D1831" s="18" t="s">
        <v>959</v>
      </c>
      <c r="E1831" s="18" t="s">
        <v>2072</v>
      </c>
      <c r="F1831" s="18">
        <v>322</v>
      </c>
      <c r="G1831" s="18">
        <v>23</v>
      </c>
      <c r="H1831" s="18">
        <v>9</v>
      </c>
      <c r="I1831" s="18">
        <v>290</v>
      </c>
    </row>
    <row r="1832" spans="1:9" x14ac:dyDescent="0.3">
      <c r="A1832" t="s">
        <v>1886</v>
      </c>
      <c r="B1832" s="18" t="s">
        <v>952</v>
      </c>
      <c r="C1832" s="18" t="s">
        <v>953</v>
      </c>
      <c r="D1832" s="18" t="s">
        <v>160</v>
      </c>
      <c r="E1832" s="18" t="s">
        <v>2072</v>
      </c>
      <c r="F1832" s="18">
        <v>450</v>
      </c>
      <c r="G1832" s="18">
        <v>106</v>
      </c>
      <c r="H1832" s="18">
        <v>42</v>
      </c>
      <c r="I1832" s="18">
        <v>302</v>
      </c>
    </row>
    <row r="1833" spans="1:9" x14ac:dyDescent="0.3">
      <c r="A1833" t="s">
        <v>1887</v>
      </c>
      <c r="B1833" s="18" t="s">
        <v>952</v>
      </c>
      <c r="C1833" s="18" t="s">
        <v>953</v>
      </c>
      <c r="D1833" s="18" t="s">
        <v>960</v>
      </c>
      <c r="E1833" s="18" t="s">
        <v>2072</v>
      </c>
      <c r="F1833" s="18">
        <v>1173</v>
      </c>
      <c r="G1833" s="18">
        <v>261</v>
      </c>
      <c r="H1833" s="18">
        <v>31</v>
      </c>
      <c r="I1833" s="18">
        <v>881</v>
      </c>
    </row>
    <row r="1834" spans="1:9" x14ac:dyDescent="0.3">
      <c r="A1834" t="s">
        <v>2049</v>
      </c>
      <c r="B1834" s="18" t="s">
        <v>952</v>
      </c>
      <c r="C1834" s="18" t="s">
        <v>953</v>
      </c>
      <c r="D1834" s="18" t="s">
        <v>961</v>
      </c>
      <c r="E1834" s="18" t="s">
        <v>2072</v>
      </c>
      <c r="F1834" s="18">
        <v>1441</v>
      </c>
      <c r="G1834" s="18">
        <v>143</v>
      </c>
      <c r="H1834" s="18">
        <v>101</v>
      </c>
      <c r="I1834" s="18">
        <v>1197</v>
      </c>
    </row>
    <row r="1835" spans="1:9" x14ac:dyDescent="0.3">
      <c r="A1835" t="s">
        <v>1888</v>
      </c>
      <c r="B1835" s="18" t="s">
        <v>952</v>
      </c>
      <c r="C1835" s="18" t="s">
        <v>953</v>
      </c>
      <c r="D1835" s="18" t="s">
        <v>883</v>
      </c>
      <c r="E1835" s="18" t="s">
        <v>2072</v>
      </c>
      <c r="F1835" s="18">
        <v>1062</v>
      </c>
      <c r="G1835" s="18">
        <v>198</v>
      </c>
      <c r="H1835" s="18">
        <v>120</v>
      </c>
      <c r="I1835" s="18">
        <v>744</v>
      </c>
    </row>
    <row r="1836" spans="1:9" x14ac:dyDescent="0.3">
      <c r="A1836" t="s">
        <v>1889</v>
      </c>
      <c r="B1836" s="18" t="s">
        <v>952</v>
      </c>
      <c r="C1836" s="18" t="s">
        <v>953</v>
      </c>
      <c r="D1836" s="18" t="s">
        <v>962</v>
      </c>
      <c r="E1836" s="18" t="s">
        <v>2072</v>
      </c>
      <c r="F1836" s="18">
        <v>872</v>
      </c>
      <c r="G1836" s="18">
        <v>172</v>
      </c>
      <c r="H1836" s="18">
        <v>62</v>
      </c>
      <c r="I1836" s="18">
        <v>638</v>
      </c>
    </row>
    <row r="1837" spans="1:9" x14ac:dyDescent="0.3">
      <c r="A1837" t="s">
        <v>1890</v>
      </c>
      <c r="B1837" s="18" t="s">
        <v>952</v>
      </c>
      <c r="C1837" s="18" t="s">
        <v>953</v>
      </c>
      <c r="D1837" s="18" t="s">
        <v>963</v>
      </c>
      <c r="E1837" s="18" t="s">
        <v>2072</v>
      </c>
      <c r="F1837" s="18">
        <v>678</v>
      </c>
      <c r="G1837" s="18">
        <v>102</v>
      </c>
      <c r="H1837" s="18">
        <v>56</v>
      </c>
      <c r="I1837" s="18">
        <v>520</v>
      </c>
    </row>
    <row r="1838" spans="1:9" x14ac:dyDescent="0.3">
      <c r="A1838" t="s">
        <v>1882</v>
      </c>
      <c r="B1838" s="18" t="s">
        <v>952</v>
      </c>
      <c r="C1838" s="18" t="s">
        <v>953</v>
      </c>
      <c r="D1838" s="18" t="s">
        <v>956</v>
      </c>
      <c r="E1838" s="18" t="s">
        <v>2072</v>
      </c>
      <c r="F1838" s="18">
        <v>941</v>
      </c>
      <c r="G1838" s="18">
        <v>126</v>
      </c>
      <c r="H1838" s="18">
        <v>118</v>
      </c>
      <c r="I1838" s="18">
        <v>697</v>
      </c>
    </row>
    <row r="1839" spans="1:9" x14ac:dyDescent="0.3">
      <c r="A1839" t="s">
        <v>2050</v>
      </c>
      <c r="B1839" s="18" t="s">
        <v>952</v>
      </c>
      <c r="C1839" s="18" t="s">
        <v>970</v>
      </c>
      <c r="D1839" s="18" t="s">
        <v>971</v>
      </c>
      <c r="E1839" s="18" t="s">
        <v>2072</v>
      </c>
      <c r="F1839" s="18">
        <v>1110</v>
      </c>
      <c r="G1839" s="18">
        <v>315</v>
      </c>
      <c r="H1839" s="18">
        <v>38</v>
      </c>
      <c r="I1839" s="18">
        <v>757</v>
      </c>
    </row>
    <row r="1840" spans="1:9" x14ac:dyDescent="0.3">
      <c r="A1840" t="s">
        <v>1127</v>
      </c>
      <c r="B1840" s="18" t="s">
        <v>952</v>
      </c>
      <c r="C1840" s="18" t="s">
        <v>970</v>
      </c>
      <c r="D1840" s="18" t="s">
        <v>970</v>
      </c>
      <c r="E1840" s="18" t="s">
        <v>2072</v>
      </c>
      <c r="F1840" s="18">
        <v>9351</v>
      </c>
      <c r="G1840" s="18">
        <v>4089</v>
      </c>
      <c r="H1840" s="18">
        <v>945</v>
      </c>
      <c r="I1840" s="18">
        <v>4317</v>
      </c>
    </row>
    <row r="1841" spans="1:9" x14ac:dyDescent="0.3">
      <c r="A1841" t="s">
        <v>2051</v>
      </c>
      <c r="B1841" s="18" t="s">
        <v>952</v>
      </c>
      <c r="C1841" s="18" t="s">
        <v>970</v>
      </c>
      <c r="D1841" s="18" t="s">
        <v>974</v>
      </c>
      <c r="E1841" s="18" t="s">
        <v>2072</v>
      </c>
      <c r="F1841" s="18">
        <v>776</v>
      </c>
      <c r="G1841" s="18">
        <v>218</v>
      </c>
      <c r="H1841" s="18">
        <v>44</v>
      </c>
      <c r="I1841" s="18">
        <v>514</v>
      </c>
    </row>
    <row r="1842" spans="1:9" x14ac:dyDescent="0.3">
      <c r="A1842" t="s">
        <v>1894</v>
      </c>
      <c r="B1842" s="18" t="s">
        <v>952</v>
      </c>
      <c r="C1842" s="18" t="s">
        <v>970</v>
      </c>
      <c r="D1842" s="18" t="s">
        <v>972</v>
      </c>
      <c r="E1842" s="18" t="s">
        <v>2072</v>
      </c>
      <c r="F1842" s="18">
        <v>417</v>
      </c>
      <c r="G1842" s="18">
        <v>85</v>
      </c>
      <c r="H1842" s="18">
        <v>9</v>
      </c>
      <c r="I1842" s="18">
        <v>323</v>
      </c>
    </row>
    <row r="1843" spans="1:9" x14ac:dyDescent="0.3">
      <c r="A1843" t="s">
        <v>2052</v>
      </c>
      <c r="B1843" s="18" t="s">
        <v>952</v>
      </c>
      <c r="C1843" s="18" t="s">
        <v>970</v>
      </c>
      <c r="D1843" s="18" t="s">
        <v>818</v>
      </c>
      <c r="E1843" s="18" t="s">
        <v>2072</v>
      </c>
      <c r="F1843" s="18">
        <v>698</v>
      </c>
      <c r="G1843" s="18">
        <v>148</v>
      </c>
      <c r="H1843" s="18">
        <v>24</v>
      </c>
      <c r="I1843" s="18">
        <v>526</v>
      </c>
    </row>
    <row r="1844" spans="1:9" x14ac:dyDescent="0.3">
      <c r="A1844" t="s">
        <v>1895</v>
      </c>
      <c r="B1844" s="18" t="s">
        <v>952</v>
      </c>
      <c r="C1844" s="18" t="s">
        <v>970</v>
      </c>
      <c r="D1844" s="18" t="s">
        <v>424</v>
      </c>
      <c r="E1844" s="18" t="s">
        <v>2072</v>
      </c>
      <c r="F1844" s="18">
        <v>1444</v>
      </c>
      <c r="G1844" s="18">
        <v>413</v>
      </c>
      <c r="H1844" s="18">
        <v>71</v>
      </c>
      <c r="I1844" s="18">
        <v>960</v>
      </c>
    </row>
    <row r="1845" spans="1:9" x14ac:dyDescent="0.3">
      <c r="A1845" t="s">
        <v>1896</v>
      </c>
      <c r="B1845" s="18" t="s">
        <v>952</v>
      </c>
      <c r="C1845" s="18" t="s">
        <v>970</v>
      </c>
      <c r="D1845" s="18" t="s">
        <v>973</v>
      </c>
      <c r="E1845" s="18" t="s">
        <v>2072</v>
      </c>
      <c r="F1845" s="18">
        <v>1563</v>
      </c>
      <c r="G1845" s="18">
        <v>414</v>
      </c>
      <c r="H1845" s="18">
        <v>129</v>
      </c>
      <c r="I1845" s="18">
        <v>1020</v>
      </c>
    </row>
    <row r="1846" spans="1:9" x14ac:dyDescent="0.3">
      <c r="A1846" t="s">
        <v>1897</v>
      </c>
      <c r="B1846" s="18" t="s">
        <v>952</v>
      </c>
      <c r="C1846" s="18" t="s">
        <v>970</v>
      </c>
      <c r="D1846" s="18" t="s">
        <v>975</v>
      </c>
      <c r="E1846" s="18" t="s">
        <v>2072</v>
      </c>
      <c r="F1846" s="18">
        <v>1300</v>
      </c>
      <c r="G1846" s="18">
        <v>265</v>
      </c>
      <c r="H1846" s="18">
        <v>36</v>
      </c>
      <c r="I1846" s="18">
        <v>999</v>
      </c>
    </row>
    <row r="1847" spans="1:9" x14ac:dyDescent="0.3">
      <c r="A1847" t="s">
        <v>2053</v>
      </c>
      <c r="B1847" s="18" t="s">
        <v>952</v>
      </c>
      <c r="C1847" s="18" t="s">
        <v>970</v>
      </c>
      <c r="D1847" s="18" t="s">
        <v>976</v>
      </c>
      <c r="E1847" s="18" t="s">
        <v>2072</v>
      </c>
      <c r="F1847" s="18">
        <v>1160</v>
      </c>
      <c r="G1847" s="18">
        <v>253</v>
      </c>
      <c r="H1847" s="18">
        <v>23</v>
      </c>
      <c r="I1847" s="18">
        <v>884</v>
      </c>
    </row>
    <row r="1848" spans="1:9" x14ac:dyDescent="0.3">
      <c r="A1848" t="s">
        <v>1408</v>
      </c>
      <c r="B1848" s="18" t="s">
        <v>952</v>
      </c>
      <c r="C1848" s="18" t="s">
        <v>977</v>
      </c>
      <c r="D1848" s="18" t="s">
        <v>978</v>
      </c>
      <c r="E1848" s="18" t="s">
        <v>2072</v>
      </c>
      <c r="F1848" s="18">
        <v>1742</v>
      </c>
      <c r="G1848" s="18">
        <v>599</v>
      </c>
      <c r="H1848" s="18">
        <v>146</v>
      </c>
      <c r="I1848" s="18">
        <v>997</v>
      </c>
    </row>
    <row r="1849" spans="1:9" x14ac:dyDescent="0.3">
      <c r="A1849" t="s">
        <v>1301</v>
      </c>
      <c r="B1849" s="18" t="s">
        <v>952</v>
      </c>
      <c r="C1849" s="18" t="s">
        <v>977</v>
      </c>
      <c r="D1849" s="18" t="s">
        <v>977</v>
      </c>
      <c r="E1849" s="18" t="s">
        <v>2072</v>
      </c>
      <c r="F1849" s="18">
        <v>2605</v>
      </c>
      <c r="G1849" s="18">
        <v>897</v>
      </c>
      <c r="H1849" s="18">
        <v>205</v>
      </c>
      <c r="I1849" s="18">
        <v>1503</v>
      </c>
    </row>
    <row r="1850" spans="1:9" x14ac:dyDescent="0.3">
      <c r="A1850" t="s">
        <v>1898</v>
      </c>
      <c r="B1850" s="18" t="s">
        <v>952</v>
      </c>
      <c r="C1850" s="18" t="s">
        <v>977</v>
      </c>
      <c r="D1850" s="18" t="s">
        <v>979</v>
      </c>
      <c r="E1850" s="18" t="s">
        <v>2072</v>
      </c>
      <c r="F1850" s="18">
        <v>1062</v>
      </c>
      <c r="G1850" s="18">
        <v>130</v>
      </c>
      <c r="H1850" s="18">
        <v>43</v>
      </c>
      <c r="I1850" s="18">
        <v>889</v>
      </c>
    </row>
    <row r="1851" spans="1:9" x14ac:dyDescent="0.3">
      <c r="A1851" t="s">
        <v>1177</v>
      </c>
      <c r="B1851" s="18" t="s">
        <v>952</v>
      </c>
      <c r="C1851" s="18" t="s">
        <v>977</v>
      </c>
      <c r="D1851" s="18" t="s">
        <v>981</v>
      </c>
      <c r="E1851" s="18" t="s">
        <v>2072</v>
      </c>
      <c r="F1851" s="18">
        <v>1538</v>
      </c>
      <c r="G1851" s="18">
        <v>222</v>
      </c>
      <c r="H1851" s="18">
        <v>121</v>
      </c>
      <c r="I1851" s="18">
        <v>1195</v>
      </c>
    </row>
    <row r="1852" spans="1:9" x14ac:dyDescent="0.3">
      <c r="A1852" t="s">
        <v>1899</v>
      </c>
      <c r="B1852" s="18" t="s">
        <v>952</v>
      </c>
      <c r="C1852" s="18" t="s">
        <v>977</v>
      </c>
      <c r="D1852" s="18" t="s">
        <v>980</v>
      </c>
      <c r="E1852" s="18" t="s">
        <v>2072</v>
      </c>
      <c r="F1852" s="18">
        <v>992</v>
      </c>
      <c r="G1852" s="18">
        <v>114</v>
      </c>
      <c r="H1852" s="18">
        <v>39</v>
      </c>
      <c r="I1852" s="18">
        <v>839</v>
      </c>
    </row>
    <row r="1853" spans="1:9" x14ac:dyDescent="0.3">
      <c r="A1853" t="s">
        <v>2054</v>
      </c>
      <c r="B1853" s="18" t="s">
        <v>952</v>
      </c>
      <c r="C1853" s="18" t="s">
        <v>977</v>
      </c>
      <c r="D1853" s="18" t="s">
        <v>982</v>
      </c>
      <c r="E1853" s="18" t="s">
        <v>2072</v>
      </c>
      <c r="F1853" s="18">
        <v>384</v>
      </c>
      <c r="G1853" s="18">
        <v>102</v>
      </c>
      <c r="H1853" s="18">
        <v>16</v>
      </c>
      <c r="I1853" s="18">
        <v>266</v>
      </c>
    </row>
    <row r="1854" spans="1:9" x14ac:dyDescent="0.3">
      <c r="A1854" t="s">
        <v>1213</v>
      </c>
      <c r="B1854" s="18" t="s">
        <v>749</v>
      </c>
      <c r="C1854" s="18" t="s">
        <v>763</v>
      </c>
      <c r="D1854" s="18" t="s">
        <v>763</v>
      </c>
      <c r="E1854" s="18" t="s">
        <v>2072</v>
      </c>
      <c r="F1854" s="18">
        <v>1677</v>
      </c>
      <c r="G1854" s="18">
        <v>347</v>
      </c>
      <c r="H1854" s="18">
        <v>125</v>
      </c>
      <c r="I1854" s="18">
        <v>1205</v>
      </c>
    </row>
    <row r="1855" spans="1:9" x14ac:dyDescent="0.3">
      <c r="A1855" t="s">
        <v>1805</v>
      </c>
      <c r="B1855" s="18" t="s">
        <v>749</v>
      </c>
      <c r="C1855" s="18" t="s">
        <v>763</v>
      </c>
      <c r="D1855" s="18" t="s">
        <v>764</v>
      </c>
      <c r="E1855" s="18" t="s">
        <v>2072</v>
      </c>
      <c r="F1855" s="18">
        <v>991</v>
      </c>
      <c r="G1855" s="18">
        <v>123</v>
      </c>
      <c r="H1855" s="18">
        <v>67</v>
      </c>
      <c r="I1855" s="18">
        <v>801</v>
      </c>
    </row>
    <row r="1856" spans="1:9" x14ac:dyDescent="0.3">
      <c r="A1856" t="s">
        <v>1804</v>
      </c>
      <c r="B1856" s="18" t="s">
        <v>749</v>
      </c>
      <c r="C1856" s="18" t="s">
        <v>759</v>
      </c>
      <c r="D1856" s="18" t="s">
        <v>760</v>
      </c>
      <c r="E1856" s="18" t="s">
        <v>2072</v>
      </c>
      <c r="F1856" s="18">
        <v>1221</v>
      </c>
      <c r="G1856" s="18">
        <v>357</v>
      </c>
      <c r="H1856" s="18">
        <v>146</v>
      </c>
      <c r="I1856" s="18">
        <v>718</v>
      </c>
    </row>
    <row r="1857" spans="1:9" x14ac:dyDescent="0.3">
      <c r="A1857" t="s">
        <v>1212</v>
      </c>
      <c r="B1857" s="18" t="s">
        <v>749</v>
      </c>
      <c r="C1857" s="18" t="s">
        <v>759</v>
      </c>
      <c r="D1857" s="18" t="s">
        <v>759</v>
      </c>
      <c r="E1857" s="18" t="s">
        <v>2072</v>
      </c>
      <c r="F1857" s="18">
        <v>744</v>
      </c>
      <c r="G1857" s="18">
        <v>330</v>
      </c>
      <c r="H1857" s="18">
        <v>94</v>
      </c>
      <c r="I1857" s="18">
        <v>320</v>
      </c>
    </row>
    <row r="1858" spans="1:9" x14ac:dyDescent="0.3">
      <c r="A1858" t="s">
        <v>1189</v>
      </c>
      <c r="B1858" s="18" t="s">
        <v>749</v>
      </c>
      <c r="C1858" s="18" t="s">
        <v>759</v>
      </c>
      <c r="D1858" s="18" t="s">
        <v>761</v>
      </c>
      <c r="E1858" s="18" t="s">
        <v>2072</v>
      </c>
      <c r="F1858" s="18">
        <v>3384</v>
      </c>
      <c r="G1858" s="18">
        <v>1431</v>
      </c>
      <c r="H1858" s="18">
        <v>402</v>
      </c>
      <c r="I1858" s="18">
        <v>1551</v>
      </c>
    </row>
    <row r="1859" spans="1:9" x14ac:dyDescent="0.3">
      <c r="A1859" t="s">
        <v>1794</v>
      </c>
      <c r="B1859" s="18" t="s">
        <v>749</v>
      </c>
      <c r="C1859" s="18" t="s">
        <v>749</v>
      </c>
      <c r="D1859" s="18" t="s">
        <v>751</v>
      </c>
      <c r="E1859" s="18" t="s">
        <v>2072</v>
      </c>
      <c r="F1859" s="18">
        <v>778</v>
      </c>
      <c r="G1859" s="18">
        <v>139</v>
      </c>
      <c r="H1859" s="18">
        <v>51</v>
      </c>
      <c r="I1859" s="18">
        <v>588</v>
      </c>
    </row>
    <row r="1860" spans="1:9" x14ac:dyDescent="0.3">
      <c r="A1860" t="s">
        <v>1795</v>
      </c>
      <c r="B1860" s="18" t="s">
        <v>749</v>
      </c>
      <c r="C1860" s="18" t="s">
        <v>749</v>
      </c>
      <c r="D1860" s="18" t="s">
        <v>660</v>
      </c>
      <c r="E1860" s="18" t="s">
        <v>2072</v>
      </c>
      <c r="F1860" s="18">
        <v>456</v>
      </c>
      <c r="G1860" s="18">
        <v>182</v>
      </c>
      <c r="H1860" s="18">
        <v>12</v>
      </c>
      <c r="I1860" s="18">
        <v>262</v>
      </c>
    </row>
    <row r="1861" spans="1:9" x14ac:dyDescent="0.3">
      <c r="A1861" t="s">
        <v>1803</v>
      </c>
      <c r="B1861" s="18" t="s">
        <v>749</v>
      </c>
      <c r="C1861" s="18" t="s">
        <v>749</v>
      </c>
      <c r="D1861" s="18" t="s">
        <v>419</v>
      </c>
      <c r="E1861" s="18" t="s">
        <v>2072</v>
      </c>
      <c r="F1861" s="18">
        <v>462</v>
      </c>
      <c r="G1861" s="18">
        <v>178</v>
      </c>
      <c r="H1861" s="18">
        <v>34</v>
      </c>
      <c r="I1861" s="18">
        <v>250</v>
      </c>
    </row>
    <row r="1862" spans="1:9" x14ac:dyDescent="0.3">
      <c r="A1862" t="s">
        <v>1796</v>
      </c>
      <c r="B1862" s="18" t="s">
        <v>749</v>
      </c>
      <c r="C1862" s="18" t="s">
        <v>749</v>
      </c>
      <c r="D1862" s="18" t="s">
        <v>752</v>
      </c>
      <c r="E1862" s="18" t="s">
        <v>2072</v>
      </c>
      <c r="F1862" s="18">
        <v>602</v>
      </c>
      <c r="G1862" s="18">
        <v>268</v>
      </c>
      <c r="H1862" s="18">
        <v>43</v>
      </c>
      <c r="I1862" s="18">
        <v>291</v>
      </c>
    </row>
    <row r="1863" spans="1:9" x14ac:dyDescent="0.3">
      <c r="A1863" t="s">
        <v>2056</v>
      </c>
      <c r="B1863" s="18" t="s">
        <v>749</v>
      </c>
      <c r="C1863" s="18" t="s">
        <v>749</v>
      </c>
      <c r="D1863" s="18" t="s">
        <v>397</v>
      </c>
      <c r="E1863" s="18" t="s">
        <v>2072</v>
      </c>
      <c r="F1863" s="18">
        <v>1188</v>
      </c>
      <c r="G1863" s="18">
        <v>310</v>
      </c>
      <c r="H1863" s="18">
        <v>24</v>
      </c>
      <c r="I1863" s="18">
        <v>854</v>
      </c>
    </row>
    <row r="1864" spans="1:9" x14ac:dyDescent="0.3">
      <c r="A1864" t="s">
        <v>1797</v>
      </c>
      <c r="B1864" s="18" t="s">
        <v>749</v>
      </c>
      <c r="C1864" s="18" t="s">
        <v>749</v>
      </c>
      <c r="D1864" s="18" t="s">
        <v>753</v>
      </c>
      <c r="E1864" s="18" t="s">
        <v>2072</v>
      </c>
      <c r="F1864" s="18">
        <v>91</v>
      </c>
      <c r="G1864" s="18">
        <v>38</v>
      </c>
      <c r="H1864" s="18">
        <v>17</v>
      </c>
      <c r="I1864" s="18">
        <v>36</v>
      </c>
    </row>
    <row r="1865" spans="1:9" x14ac:dyDescent="0.3">
      <c r="A1865" t="s">
        <v>1267</v>
      </c>
      <c r="B1865" s="18" t="s">
        <v>749</v>
      </c>
      <c r="C1865" s="18" t="s">
        <v>749</v>
      </c>
      <c r="D1865" s="18" t="s">
        <v>750</v>
      </c>
      <c r="E1865" s="18" t="s">
        <v>2072</v>
      </c>
      <c r="F1865" s="18">
        <v>15314</v>
      </c>
      <c r="G1865" s="18">
        <v>7961</v>
      </c>
      <c r="H1865" s="18">
        <v>1205</v>
      </c>
      <c r="I1865" s="18">
        <v>6148</v>
      </c>
    </row>
    <row r="1866" spans="1:9" x14ac:dyDescent="0.3">
      <c r="A1866" t="s">
        <v>1798</v>
      </c>
      <c r="B1866" s="18" t="s">
        <v>749</v>
      </c>
      <c r="C1866" s="18" t="s">
        <v>749</v>
      </c>
      <c r="D1866" s="18" t="s">
        <v>754</v>
      </c>
      <c r="E1866" s="18" t="s">
        <v>2072</v>
      </c>
      <c r="F1866" s="18">
        <v>113</v>
      </c>
      <c r="G1866" s="18">
        <v>2</v>
      </c>
      <c r="H1866" s="18"/>
      <c r="I1866" s="18">
        <v>111</v>
      </c>
    </row>
    <row r="1867" spans="1:9" x14ac:dyDescent="0.3">
      <c r="A1867" t="s">
        <v>2029</v>
      </c>
      <c r="B1867" s="18" t="s">
        <v>749</v>
      </c>
      <c r="C1867" s="18" t="s">
        <v>749</v>
      </c>
      <c r="D1867" s="18" t="s">
        <v>755</v>
      </c>
      <c r="E1867" s="18" t="s">
        <v>2072</v>
      </c>
      <c r="F1867" s="18">
        <v>253</v>
      </c>
      <c r="G1867" s="18">
        <v>50</v>
      </c>
      <c r="H1867" s="18">
        <v>34</v>
      </c>
      <c r="I1867" s="18">
        <v>169</v>
      </c>
    </row>
    <row r="1868" spans="1:9" x14ac:dyDescent="0.3">
      <c r="A1868" t="s">
        <v>1799</v>
      </c>
      <c r="B1868" s="18" t="s">
        <v>749</v>
      </c>
      <c r="C1868" s="18" t="s">
        <v>749</v>
      </c>
      <c r="D1868" s="18" t="s">
        <v>756</v>
      </c>
      <c r="E1868" s="18" t="s">
        <v>2072</v>
      </c>
      <c r="F1868" s="18">
        <v>979</v>
      </c>
      <c r="G1868" s="18">
        <v>112</v>
      </c>
      <c r="H1868" s="18">
        <v>8</v>
      </c>
      <c r="I1868" s="18">
        <v>859</v>
      </c>
    </row>
    <row r="1869" spans="1:9" x14ac:dyDescent="0.3">
      <c r="A1869" t="s">
        <v>1800</v>
      </c>
      <c r="B1869" s="18" t="s">
        <v>749</v>
      </c>
      <c r="C1869" s="18" t="s">
        <v>749</v>
      </c>
      <c r="D1869" s="18" t="s">
        <v>47</v>
      </c>
      <c r="E1869" s="18" t="s">
        <v>2072</v>
      </c>
      <c r="F1869" s="18">
        <v>2195</v>
      </c>
      <c r="G1869" s="18">
        <v>432</v>
      </c>
      <c r="H1869" s="18">
        <v>105</v>
      </c>
      <c r="I1869" s="18">
        <v>1658</v>
      </c>
    </row>
    <row r="1870" spans="1:9" x14ac:dyDescent="0.3">
      <c r="A1870" t="s">
        <v>1268</v>
      </c>
      <c r="B1870" s="18" t="s">
        <v>749</v>
      </c>
      <c r="C1870" s="18" t="s">
        <v>749</v>
      </c>
      <c r="D1870" s="18" t="s">
        <v>32</v>
      </c>
      <c r="E1870" s="18" t="s">
        <v>2072</v>
      </c>
      <c r="F1870" s="18">
        <v>5298</v>
      </c>
      <c r="G1870" s="18">
        <v>2453</v>
      </c>
      <c r="H1870" s="18">
        <v>470</v>
      </c>
      <c r="I1870" s="18">
        <v>2375</v>
      </c>
    </row>
    <row r="1871" spans="1:9" x14ac:dyDescent="0.3">
      <c r="A1871" t="s">
        <v>1801</v>
      </c>
      <c r="B1871" s="18" t="s">
        <v>749</v>
      </c>
      <c r="C1871" s="18" t="s">
        <v>749</v>
      </c>
      <c r="D1871" s="18" t="s">
        <v>757</v>
      </c>
      <c r="E1871" s="18" t="s">
        <v>2072</v>
      </c>
      <c r="F1871" s="18">
        <v>394</v>
      </c>
      <c r="G1871" s="18">
        <v>225</v>
      </c>
      <c r="H1871" s="18">
        <v>6</v>
      </c>
      <c r="I1871" s="18">
        <v>163</v>
      </c>
    </row>
    <row r="1872" spans="1:9" x14ac:dyDescent="0.3">
      <c r="A1872" t="s">
        <v>1802</v>
      </c>
      <c r="B1872" s="18" t="s">
        <v>749</v>
      </c>
      <c r="C1872" s="18" t="s">
        <v>749</v>
      </c>
      <c r="D1872" s="18" t="s">
        <v>758</v>
      </c>
      <c r="E1872" s="18" t="s">
        <v>2072</v>
      </c>
      <c r="F1872" s="18">
        <v>890</v>
      </c>
      <c r="G1872" s="18">
        <v>407</v>
      </c>
      <c r="H1872" s="18">
        <v>97</v>
      </c>
      <c r="I1872" s="18">
        <v>386</v>
      </c>
    </row>
    <row r="1873" spans="1:9" x14ac:dyDescent="0.3">
      <c r="A1873" t="s">
        <v>2030</v>
      </c>
      <c r="B1873" s="18" t="s">
        <v>749</v>
      </c>
      <c r="C1873" s="18" t="s">
        <v>762</v>
      </c>
      <c r="D1873" s="18" t="s">
        <v>292</v>
      </c>
      <c r="E1873" s="18" t="s">
        <v>2072</v>
      </c>
      <c r="F1873" s="18">
        <v>322</v>
      </c>
      <c r="G1873" s="18">
        <v>179</v>
      </c>
      <c r="H1873" s="18">
        <v>8</v>
      </c>
      <c r="I1873" s="18">
        <v>135</v>
      </c>
    </row>
    <row r="1874" spans="1:9" x14ac:dyDescent="0.3">
      <c r="A1874" t="s">
        <v>1128</v>
      </c>
      <c r="B1874" s="18" t="s">
        <v>749</v>
      </c>
      <c r="C1874" s="18" t="s">
        <v>762</v>
      </c>
      <c r="D1874" s="18" t="s">
        <v>762</v>
      </c>
      <c r="E1874" s="18" t="s">
        <v>2072</v>
      </c>
      <c r="F1874" s="18">
        <v>1233</v>
      </c>
      <c r="G1874" s="18">
        <v>506</v>
      </c>
      <c r="H1874" s="18">
        <v>68</v>
      </c>
      <c r="I1874" s="18">
        <v>659</v>
      </c>
    </row>
    <row r="1875" spans="1:9" x14ac:dyDescent="0.3">
      <c r="A1875" t="s">
        <v>1814</v>
      </c>
      <c r="B1875" s="18" t="s">
        <v>645</v>
      </c>
      <c r="C1875" s="18" t="s">
        <v>796</v>
      </c>
      <c r="D1875" s="18" t="s">
        <v>797</v>
      </c>
      <c r="E1875" s="18" t="s">
        <v>2072</v>
      </c>
      <c r="F1875" s="18">
        <v>2996</v>
      </c>
      <c r="G1875" s="18">
        <v>1550</v>
      </c>
      <c r="H1875" s="18">
        <v>191</v>
      </c>
      <c r="I1875" s="18">
        <v>1255</v>
      </c>
    </row>
    <row r="1876" spans="1:9" x14ac:dyDescent="0.3">
      <c r="A1876" t="s">
        <v>1337</v>
      </c>
      <c r="B1876" s="18" t="s">
        <v>645</v>
      </c>
      <c r="C1876" s="18" t="s">
        <v>796</v>
      </c>
      <c r="D1876" s="18" t="s">
        <v>798</v>
      </c>
      <c r="E1876" s="18" t="s">
        <v>2072</v>
      </c>
      <c r="F1876" s="18">
        <v>6955</v>
      </c>
      <c r="G1876" s="18">
        <v>2955</v>
      </c>
      <c r="H1876" s="18">
        <v>334</v>
      </c>
      <c r="I1876" s="18">
        <v>3666</v>
      </c>
    </row>
    <row r="1877" spans="1:9" x14ac:dyDescent="0.3">
      <c r="A1877" t="s">
        <v>1363</v>
      </c>
      <c r="B1877" s="18" t="s">
        <v>645</v>
      </c>
      <c r="C1877" s="18" t="s">
        <v>796</v>
      </c>
      <c r="D1877" s="18" t="s">
        <v>796</v>
      </c>
      <c r="E1877" s="18" t="s">
        <v>2072</v>
      </c>
      <c r="F1877" s="18">
        <v>19527</v>
      </c>
      <c r="G1877" s="18">
        <v>11134</v>
      </c>
      <c r="H1877" s="18">
        <v>957</v>
      </c>
      <c r="I1877" s="18">
        <v>7436</v>
      </c>
    </row>
    <row r="1878" spans="1:9" x14ac:dyDescent="0.3">
      <c r="A1878" t="s">
        <v>1815</v>
      </c>
      <c r="B1878" s="18" t="s">
        <v>645</v>
      </c>
      <c r="C1878" s="18" t="s">
        <v>796</v>
      </c>
      <c r="D1878" s="18" t="s">
        <v>577</v>
      </c>
      <c r="E1878" s="18" t="s">
        <v>2072</v>
      </c>
      <c r="F1878" s="18">
        <v>2750</v>
      </c>
      <c r="G1878" s="18">
        <v>1134</v>
      </c>
      <c r="H1878" s="18">
        <v>87</v>
      </c>
      <c r="I1878" s="18">
        <v>1529</v>
      </c>
    </row>
    <row r="1879" spans="1:9" x14ac:dyDescent="0.3">
      <c r="A1879" t="s">
        <v>1054</v>
      </c>
      <c r="B1879" s="18" t="s">
        <v>645</v>
      </c>
      <c r="C1879" s="18" t="s">
        <v>796</v>
      </c>
      <c r="D1879" s="18" t="s">
        <v>799</v>
      </c>
      <c r="E1879" s="18" t="s">
        <v>2072</v>
      </c>
      <c r="F1879" s="18">
        <v>1195</v>
      </c>
      <c r="G1879" s="18">
        <v>609</v>
      </c>
      <c r="H1879" s="18">
        <v>59</v>
      </c>
      <c r="I1879" s="18">
        <v>527</v>
      </c>
    </row>
    <row r="1880" spans="1:9" x14ac:dyDescent="0.3">
      <c r="A1880" t="s">
        <v>1437</v>
      </c>
      <c r="B1880" s="18" t="s">
        <v>645</v>
      </c>
      <c r="C1880" s="18" t="s">
        <v>796</v>
      </c>
      <c r="D1880" s="18" t="s">
        <v>801</v>
      </c>
      <c r="E1880" s="18" t="s">
        <v>2072</v>
      </c>
      <c r="F1880" s="18">
        <v>5677</v>
      </c>
      <c r="G1880" s="18">
        <v>2985</v>
      </c>
      <c r="H1880" s="18">
        <v>301</v>
      </c>
      <c r="I1880" s="18">
        <v>2391</v>
      </c>
    </row>
    <row r="1881" spans="1:9" x14ac:dyDescent="0.3">
      <c r="A1881" t="s">
        <v>1065</v>
      </c>
      <c r="B1881" s="18" t="s">
        <v>645</v>
      </c>
      <c r="C1881" s="18" t="s">
        <v>796</v>
      </c>
      <c r="D1881" s="18" t="s">
        <v>800</v>
      </c>
      <c r="E1881" s="18" t="s">
        <v>2072</v>
      </c>
      <c r="F1881" s="18">
        <v>2294</v>
      </c>
      <c r="G1881" s="18">
        <v>1137</v>
      </c>
      <c r="H1881" s="18">
        <v>164</v>
      </c>
      <c r="I1881" s="18">
        <v>993</v>
      </c>
    </row>
    <row r="1882" spans="1:9" x14ac:dyDescent="0.3">
      <c r="A1882" t="s">
        <v>1263</v>
      </c>
      <c r="B1882" s="18" t="s">
        <v>645</v>
      </c>
      <c r="C1882" s="18" t="s">
        <v>765</v>
      </c>
      <c r="D1882" s="18" t="s">
        <v>767</v>
      </c>
      <c r="E1882" s="18" t="s">
        <v>2072</v>
      </c>
      <c r="F1882" s="18">
        <v>14576</v>
      </c>
      <c r="G1882" s="18">
        <v>8137</v>
      </c>
      <c r="H1882" s="18">
        <v>1049</v>
      </c>
      <c r="I1882" s="18">
        <v>5390</v>
      </c>
    </row>
    <row r="1883" spans="1:9" x14ac:dyDescent="0.3">
      <c r="A1883" t="s">
        <v>1405</v>
      </c>
      <c r="B1883" s="18" t="s">
        <v>645</v>
      </c>
      <c r="C1883" s="18" t="s">
        <v>765</v>
      </c>
      <c r="D1883" s="18" t="s">
        <v>768</v>
      </c>
      <c r="E1883" s="18" t="s">
        <v>2072</v>
      </c>
      <c r="F1883" s="18">
        <v>17281</v>
      </c>
      <c r="G1883" s="18">
        <v>8309</v>
      </c>
      <c r="H1883" s="18">
        <v>1417</v>
      </c>
      <c r="I1883" s="18">
        <v>7555</v>
      </c>
    </row>
    <row r="1884" spans="1:9" x14ac:dyDescent="0.3">
      <c r="A1884" t="s">
        <v>1806</v>
      </c>
      <c r="B1884" s="18" t="s">
        <v>645</v>
      </c>
      <c r="C1884" s="18" t="s">
        <v>765</v>
      </c>
      <c r="D1884" s="18" t="s">
        <v>288</v>
      </c>
      <c r="E1884" s="18" t="s">
        <v>2072</v>
      </c>
      <c r="F1884" s="18">
        <v>610</v>
      </c>
      <c r="G1884" s="18">
        <v>320</v>
      </c>
      <c r="H1884" s="18">
        <v>30</v>
      </c>
      <c r="I1884" s="18">
        <v>260</v>
      </c>
    </row>
    <row r="1885" spans="1:9" x14ac:dyDescent="0.3">
      <c r="A1885" t="s">
        <v>1311</v>
      </c>
      <c r="B1885" s="18" t="s">
        <v>645</v>
      </c>
      <c r="C1885" s="18" t="s">
        <v>765</v>
      </c>
      <c r="D1885" s="18" t="s">
        <v>769</v>
      </c>
      <c r="E1885" s="18" t="s">
        <v>2072</v>
      </c>
      <c r="F1885" s="18">
        <v>1996</v>
      </c>
      <c r="G1885" s="18">
        <v>899</v>
      </c>
      <c r="H1885" s="18">
        <v>146</v>
      </c>
      <c r="I1885" s="18">
        <v>951</v>
      </c>
    </row>
    <row r="1886" spans="1:9" x14ac:dyDescent="0.3">
      <c r="A1886" t="s">
        <v>1274</v>
      </c>
      <c r="B1886" s="18" t="s">
        <v>645</v>
      </c>
      <c r="C1886" s="18" t="s">
        <v>765</v>
      </c>
      <c r="D1886" s="18" t="s">
        <v>381</v>
      </c>
      <c r="E1886" s="18" t="s">
        <v>2072</v>
      </c>
      <c r="F1886" s="18">
        <v>100674</v>
      </c>
      <c r="G1886" s="18">
        <v>53045</v>
      </c>
      <c r="H1886" s="18">
        <v>9410</v>
      </c>
      <c r="I1886" s="18">
        <v>38219</v>
      </c>
    </row>
    <row r="1887" spans="1:9" x14ac:dyDescent="0.3">
      <c r="A1887" t="s">
        <v>2031</v>
      </c>
      <c r="B1887" s="18" t="s">
        <v>645</v>
      </c>
      <c r="C1887" s="18" t="s">
        <v>765</v>
      </c>
      <c r="D1887" s="18" t="s">
        <v>772</v>
      </c>
      <c r="E1887" s="18" t="s">
        <v>2072</v>
      </c>
      <c r="F1887" s="18">
        <v>226</v>
      </c>
      <c r="G1887" s="18">
        <v>102</v>
      </c>
      <c r="H1887" s="18">
        <v>15</v>
      </c>
      <c r="I1887" s="18">
        <v>109</v>
      </c>
    </row>
    <row r="1888" spans="1:9" x14ac:dyDescent="0.3">
      <c r="A1888" t="s">
        <v>1114</v>
      </c>
      <c r="B1888" s="18" t="s">
        <v>645</v>
      </c>
      <c r="C1888" s="18" t="s">
        <v>765</v>
      </c>
      <c r="D1888" s="18" t="s">
        <v>18</v>
      </c>
      <c r="E1888" s="18" t="s">
        <v>2072</v>
      </c>
      <c r="F1888" s="18">
        <v>4423</v>
      </c>
      <c r="G1888" s="18">
        <v>2132</v>
      </c>
      <c r="H1888" s="18">
        <v>409</v>
      </c>
      <c r="I1888" s="18">
        <v>1882</v>
      </c>
    </row>
    <row r="1889" spans="1:9" x14ac:dyDescent="0.3">
      <c r="A1889" t="s">
        <v>1251</v>
      </c>
      <c r="B1889" s="18" t="s">
        <v>645</v>
      </c>
      <c r="C1889" s="18" t="s">
        <v>765</v>
      </c>
      <c r="D1889" s="18" t="s">
        <v>770</v>
      </c>
      <c r="E1889" s="18" t="s">
        <v>2072</v>
      </c>
      <c r="F1889" s="18">
        <v>54211</v>
      </c>
      <c r="G1889" s="18">
        <v>31309</v>
      </c>
      <c r="H1889" s="18">
        <v>3399</v>
      </c>
      <c r="I1889" s="18">
        <v>19503</v>
      </c>
    </row>
    <row r="1890" spans="1:9" x14ac:dyDescent="0.3">
      <c r="A1890" t="s">
        <v>1302</v>
      </c>
      <c r="B1890" s="18" t="s">
        <v>645</v>
      </c>
      <c r="C1890" s="18" t="s">
        <v>765</v>
      </c>
      <c r="D1890" s="18" t="s">
        <v>771</v>
      </c>
      <c r="E1890" s="18" t="s">
        <v>2072</v>
      </c>
      <c r="F1890" s="18">
        <v>18260</v>
      </c>
      <c r="G1890" s="18">
        <v>10967</v>
      </c>
      <c r="H1890" s="18">
        <v>711</v>
      </c>
      <c r="I1890" s="18">
        <v>6582</v>
      </c>
    </row>
    <row r="1891" spans="1:9" x14ac:dyDescent="0.3">
      <c r="A1891" t="s">
        <v>1103</v>
      </c>
      <c r="B1891" s="18" t="s">
        <v>645</v>
      </c>
      <c r="C1891" s="18" t="s">
        <v>765</v>
      </c>
      <c r="D1891" s="18" t="s">
        <v>773</v>
      </c>
      <c r="E1891" s="18" t="s">
        <v>2072</v>
      </c>
      <c r="F1891" s="18">
        <v>7207</v>
      </c>
      <c r="G1891" s="18">
        <v>3582</v>
      </c>
      <c r="H1891" s="18">
        <v>484</v>
      </c>
      <c r="I1891" s="18">
        <v>3141</v>
      </c>
    </row>
    <row r="1892" spans="1:9" x14ac:dyDescent="0.3">
      <c r="A1892" t="s">
        <v>1807</v>
      </c>
      <c r="B1892" s="18" t="s">
        <v>645</v>
      </c>
      <c r="C1892" s="18" t="s">
        <v>765</v>
      </c>
      <c r="D1892" s="18" t="s">
        <v>774</v>
      </c>
      <c r="E1892" s="18" t="s">
        <v>2072</v>
      </c>
      <c r="F1892" s="18">
        <v>665</v>
      </c>
      <c r="G1892" s="18">
        <v>249</v>
      </c>
      <c r="H1892" s="18">
        <v>44</v>
      </c>
      <c r="I1892" s="18">
        <v>372</v>
      </c>
    </row>
    <row r="1893" spans="1:9" x14ac:dyDescent="0.3">
      <c r="A1893" t="s">
        <v>1250</v>
      </c>
      <c r="B1893" s="18" t="s">
        <v>645</v>
      </c>
      <c r="C1893" s="18" t="s">
        <v>765</v>
      </c>
      <c r="D1893" s="18" t="s">
        <v>775</v>
      </c>
      <c r="E1893" s="18" t="s">
        <v>2072</v>
      </c>
      <c r="F1893" s="18">
        <v>1732</v>
      </c>
      <c r="G1893" s="18">
        <v>821</v>
      </c>
      <c r="H1893" s="18">
        <v>156</v>
      </c>
      <c r="I1893" s="18">
        <v>755</v>
      </c>
    </row>
    <row r="1894" spans="1:9" x14ac:dyDescent="0.3">
      <c r="A1894" t="s">
        <v>1067</v>
      </c>
      <c r="B1894" s="18" t="s">
        <v>645</v>
      </c>
      <c r="C1894" s="18" t="s">
        <v>765</v>
      </c>
      <c r="D1894" s="18" t="s">
        <v>776</v>
      </c>
      <c r="E1894" s="18" t="s">
        <v>2072</v>
      </c>
      <c r="F1894" s="18">
        <v>8121</v>
      </c>
      <c r="G1894" s="18">
        <v>4038</v>
      </c>
      <c r="H1894" s="18">
        <v>569</v>
      </c>
      <c r="I1894" s="18">
        <v>3514</v>
      </c>
    </row>
    <row r="1895" spans="1:9" x14ac:dyDescent="0.3">
      <c r="A1895" t="s">
        <v>1333</v>
      </c>
      <c r="B1895" s="18" t="s">
        <v>645</v>
      </c>
      <c r="C1895" s="18" t="s">
        <v>765</v>
      </c>
      <c r="D1895" s="18" t="s">
        <v>777</v>
      </c>
      <c r="E1895" s="18" t="s">
        <v>2072</v>
      </c>
      <c r="F1895" s="18">
        <v>4550</v>
      </c>
      <c r="G1895" s="18">
        <v>2001</v>
      </c>
      <c r="H1895" s="18">
        <v>401</v>
      </c>
      <c r="I1895" s="18">
        <v>2148</v>
      </c>
    </row>
    <row r="1896" spans="1:9" x14ac:dyDescent="0.3">
      <c r="A1896" t="s">
        <v>1072</v>
      </c>
      <c r="B1896" s="18" t="s">
        <v>645</v>
      </c>
      <c r="C1896" s="18" t="s">
        <v>765</v>
      </c>
      <c r="D1896" s="18" t="s">
        <v>778</v>
      </c>
      <c r="E1896" s="18" t="s">
        <v>2072</v>
      </c>
      <c r="F1896" s="18">
        <v>5965</v>
      </c>
      <c r="G1896" s="18">
        <v>2964</v>
      </c>
      <c r="H1896" s="18">
        <v>741</v>
      </c>
      <c r="I1896" s="18">
        <v>2260</v>
      </c>
    </row>
    <row r="1897" spans="1:9" x14ac:dyDescent="0.3">
      <c r="A1897" t="s">
        <v>1808</v>
      </c>
      <c r="B1897" s="18" t="s">
        <v>645</v>
      </c>
      <c r="C1897" s="18" t="s">
        <v>765</v>
      </c>
      <c r="D1897" s="18" t="s">
        <v>779</v>
      </c>
      <c r="E1897" s="18" t="s">
        <v>2072</v>
      </c>
      <c r="F1897" s="18">
        <v>743</v>
      </c>
      <c r="G1897" s="18">
        <v>338</v>
      </c>
      <c r="H1897" s="18">
        <v>76</v>
      </c>
      <c r="I1897" s="18">
        <v>329</v>
      </c>
    </row>
    <row r="1898" spans="1:9" x14ac:dyDescent="0.3">
      <c r="A1898" t="s">
        <v>1809</v>
      </c>
      <c r="B1898" s="18" t="s">
        <v>645</v>
      </c>
      <c r="C1898" s="18" t="s">
        <v>765</v>
      </c>
      <c r="D1898" s="18" t="s">
        <v>780</v>
      </c>
      <c r="E1898" s="18" t="s">
        <v>2072</v>
      </c>
      <c r="F1898" s="18">
        <v>1105</v>
      </c>
      <c r="G1898" s="18">
        <v>473</v>
      </c>
      <c r="H1898" s="18">
        <v>113</v>
      </c>
      <c r="I1898" s="18">
        <v>519</v>
      </c>
    </row>
    <row r="1899" spans="1:9" x14ac:dyDescent="0.3">
      <c r="A1899" t="s">
        <v>1810</v>
      </c>
      <c r="B1899" s="18" t="s">
        <v>645</v>
      </c>
      <c r="C1899" s="18" t="s">
        <v>765</v>
      </c>
      <c r="D1899" s="18" t="s">
        <v>781</v>
      </c>
      <c r="E1899" s="18" t="s">
        <v>2072</v>
      </c>
      <c r="F1899" s="18">
        <v>1097</v>
      </c>
      <c r="G1899" s="18">
        <v>481</v>
      </c>
      <c r="H1899" s="18">
        <v>125</v>
      </c>
      <c r="I1899" s="18">
        <v>491</v>
      </c>
    </row>
    <row r="1900" spans="1:9" x14ac:dyDescent="0.3">
      <c r="A1900" t="s">
        <v>1155</v>
      </c>
      <c r="B1900" s="18" t="s">
        <v>645</v>
      </c>
      <c r="C1900" s="18" t="s">
        <v>765</v>
      </c>
      <c r="D1900" s="18" t="s">
        <v>782</v>
      </c>
      <c r="E1900" s="18" t="s">
        <v>2072</v>
      </c>
      <c r="F1900" s="18">
        <v>9272</v>
      </c>
      <c r="G1900" s="18">
        <v>5791</v>
      </c>
      <c r="H1900" s="18">
        <v>361</v>
      </c>
      <c r="I1900" s="18">
        <v>3120</v>
      </c>
    </row>
    <row r="1901" spans="1:9" x14ac:dyDescent="0.3">
      <c r="A1901" t="s">
        <v>1286</v>
      </c>
      <c r="B1901" s="18" t="s">
        <v>645</v>
      </c>
      <c r="C1901" s="18" t="s">
        <v>765</v>
      </c>
      <c r="D1901" s="18" t="s">
        <v>783</v>
      </c>
      <c r="E1901" s="18" t="s">
        <v>2072</v>
      </c>
      <c r="F1901" s="18">
        <v>1097</v>
      </c>
      <c r="G1901" s="18">
        <v>392</v>
      </c>
      <c r="H1901" s="18">
        <v>91</v>
      </c>
      <c r="I1901" s="18">
        <v>614</v>
      </c>
    </row>
    <row r="1902" spans="1:9" x14ac:dyDescent="0.3">
      <c r="A1902" t="s">
        <v>1811</v>
      </c>
      <c r="B1902" s="18" t="s">
        <v>645</v>
      </c>
      <c r="C1902" s="18" t="s">
        <v>765</v>
      </c>
      <c r="D1902" s="18" t="s">
        <v>784</v>
      </c>
      <c r="E1902" s="18" t="s">
        <v>2072</v>
      </c>
      <c r="F1902" s="18">
        <v>1471</v>
      </c>
      <c r="G1902" s="18">
        <v>666</v>
      </c>
      <c r="H1902" s="18">
        <v>31</v>
      </c>
      <c r="I1902" s="18">
        <v>774</v>
      </c>
    </row>
    <row r="1903" spans="1:9" x14ac:dyDescent="0.3">
      <c r="A1903" t="s">
        <v>1812</v>
      </c>
      <c r="B1903" s="18" t="s">
        <v>645</v>
      </c>
      <c r="C1903" s="18" t="s">
        <v>765</v>
      </c>
      <c r="D1903" s="18" t="s">
        <v>785</v>
      </c>
      <c r="E1903" s="18" t="s">
        <v>2072</v>
      </c>
      <c r="F1903" s="18">
        <v>312</v>
      </c>
      <c r="G1903" s="18">
        <v>147</v>
      </c>
      <c r="H1903" s="18">
        <v>9</v>
      </c>
      <c r="I1903" s="18">
        <v>156</v>
      </c>
    </row>
    <row r="1904" spans="1:9" x14ac:dyDescent="0.3">
      <c r="A1904" t="s">
        <v>1373</v>
      </c>
      <c r="B1904" s="18" t="s">
        <v>645</v>
      </c>
      <c r="C1904" s="18" t="s">
        <v>765</v>
      </c>
      <c r="D1904" s="18" t="s">
        <v>786</v>
      </c>
      <c r="E1904" s="18" t="s">
        <v>2072</v>
      </c>
      <c r="F1904" s="18">
        <v>8937</v>
      </c>
      <c r="G1904" s="18">
        <v>4730</v>
      </c>
      <c r="H1904" s="18">
        <v>902</v>
      </c>
      <c r="I1904" s="18">
        <v>3305</v>
      </c>
    </row>
    <row r="1905" spans="1:9" x14ac:dyDescent="0.3">
      <c r="A1905" t="s">
        <v>1401</v>
      </c>
      <c r="B1905" s="18" t="s">
        <v>645</v>
      </c>
      <c r="C1905" s="18" t="s">
        <v>765</v>
      </c>
      <c r="D1905" s="18" t="s">
        <v>787</v>
      </c>
      <c r="E1905" s="18" t="s">
        <v>2072</v>
      </c>
      <c r="F1905" s="18">
        <v>9027</v>
      </c>
      <c r="G1905" s="18">
        <v>3791</v>
      </c>
      <c r="H1905" s="18">
        <v>874</v>
      </c>
      <c r="I1905" s="18">
        <v>4362</v>
      </c>
    </row>
    <row r="1906" spans="1:9" x14ac:dyDescent="0.3">
      <c r="A1906" t="s">
        <v>1187</v>
      </c>
      <c r="B1906" s="18" t="s">
        <v>645</v>
      </c>
      <c r="C1906" s="18" t="s">
        <v>765</v>
      </c>
      <c r="D1906" s="18" t="s">
        <v>788</v>
      </c>
      <c r="E1906" s="18" t="s">
        <v>2072</v>
      </c>
      <c r="F1906" s="18">
        <v>15498</v>
      </c>
      <c r="G1906" s="18">
        <v>8835</v>
      </c>
      <c r="H1906" s="18">
        <v>1029</v>
      </c>
      <c r="I1906" s="18">
        <v>5634</v>
      </c>
    </row>
    <row r="1907" spans="1:9" x14ac:dyDescent="0.3">
      <c r="A1907" t="s">
        <v>1112</v>
      </c>
      <c r="B1907" s="18" t="s">
        <v>645</v>
      </c>
      <c r="C1907" s="18" t="s">
        <v>765</v>
      </c>
      <c r="D1907" s="18" t="s">
        <v>789</v>
      </c>
      <c r="E1907" s="18" t="s">
        <v>2072</v>
      </c>
      <c r="F1907" s="18">
        <v>2104</v>
      </c>
      <c r="G1907" s="18">
        <v>1056</v>
      </c>
      <c r="H1907" s="18">
        <v>81</v>
      </c>
      <c r="I1907" s="18">
        <v>967</v>
      </c>
    </row>
    <row r="1908" spans="1:9" x14ac:dyDescent="0.3">
      <c r="A1908" t="s">
        <v>1181</v>
      </c>
      <c r="B1908" s="18" t="s">
        <v>645</v>
      </c>
      <c r="C1908" s="18" t="s">
        <v>765</v>
      </c>
      <c r="D1908" s="18" t="s">
        <v>790</v>
      </c>
      <c r="E1908" s="18" t="s">
        <v>2072</v>
      </c>
      <c r="F1908" s="18">
        <v>7065</v>
      </c>
      <c r="G1908" s="18">
        <v>4095</v>
      </c>
      <c r="H1908" s="18">
        <v>589</v>
      </c>
      <c r="I1908" s="18">
        <v>2381</v>
      </c>
    </row>
    <row r="1909" spans="1:9" x14ac:dyDescent="0.3">
      <c r="A1909" t="s">
        <v>1443</v>
      </c>
      <c r="B1909" s="18" t="s">
        <v>645</v>
      </c>
      <c r="C1909" s="18" t="s">
        <v>765</v>
      </c>
      <c r="D1909" s="18" t="s">
        <v>766</v>
      </c>
      <c r="E1909" s="18" t="s">
        <v>2072</v>
      </c>
      <c r="F1909" s="18">
        <v>741908</v>
      </c>
      <c r="G1909" s="18">
        <v>403161</v>
      </c>
      <c r="H1909" s="18">
        <v>59937</v>
      </c>
      <c r="I1909" s="18">
        <v>278810</v>
      </c>
    </row>
    <row r="1910" spans="1:9" x14ac:dyDescent="0.3">
      <c r="A1910" t="s">
        <v>1214</v>
      </c>
      <c r="B1910" s="18" t="s">
        <v>645</v>
      </c>
      <c r="C1910" s="18" t="s">
        <v>765</v>
      </c>
      <c r="D1910" s="18" t="s">
        <v>138</v>
      </c>
      <c r="E1910" s="18" t="s">
        <v>2072</v>
      </c>
      <c r="F1910" s="18">
        <v>20142</v>
      </c>
      <c r="G1910" s="18">
        <v>10273</v>
      </c>
      <c r="H1910" s="18">
        <v>1757</v>
      </c>
      <c r="I1910" s="18">
        <v>8112</v>
      </c>
    </row>
    <row r="1911" spans="1:9" x14ac:dyDescent="0.3">
      <c r="A1911" t="s">
        <v>1813</v>
      </c>
      <c r="B1911" s="18" t="s">
        <v>645</v>
      </c>
      <c r="C1911" s="18" t="s">
        <v>765</v>
      </c>
      <c r="D1911" s="18" t="s">
        <v>791</v>
      </c>
      <c r="E1911" s="18" t="s">
        <v>2072</v>
      </c>
      <c r="F1911" s="18">
        <v>2200</v>
      </c>
      <c r="G1911" s="18">
        <v>931</v>
      </c>
      <c r="H1911" s="18">
        <v>103</v>
      </c>
      <c r="I1911" s="18">
        <v>1166</v>
      </c>
    </row>
    <row r="1912" spans="1:9" x14ac:dyDescent="0.3">
      <c r="A1912" t="s">
        <v>1136</v>
      </c>
      <c r="B1912" s="18" t="s">
        <v>645</v>
      </c>
      <c r="C1912" s="18" t="s">
        <v>765</v>
      </c>
      <c r="D1912" s="18" t="s">
        <v>792</v>
      </c>
      <c r="E1912" s="18" t="s">
        <v>2072</v>
      </c>
      <c r="F1912" s="18">
        <v>1571</v>
      </c>
      <c r="G1912" s="18">
        <v>874</v>
      </c>
      <c r="H1912" s="18">
        <v>137</v>
      </c>
      <c r="I1912" s="18">
        <v>560</v>
      </c>
    </row>
    <row r="1913" spans="1:9" x14ac:dyDescent="0.3">
      <c r="A1913" t="s">
        <v>1317</v>
      </c>
      <c r="B1913" s="18" t="s">
        <v>645</v>
      </c>
      <c r="C1913" s="18" t="s">
        <v>765</v>
      </c>
      <c r="D1913" s="18" t="s">
        <v>793</v>
      </c>
      <c r="E1913" s="18" t="s">
        <v>2072</v>
      </c>
      <c r="F1913" s="18">
        <v>32209</v>
      </c>
      <c r="G1913" s="18">
        <v>18475</v>
      </c>
      <c r="H1913" s="18">
        <v>2055</v>
      </c>
      <c r="I1913" s="18">
        <v>11679</v>
      </c>
    </row>
    <row r="1914" spans="1:9" x14ac:dyDescent="0.3">
      <c r="A1914" t="s">
        <v>1332</v>
      </c>
      <c r="B1914" s="18" t="s">
        <v>645</v>
      </c>
      <c r="C1914" s="18" t="s">
        <v>765</v>
      </c>
      <c r="D1914" s="18" t="s">
        <v>794</v>
      </c>
      <c r="E1914" s="18" t="s">
        <v>2072</v>
      </c>
      <c r="F1914" s="18">
        <v>10333</v>
      </c>
      <c r="G1914" s="18">
        <v>5181</v>
      </c>
      <c r="H1914" s="18">
        <v>909</v>
      </c>
      <c r="I1914" s="18">
        <v>4243</v>
      </c>
    </row>
    <row r="1915" spans="1:9" x14ac:dyDescent="0.3">
      <c r="A1915" t="s">
        <v>1083</v>
      </c>
      <c r="B1915" s="18" t="s">
        <v>645</v>
      </c>
      <c r="C1915" s="18" t="s">
        <v>765</v>
      </c>
      <c r="D1915" s="18" t="s">
        <v>795</v>
      </c>
      <c r="E1915" s="18" t="s">
        <v>2072</v>
      </c>
      <c r="F1915" s="18">
        <v>2473</v>
      </c>
      <c r="G1915" s="18">
        <v>1325</v>
      </c>
      <c r="H1915" s="18">
        <v>146</v>
      </c>
      <c r="I1915" s="18">
        <v>1002</v>
      </c>
    </row>
    <row r="1916" spans="1:9" x14ac:dyDescent="0.3">
      <c r="A1916" t="s">
        <v>1313</v>
      </c>
      <c r="B1916" s="18" t="s">
        <v>645</v>
      </c>
      <c r="C1916" s="18" t="s">
        <v>802</v>
      </c>
      <c r="D1916" s="18" t="s">
        <v>804</v>
      </c>
      <c r="E1916" s="18" t="s">
        <v>2072</v>
      </c>
      <c r="F1916" s="18">
        <v>4088</v>
      </c>
      <c r="G1916" s="18">
        <v>1655</v>
      </c>
      <c r="H1916" s="18">
        <v>312</v>
      </c>
      <c r="I1916" s="18">
        <v>2121</v>
      </c>
    </row>
    <row r="1917" spans="1:9" x14ac:dyDescent="0.3">
      <c r="A1917" t="s">
        <v>1202</v>
      </c>
      <c r="B1917" s="18" t="s">
        <v>645</v>
      </c>
      <c r="C1917" s="18" t="s">
        <v>802</v>
      </c>
      <c r="D1917" s="18" t="s">
        <v>805</v>
      </c>
      <c r="E1917" s="18" t="s">
        <v>2072</v>
      </c>
      <c r="F1917" s="18">
        <v>4908</v>
      </c>
      <c r="G1917" s="18">
        <v>2460</v>
      </c>
      <c r="H1917" s="18">
        <v>404</v>
      </c>
      <c r="I1917" s="18">
        <v>2044</v>
      </c>
    </row>
    <row r="1918" spans="1:9" x14ac:dyDescent="0.3">
      <c r="A1918" t="s">
        <v>1318</v>
      </c>
      <c r="B1918" s="18" t="s">
        <v>645</v>
      </c>
      <c r="C1918" s="18" t="s">
        <v>802</v>
      </c>
      <c r="D1918" s="18" t="s">
        <v>806</v>
      </c>
      <c r="E1918" s="18" t="s">
        <v>2072</v>
      </c>
      <c r="F1918" s="18">
        <v>9841</v>
      </c>
      <c r="G1918" s="18">
        <v>4253</v>
      </c>
      <c r="H1918" s="18">
        <v>1290</v>
      </c>
      <c r="I1918" s="18">
        <v>4298</v>
      </c>
    </row>
    <row r="1919" spans="1:9" x14ac:dyDescent="0.3">
      <c r="A1919" t="s">
        <v>1816</v>
      </c>
      <c r="B1919" s="18" t="s">
        <v>645</v>
      </c>
      <c r="C1919" s="18" t="s">
        <v>802</v>
      </c>
      <c r="D1919" s="18" t="s">
        <v>807</v>
      </c>
      <c r="E1919" s="18" t="s">
        <v>2072</v>
      </c>
      <c r="F1919" s="18">
        <v>582</v>
      </c>
      <c r="G1919" s="18">
        <v>282</v>
      </c>
      <c r="H1919" s="18">
        <v>32</v>
      </c>
      <c r="I1919" s="18">
        <v>268</v>
      </c>
    </row>
    <row r="1920" spans="1:9" x14ac:dyDescent="0.3">
      <c r="A1920" t="s">
        <v>1372</v>
      </c>
      <c r="B1920" s="18" t="s">
        <v>645</v>
      </c>
      <c r="C1920" s="18" t="s">
        <v>802</v>
      </c>
      <c r="D1920" s="18" t="s">
        <v>803</v>
      </c>
      <c r="E1920" s="18" t="s">
        <v>2072</v>
      </c>
      <c r="F1920" s="18">
        <v>13428</v>
      </c>
      <c r="G1920" s="18">
        <v>6860</v>
      </c>
      <c r="H1920" s="18">
        <v>1016</v>
      </c>
      <c r="I1920" s="18">
        <v>5552</v>
      </c>
    </row>
    <row r="1921" spans="1:9" x14ac:dyDescent="0.3">
      <c r="A1921" t="s">
        <v>1817</v>
      </c>
      <c r="B1921" s="18" t="s">
        <v>645</v>
      </c>
      <c r="C1921" s="18" t="s">
        <v>802</v>
      </c>
      <c r="D1921" s="18" t="s">
        <v>808</v>
      </c>
      <c r="E1921" s="18" t="s">
        <v>2072</v>
      </c>
      <c r="F1921" s="18">
        <v>1237</v>
      </c>
      <c r="G1921" s="18">
        <v>458</v>
      </c>
      <c r="H1921" s="18">
        <v>142</v>
      </c>
      <c r="I1921" s="18">
        <v>637</v>
      </c>
    </row>
    <row r="1922" spans="1:9" x14ac:dyDescent="0.3">
      <c r="A1922" t="s">
        <v>1422</v>
      </c>
      <c r="B1922" s="18" t="s">
        <v>645</v>
      </c>
      <c r="C1922" s="18" t="s">
        <v>802</v>
      </c>
      <c r="D1922" s="18" t="s">
        <v>387</v>
      </c>
      <c r="E1922" s="18" t="s">
        <v>2072</v>
      </c>
      <c r="F1922" s="18">
        <v>3926</v>
      </c>
      <c r="G1922" s="18">
        <v>1701</v>
      </c>
      <c r="H1922" s="18">
        <v>298</v>
      </c>
      <c r="I1922" s="18">
        <v>1927</v>
      </c>
    </row>
    <row r="1923" spans="1:9" x14ac:dyDescent="0.3">
      <c r="A1923" t="s">
        <v>1419</v>
      </c>
      <c r="B1923" s="18" t="s">
        <v>645</v>
      </c>
      <c r="C1923" s="18" t="s">
        <v>802</v>
      </c>
      <c r="D1923" s="18" t="s">
        <v>809</v>
      </c>
      <c r="E1923" s="18" t="s">
        <v>2072</v>
      </c>
      <c r="F1923" s="18">
        <v>2551</v>
      </c>
      <c r="G1923" s="18">
        <v>1204</v>
      </c>
      <c r="H1923" s="18">
        <v>160</v>
      </c>
      <c r="I1923" s="18">
        <v>1187</v>
      </c>
    </row>
    <row r="1924" spans="1:9" x14ac:dyDescent="0.3">
      <c r="A1924" t="s">
        <v>1098</v>
      </c>
      <c r="B1924" s="18" t="s">
        <v>645</v>
      </c>
      <c r="C1924" s="18" t="s">
        <v>810</v>
      </c>
      <c r="D1924" s="18" t="s">
        <v>459</v>
      </c>
      <c r="E1924" s="18" t="s">
        <v>2072</v>
      </c>
      <c r="F1924" s="18">
        <v>1830</v>
      </c>
      <c r="G1924" s="18">
        <v>1002</v>
      </c>
      <c r="H1924" s="18">
        <v>57</v>
      </c>
      <c r="I1924" s="18">
        <v>771</v>
      </c>
    </row>
    <row r="1925" spans="1:9" x14ac:dyDescent="0.3">
      <c r="A1925" t="s">
        <v>1044</v>
      </c>
      <c r="B1925" s="18" t="s">
        <v>645</v>
      </c>
      <c r="C1925" s="18" t="s">
        <v>810</v>
      </c>
      <c r="D1925" s="18" t="s">
        <v>812</v>
      </c>
      <c r="E1925" s="18" t="s">
        <v>2072</v>
      </c>
      <c r="F1925" s="18">
        <v>2384</v>
      </c>
      <c r="G1925" s="18">
        <v>1221</v>
      </c>
      <c r="H1925" s="18">
        <v>90</v>
      </c>
      <c r="I1925" s="18">
        <v>1073</v>
      </c>
    </row>
    <row r="1926" spans="1:9" x14ac:dyDescent="0.3">
      <c r="A1926" t="s">
        <v>1287</v>
      </c>
      <c r="B1926" s="18" t="s">
        <v>645</v>
      </c>
      <c r="C1926" s="18" t="s">
        <v>810</v>
      </c>
      <c r="D1926" s="18" t="s">
        <v>811</v>
      </c>
      <c r="E1926" s="18" t="s">
        <v>2072</v>
      </c>
      <c r="F1926" s="18">
        <v>7852</v>
      </c>
      <c r="G1926" s="18">
        <v>4565</v>
      </c>
      <c r="H1926" s="18">
        <v>350</v>
      </c>
      <c r="I1926" s="18">
        <v>2937</v>
      </c>
    </row>
    <row r="1927" spans="1:9" x14ac:dyDescent="0.3">
      <c r="A1927" t="s">
        <v>1045</v>
      </c>
      <c r="B1927" s="18" t="s">
        <v>645</v>
      </c>
      <c r="C1927" s="18" t="s">
        <v>810</v>
      </c>
      <c r="D1927" s="18" t="s">
        <v>813</v>
      </c>
      <c r="E1927" s="18" t="s">
        <v>2072</v>
      </c>
      <c r="F1927" s="18">
        <v>788</v>
      </c>
      <c r="G1927" s="18">
        <v>365</v>
      </c>
      <c r="H1927" s="18">
        <v>25</v>
      </c>
      <c r="I1927" s="18">
        <v>398</v>
      </c>
    </row>
    <row r="1928" spans="1:9" x14ac:dyDescent="0.3">
      <c r="A1928" t="s">
        <v>1818</v>
      </c>
      <c r="B1928" s="18" t="s">
        <v>645</v>
      </c>
      <c r="C1928" s="18" t="s">
        <v>810</v>
      </c>
      <c r="D1928" s="18" t="s">
        <v>814</v>
      </c>
      <c r="E1928" s="18" t="s">
        <v>2072</v>
      </c>
      <c r="F1928" s="18">
        <v>2462</v>
      </c>
      <c r="G1928" s="18">
        <v>1246</v>
      </c>
      <c r="H1928" s="18">
        <v>152</v>
      </c>
      <c r="I1928" s="18">
        <v>1064</v>
      </c>
    </row>
    <row r="1929" spans="1:9" x14ac:dyDescent="0.3">
      <c r="A1929" t="s">
        <v>1822</v>
      </c>
      <c r="B1929" s="18" t="s">
        <v>645</v>
      </c>
      <c r="C1929" s="18" t="s">
        <v>821</v>
      </c>
      <c r="D1929" s="18" t="s">
        <v>821</v>
      </c>
      <c r="E1929" s="18" t="s">
        <v>2072</v>
      </c>
      <c r="F1929" s="18">
        <v>5479</v>
      </c>
      <c r="G1929" s="18">
        <v>2189</v>
      </c>
      <c r="H1929" s="18">
        <v>272</v>
      </c>
      <c r="I1929" s="18">
        <v>3018</v>
      </c>
    </row>
    <row r="1930" spans="1:9" x14ac:dyDescent="0.3">
      <c r="A1930" t="s">
        <v>1460</v>
      </c>
      <c r="B1930" s="18" t="s">
        <v>645</v>
      </c>
      <c r="C1930" s="18" t="s">
        <v>822</v>
      </c>
      <c r="D1930" s="18" t="s">
        <v>822</v>
      </c>
      <c r="E1930" s="18" t="s">
        <v>2072</v>
      </c>
      <c r="F1930" s="18">
        <v>9007</v>
      </c>
      <c r="G1930" s="18">
        <v>2836</v>
      </c>
      <c r="H1930" s="18">
        <v>650</v>
      </c>
      <c r="I1930" s="18">
        <v>5521</v>
      </c>
    </row>
    <row r="1931" spans="1:9" x14ac:dyDescent="0.3">
      <c r="A1931" t="s">
        <v>1375</v>
      </c>
      <c r="B1931" s="18" t="s">
        <v>645</v>
      </c>
      <c r="C1931" s="18" t="s">
        <v>815</v>
      </c>
      <c r="D1931" s="18" t="s">
        <v>817</v>
      </c>
      <c r="E1931" s="18" t="s">
        <v>2072</v>
      </c>
      <c r="F1931" s="18">
        <v>1777</v>
      </c>
      <c r="G1931" s="18">
        <v>782</v>
      </c>
      <c r="H1931" s="18">
        <v>169</v>
      </c>
      <c r="I1931" s="18">
        <v>826</v>
      </c>
    </row>
    <row r="1932" spans="1:9" x14ac:dyDescent="0.3">
      <c r="A1932" t="s">
        <v>1819</v>
      </c>
      <c r="B1932" s="18" t="s">
        <v>645</v>
      </c>
      <c r="C1932" s="18" t="s">
        <v>815</v>
      </c>
      <c r="D1932" s="18" t="s">
        <v>818</v>
      </c>
      <c r="E1932" s="18" t="s">
        <v>2072</v>
      </c>
      <c r="F1932" s="18">
        <v>249</v>
      </c>
      <c r="G1932" s="18">
        <v>83</v>
      </c>
      <c r="H1932" s="18">
        <v>41</v>
      </c>
      <c r="I1932" s="18">
        <v>125</v>
      </c>
    </row>
    <row r="1933" spans="1:9" x14ac:dyDescent="0.3">
      <c r="A1933" t="s">
        <v>1289</v>
      </c>
      <c r="B1933" s="18" t="s">
        <v>645</v>
      </c>
      <c r="C1933" s="18" t="s">
        <v>815</v>
      </c>
      <c r="D1933" s="18" t="s">
        <v>816</v>
      </c>
      <c r="E1933" s="18" t="s">
        <v>2072</v>
      </c>
      <c r="F1933" s="18">
        <v>43375</v>
      </c>
      <c r="G1933" s="18">
        <v>23696</v>
      </c>
      <c r="H1933" s="18">
        <v>3104</v>
      </c>
      <c r="I1933" s="18">
        <v>16575</v>
      </c>
    </row>
    <row r="1934" spans="1:9" x14ac:dyDescent="0.3">
      <c r="A1934" t="s">
        <v>1821</v>
      </c>
      <c r="B1934" s="18" t="s">
        <v>645</v>
      </c>
      <c r="C1934" s="18" t="s">
        <v>819</v>
      </c>
      <c r="D1934" s="18" t="s">
        <v>820</v>
      </c>
      <c r="E1934" s="18" t="s">
        <v>2072</v>
      </c>
      <c r="F1934" s="18">
        <v>1123</v>
      </c>
      <c r="G1934" s="18">
        <v>578</v>
      </c>
      <c r="H1934" s="18">
        <v>56</v>
      </c>
      <c r="I1934" s="18">
        <v>489</v>
      </c>
    </row>
    <row r="1935" spans="1:9" x14ac:dyDescent="0.3">
      <c r="A1935" t="s">
        <v>1820</v>
      </c>
      <c r="B1935" s="18" t="s">
        <v>645</v>
      </c>
      <c r="C1935" s="18" t="s">
        <v>819</v>
      </c>
      <c r="D1935" s="18" t="s">
        <v>819</v>
      </c>
      <c r="E1935" s="18" t="s">
        <v>2072</v>
      </c>
      <c r="F1935" s="18">
        <v>3904</v>
      </c>
      <c r="G1935" s="18">
        <v>1421</v>
      </c>
      <c r="H1935" s="18">
        <v>284</v>
      </c>
      <c r="I1935" s="18">
        <v>2199</v>
      </c>
    </row>
    <row r="1936" spans="1:9" x14ac:dyDescent="0.3">
      <c r="A1936" t="s">
        <v>1147</v>
      </c>
      <c r="B1936" s="18" t="s">
        <v>933</v>
      </c>
      <c r="C1936" s="18" t="s">
        <v>168</v>
      </c>
      <c r="D1936" s="18" t="s">
        <v>168</v>
      </c>
      <c r="E1936" s="18" t="s">
        <v>2072</v>
      </c>
      <c r="F1936" s="18">
        <v>41735</v>
      </c>
      <c r="G1936" s="18">
        <v>12654</v>
      </c>
      <c r="H1936" s="18">
        <v>4217</v>
      </c>
      <c r="I1936" s="18">
        <v>24864</v>
      </c>
    </row>
    <row r="1937" spans="1:9" x14ac:dyDescent="0.3">
      <c r="A1937" t="s">
        <v>1043</v>
      </c>
      <c r="B1937" s="18" t="s">
        <v>933</v>
      </c>
      <c r="C1937" s="18" t="s">
        <v>94</v>
      </c>
      <c r="D1937" s="18" t="s">
        <v>1001</v>
      </c>
      <c r="E1937" s="18" t="s">
        <v>2072</v>
      </c>
      <c r="F1937" s="18">
        <v>5009</v>
      </c>
      <c r="G1937" s="18">
        <v>830</v>
      </c>
      <c r="H1937" s="18">
        <v>602</v>
      </c>
      <c r="I1937" s="18">
        <v>3577</v>
      </c>
    </row>
    <row r="1938" spans="1:9" x14ac:dyDescent="0.3">
      <c r="A1938" t="s">
        <v>1101</v>
      </c>
      <c r="B1938" s="18" t="s">
        <v>933</v>
      </c>
      <c r="C1938" s="18" t="s">
        <v>94</v>
      </c>
      <c r="D1938" s="18" t="s">
        <v>2071</v>
      </c>
      <c r="E1938" s="18" t="s">
        <v>2072</v>
      </c>
      <c r="F1938" s="18">
        <v>13272</v>
      </c>
      <c r="G1938" s="18">
        <v>3950</v>
      </c>
      <c r="H1938" s="18">
        <v>1169</v>
      </c>
      <c r="I1938" s="18">
        <v>8153</v>
      </c>
    </row>
    <row r="1939" spans="1:9" x14ac:dyDescent="0.3">
      <c r="A1939" t="s">
        <v>1129</v>
      </c>
      <c r="B1939" s="18" t="s">
        <v>933</v>
      </c>
      <c r="C1939" s="18" t="s">
        <v>94</v>
      </c>
      <c r="D1939" s="18" t="s">
        <v>94</v>
      </c>
      <c r="E1939" s="18" t="s">
        <v>2072</v>
      </c>
      <c r="F1939" s="18">
        <v>13204</v>
      </c>
      <c r="G1939" s="18">
        <v>3803</v>
      </c>
      <c r="H1939" s="18">
        <v>1195</v>
      </c>
      <c r="I1939" s="18">
        <v>8206</v>
      </c>
    </row>
    <row r="1940" spans="1:9" x14ac:dyDescent="0.3">
      <c r="A1940" t="s">
        <v>1050</v>
      </c>
      <c r="B1940" s="18" t="s">
        <v>933</v>
      </c>
      <c r="C1940" s="18" t="s">
        <v>933</v>
      </c>
      <c r="D1940" s="18" t="s">
        <v>288</v>
      </c>
      <c r="E1940" s="18" t="s">
        <v>2072</v>
      </c>
      <c r="F1940" s="18">
        <v>1406</v>
      </c>
      <c r="G1940" s="18">
        <v>308</v>
      </c>
      <c r="H1940" s="18">
        <v>94</v>
      </c>
      <c r="I1940" s="18">
        <v>1004</v>
      </c>
    </row>
    <row r="1941" spans="1:9" x14ac:dyDescent="0.3">
      <c r="A1941" t="s">
        <v>1097</v>
      </c>
      <c r="B1941" s="18" t="s">
        <v>933</v>
      </c>
      <c r="C1941" s="18" t="s">
        <v>933</v>
      </c>
      <c r="D1941" s="18" t="s">
        <v>998</v>
      </c>
      <c r="E1941" s="18" t="s">
        <v>2072</v>
      </c>
      <c r="F1941" s="18">
        <v>7268</v>
      </c>
      <c r="G1941" s="18">
        <v>2142</v>
      </c>
      <c r="H1941" s="18">
        <v>550</v>
      </c>
      <c r="I1941" s="18">
        <v>4576</v>
      </c>
    </row>
    <row r="1942" spans="1:9" x14ac:dyDescent="0.3">
      <c r="A1942" t="s">
        <v>1342</v>
      </c>
      <c r="B1942" s="18" t="s">
        <v>933</v>
      </c>
      <c r="C1942" s="18" t="s">
        <v>933</v>
      </c>
      <c r="D1942" s="18" t="s">
        <v>997</v>
      </c>
      <c r="E1942" s="18" t="s">
        <v>2072</v>
      </c>
      <c r="F1942" s="18">
        <v>13649</v>
      </c>
      <c r="G1942" s="18">
        <v>2769</v>
      </c>
      <c r="H1942" s="18">
        <v>471</v>
      </c>
      <c r="I1942" s="18">
        <v>10409</v>
      </c>
    </row>
    <row r="1943" spans="1:9" x14ac:dyDescent="0.3">
      <c r="A1943" t="s">
        <v>1428</v>
      </c>
      <c r="B1943" s="18" t="s">
        <v>933</v>
      </c>
      <c r="C1943" s="18" t="s">
        <v>933</v>
      </c>
      <c r="D1943" s="18" t="s">
        <v>999</v>
      </c>
      <c r="E1943" s="18" t="s">
        <v>2072</v>
      </c>
      <c r="F1943" s="18">
        <v>12864</v>
      </c>
      <c r="G1943" s="18">
        <v>3036</v>
      </c>
      <c r="H1943" s="18">
        <v>849</v>
      </c>
      <c r="I1943" s="18">
        <v>8979</v>
      </c>
    </row>
    <row r="1944" spans="1:9" x14ac:dyDescent="0.3">
      <c r="A1944" t="s">
        <v>1150</v>
      </c>
      <c r="B1944" s="18" t="s">
        <v>933</v>
      </c>
      <c r="C1944" s="18" t="s">
        <v>933</v>
      </c>
      <c r="D1944" s="18" t="s">
        <v>1000</v>
      </c>
      <c r="E1944" s="18" t="s">
        <v>2072</v>
      </c>
      <c r="F1944" s="18">
        <v>2943</v>
      </c>
      <c r="G1944" s="18">
        <v>739</v>
      </c>
      <c r="H1944" s="18">
        <v>311</v>
      </c>
      <c r="I1944" s="18">
        <v>1893</v>
      </c>
    </row>
    <row r="1945" spans="1:9" x14ac:dyDescent="0.3">
      <c r="A1945" t="s">
        <v>1220</v>
      </c>
      <c r="B1945" s="18" t="s">
        <v>933</v>
      </c>
      <c r="C1945" s="18" t="s">
        <v>933</v>
      </c>
      <c r="D1945" s="18" t="s">
        <v>933</v>
      </c>
      <c r="E1945" s="18" t="s">
        <v>2072</v>
      </c>
      <c r="F1945" s="18">
        <v>26822</v>
      </c>
      <c r="G1945" s="18">
        <v>8454</v>
      </c>
      <c r="H1945" s="18">
        <v>2541</v>
      </c>
      <c r="I1945" s="18">
        <v>15827</v>
      </c>
    </row>
    <row r="1946" spans="1:9" x14ac:dyDescent="0.3">
      <c r="A1946" t="s">
        <v>1042</v>
      </c>
      <c r="B1946" s="18" t="s">
        <v>933</v>
      </c>
      <c r="C1946" s="18" t="s">
        <v>933</v>
      </c>
      <c r="D1946" s="18" t="s">
        <v>47</v>
      </c>
      <c r="E1946" s="18" t="s">
        <v>2072</v>
      </c>
      <c r="F1946" s="18">
        <v>1483</v>
      </c>
      <c r="G1946" s="18">
        <v>247</v>
      </c>
      <c r="H1946" s="18">
        <v>36</v>
      </c>
      <c r="I1946" s="18">
        <v>1200</v>
      </c>
    </row>
    <row r="1947" spans="1:9" x14ac:dyDescent="0.3">
      <c r="A1947" t="s">
        <v>1293</v>
      </c>
      <c r="B1947" s="18" t="s">
        <v>983</v>
      </c>
      <c r="C1947" s="18" t="s">
        <v>993</v>
      </c>
      <c r="D1947" s="18" t="s">
        <v>993</v>
      </c>
      <c r="E1947" s="18" t="s">
        <v>2072</v>
      </c>
      <c r="F1947" s="18">
        <v>13782</v>
      </c>
      <c r="G1947" s="18">
        <v>4411</v>
      </c>
      <c r="H1947" s="18">
        <v>1416</v>
      </c>
      <c r="I1947" s="18">
        <v>7955</v>
      </c>
    </row>
    <row r="1948" spans="1:9" x14ac:dyDescent="0.3">
      <c r="A1948" t="s">
        <v>1907</v>
      </c>
      <c r="B1948" s="18" t="s">
        <v>983</v>
      </c>
      <c r="C1948" s="18" t="s">
        <v>993</v>
      </c>
      <c r="D1948" s="18" t="s">
        <v>995</v>
      </c>
      <c r="E1948" s="18" t="s">
        <v>2072</v>
      </c>
      <c r="F1948" s="18">
        <v>1625</v>
      </c>
      <c r="G1948" s="18">
        <v>479</v>
      </c>
      <c r="H1948" s="18">
        <v>107</v>
      </c>
      <c r="I1948" s="18">
        <v>1039</v>
      </c>
    </row>
    <row r="1949" spans="1:9" x14ac:dyDescent="0.3">
      <c r="A1949" t="s">
        <v>1906</v>
      </c>
      <c r="B1949" s="18" t="s">
        <v>983</v>
      </c>
      <c r="C1949" s="18" t="s">
        <v>993</v>
      </c>
      <c r="D1949" s="18" t="s">
        <v>994</v>
      </c>
      <c r="E1949" s="18" t="s">
        <v>2072</v>
      </c>
      <c r="F1949" s="18">
        <v>2489</v>
      </c>
      <c r="G1949" s="18">
        <v>616</v>
      </c>
      <c r="H1949" s="18">
        <v>95</v>
      </c>
      <c r="I1949" s="18">
        <v>1778</v>
      </c>
    </row>
    <row r="1950" spans="1:9" x14ac:dyDescent="0.3">
      <c r="A1950" t="s">
        <v>1908</v>
      </c>
      <c r="B1950" s="18" t="s">
        <v>983</v>
      </c>
      <c r="C1950" s="18" t="s">
        <v>993</v>
      </c>
      <c r="D1950" s="18" t="s">
        <v>996</v>
      </c>
      <c r="E1950" s="18" t="s">
        <v>2072</v>
      </c>
      <c r="F1950" s="18">
        <v>788</v>
      </c>
      <c r="G1950" s="18">
        <v>197</v>
      </c>
      <c r="H1950" s="18">
        <v>56</v>
      </c>
      <c r="I1950" s="18">
        <v>535</v>
      </c>
    </row>
    <row r="1951" spans="1:9" x14ac:dyDescent="0.3">
      <c r="A1951" t="s">
        <v>1900</v>
      </c>
      <c r="B1951" s="18" t="s">
        <v>983</v>
      </c>
      <c r="C1951" s="18" t="s">
        <v>984</v>
      </c>
      <c r="D1951" s="18" t="s">
        <v>986</v>
      </c>
      <c r="E1951" s="18" t="s">
        <v>2072</v>
      </c>
      <c r="F1951" s="18">
        <v>3231</v>
      </c>
      <c r="G1951" s="18">
        <v>1180</v>
      </c>
      <c r="H1951" s="18">
        <v>93</v>
      </c>
      <c r="I1951" s="18">
        <v>1958</v>
      </c>
    </row>
    <row r="1952" spans="1:9" x14ac:dyDescent="0.3">
      <c r="A1952" t="s">
        <v>1904</v>
      </c>
      <c r="B1952" s="18" t="s">
        <v>983</v>
      </c>
      <c r="C1952" s="18" t="s">
        <v>984</v>
      </c>
      <c r="D1952" s="18" t="s">
        <v>991</v>
      </c>
      <c r="E1952" s="18" t="s">
        <v>2072</v>
      </c>
      <c r="F1952" s="18">
        <v>2116</v>
      </c>
      <c r="G1952" s="18">
        <v>605</v>
      </c>
      <c r="H1952" s="18">
        <v>158</v>
      </c>
      <c r="I1952" s="18">
        <v>1353</v>
      </c>
    </row>
    <row r="1953" spans="1:9" x14ac:dyDescent="0.3">
      <c r="A1953" t="s">
        <v>1901</v>
      </c>
      <c r="B1953" s="18" t="s">
        <v>983</v>
      </c>
      <c r="C1953" s="18" t="s">
        <v>984</v>
      </c>
      <c r="D1953" s="18" t="s">
        <v>988</v>
      </c>
      <c r="E1953" s="18" t="s">
        <v>2072</v>
      </c>
      <c r="F1953" s="18">
        <v>4142</v>
      </c>
      <c r="G1953" s="18">
        <v>1135</v>
      </c>
      <c r="H1953" s="18">
        <v>270</v>
      </c>
      <c r="I1953" s="18">
        <v>2737</v>
      </c>
    </row>
    <row r="1954" spans="1:9" x14ac:dyDescent="0.3">
      <c r="A1954" t="s">
        <v>1359</v>
      </c>
      <c r="B1954" s="18" t="s">
        <v>983</v>
      </c>
      <c r="C1954" s="18" t="s">
        <v>984</v>
      </c>
      <c r="D1954" s="18" t="s">
        <v>987</v>
      </c>
      <c r="E1954" s="18" t="s">
        <v>2072</v>
      </c>
      <c r="F1954" s="18">
        <v>4164</v>
      </c>
      <c r="G1954" s="18">
        <v>1043</v>
      </c>
      <c r="H1954" s="18">
        <v>207</v>
      </c>
      <c r="I1954" s="18">
        <v>2914</v>
      </c>
    </row>
    <row r="1955" spans="1:9" x14ac:dyDescent="0.3">
      <c r="A1955" t="s">
        <v>1902</v>
      </c>
      <c r="B1955" s="18" t="s">
        <v>983</v>
      </c>
      <c r="C1955" s="18" t="s">
        <v>984</v>
      </c>
      <c r="D1955" s="18" t="s">
        <v>989</v>
      </c>
      <c r="E1955" s="18" t="s">
        <v>2072</v>
      </c>
      <c r="F1955" s="18">
        <v>4941</v>
      </c>
      <c r="G1955" s="18">
        <v>1196</v>
      </c>
      <c r="H1955" s="18">
        <v>208</v>
      </c>
      <c r="I1955" s="18">
        <v>3537</v>
      </c>
    </row>
    <row r="1956" spans="1:9" x14ac:dyDescent="0.3">
      <c r="A1956" t="s">
        <v>1905</v>
      </c>
      <c r="B1956" s="18" t="s">
        <v>983</v>
      </c>
      <c r="C1956" s="18" t="s">
        <v>984</v>
      </c>
      <c r="D1956" s="18" t="s">
        <v>992</v>
      </c>
      <c r="E1956" s="18" t="s">
        <v>2072</v>
      </c>
      <c r="F1956" s="18">
        <v>2444</v>
      </c>
      <c r="G1956" s="18">
        <v>547</v>
      </c>
      <c r="H1956" s="18">
        <v>92</v>
      </c>
      <c r="I1956" s="18">
        <v>1805</v>
      </c>
    </row>
    <row r="1957" spans="1:9" x14ac:dyDescent="0.3">
      <c r="A1957" t="s">
        <v>1473</v>
      </c>
      <c r="B1957" s="18" t="s">
        <v>983</v>
      </c>
      <c r="C1957" s="18" t="s">
        <v>984</v>
      </c>
      <c r="D1957" s="18" t="s">
        <v>985</v>
      </c>
      <c r="E1957" s="18" t="s">
        <v>2072</v>
      </c>
      <c r="F1957" s="18">
        <v>143428</v>
      </c>
      <c r="G1957" s="18">
        <v>56788</v>
      </c>
      <c r="H1957" s="18">
        <v>11837</v>
      </c>
      <c r="I1957" s="18">
        <v>74803</v>
      </c>
    </row>
    <row r="1958" spans="1:9" x14ac:dyDescent="0.3">
      <c r="A1958" t="s">
        <v>1903</v>
      </c>
      <c r="B1958" s="18" t="s">
        <v>983</v>
      </c>
      <c r="C1958" s="18" t="s">
        <v>984</v>
      </c>
      <c r="D1958" s="18" t="s">
        <v>990</v>
      </c>
      <c r="E1958" s="18" t="s">
        <v>2072</v>
      </c>
      <c r="F1958" s="18">
        <v>3562</v>
      </c>
      <c r="G1958" s="18">
        <v>1111</v>
      </c>
      <c r="H1958" s="18">
        <v>176</v>
      </c>
      <c r="I1958" s="18">
        <v>2275</v>
      </c>
    </row>
    <row r="1959" spans="1:9" x14ac:dyDescent="0.3">
      <c r="A1959" t="s">
        <v>1877</v>
      </c>
      <c r="B1959" s="18" t="s">
        <v>915</v>
      </c>
      <c r="C1959" s="18" t="s">
        <v>945</v>
      </c>
      <c r="D1959" s="18" t="s">
        <v>946</v>
      </c>
      <c r="E1959" s="18" t="s">
        <v>2072</v>
      </c>
      <c r="F1959" s="18">
        <v>1375</v>
      </c>
      <c r="G1959" s="18">
        <v>498</v>
      </c>
      <c r="H1959" s="18">
        <v>93</v>
      </c>
      <c r="I1959" s="18">
        <v>784</v>
      </c>
    </row>
    <row r="1960" spans="1:9" x14ac:dyDescent="0.3">
      <c r="A1960" t="s">
        <v>1879</v>
      </c>
      <c r="B1960" s="18" t="s">
        <v>915</v>
      </c>
      <c r="C1960" s="18" t="s">
        <v>945</v>
      </c>
      <c r="D1960" s="18" t="s">
        <v>948</v>
      </c>
      <c r="E1960" s="18" t="s">
        <v>2072</v>
      </c>
      <c r="F1960" s="18">
        <v>1181</v>
      </c>
      <c r="G1960" s="18">
        <v>246</v>
      </c>
      <c r="H1960" s="18">
        <v>33</v>
      </c>
      <c r="I1960" s="18">
        <v>902</v>
      </c>
    </row>
    <row r="1961" spans="1:9" x14ac:dyDescent="0.3">
      <c r="A1961" t="s">
        <v>2048</v>
      </c>
      <c r="B1961" s="18" t="s">
        <v>915</v>
      </c>
      <c r="C1961" s="18" t="s">
        <v>945</v>
      </c>
      <c r="D1961" s="18" t="s">
        <v>947</v>
      </c>
      <c r="E1961" s="18" t="s">
        <v>2072</v>
      </c>
      <c r="F1961" s="18">
        <v>204</v>
      </c>
      <c r="G1961" s="18">
        <v>71</v>
      </c>
      <c r="H1961" s="18">
        <v>10</v>
      </c>
      <c r="I1961" s="18">
        <v>123</v>
      </c>
    </row>
    <row r="1962" spans="1:9" x14ac:dyDescent="0.3">
      <c r="A1962" t="s">
        <v>1878</v>
      </c>
      <c r="B1962" s="18" t="s">
        <v>915</v>
      </c>
      <c r="C1962" s="18" t="s">
        <v>945</v>
      </c>
      <c r="D1962" s="18" t="s">
        <v>244</v>
      </c>
      <c r="E1962" s="18" t="s">
        <v>2072</v>
      </c>
      <c r="F1962" s="18">
        <v>1127</v>
      </c>
      <c r="G1962" s="18">
        <v>337</v>
      </c>
      <c r="H1962" s="18">
        <v>66</v>
      </c>
      <c r="I1962" s="18">
        <v>724</v>
      </c>
    </row>
    <row r="1963" spans="1:9" x14ac:dyDescent="0.3">
      <c r="A1963" t="s">
        <v>1288</v>
      </c>
      <c r="B1963" s="18" t="s">
        <v>915</v>
      </c>
      <c r="C1963" s="18" t="s">
        <v>949</v>
      </c>
      <c r="D1963" s="18" t="s">
        <v>951</v>
      </c>
      <c r="E1963" s="18" t="s">
        <v>2072</v>
      </c>
      <c r="F1963" s="18">
        <v>581</v>
      </c>
      <c r="G1963" s="18">
        <v>162</v>
      </c>
      <c r="H1963" s="18">
        <v>42</v>
      </c>
      <c r="I1963" s="18">
        <v>377</v>
      </c>
    </row>
    <row r="1964" spans="1:9" x14ac:dyDescent="0.3">
      <c r="A1964" t="s">
        <v>1880</v>
      </c>
      <c r="B1964" s="18" t="s">
        <v>915</v>
      </c>
      <c r="C1964" s="18" t="s">
        <v>949</v>
      </c>
      <c r="D1964" s="18" t="s">
        <v>949</v>
      </c>
      <c r="E1964" s="18" t="s">
        <v>2072</v>
      </c>
      <c r="F1964" s="18">
        <v>125</v>
      </c>
      <c r="G1964" s="18">
        <v>27</v>
      </c>
      <c r="H1964" s="18">
        <v>4</v>
      </c>
      <c r="I1964" s="18">
        <v>94</v>
      </c>
    </row>
    <row r="1965" spans="1:9" x14ac:dyDescent="0.3">
      <c r="A1965" t="s">
        <v>1368</v>
      </c>
      <c r="B1965" s="18" t="s">
        <v>915</v>
      </c>
      <c r="C1965" s="18" t="s">
        <v>949</v>
      </c>
      <c r="D1965" s="18" t="s">
        <v>950</v>
      </c>
      <c r="E1965" s="18" t="s">
        <v>2072</v>
      </c>
      <c r="F1965" s="18">
        <v>2151</v>
      </c>
      <c r="G1965" s="18">
        <v>667</v>
      </c>
      <c r="H1965" s="18">
        <v>124</v>
      </c>
      <c r="I1965" s="18">
        <v>1360</v>
      </c>
    </row>
    <row r="1966" spans="1:9" x14ac:dyDescent="0.3">
      <c r="A1966" t="s">
        <v>1407</v>
      </c>
      <c r="B1966" s="18" t="s">
        <v>915</v>
      </c>
      <c r="C1966" s="18" t="s">
        <v>924</v>
      </c>
      <c r="D1966" s="18" t="s">
        <v>926</v>
      </c>
      <c r="E1966" s="18" t="s">
        <v>2072</v>
      </c>
      <c r="F1966" s="18">
        <v>407</v>
      </c>
      <c r="G1966" s="18">
        <v>140</v>
      </c>
      <c r="H1966" s="18">
        <v>8</v>
      </c>
      <c r="I1966" s="18">
        <v>259</v>
      </c>
    </row>
    <row r="1967" spans="1:9" x14ac:dyDescent="0.3">
      <c r="A1967" t="s">
        <v>1475</v>
      </c>
      <c r="B1967" s="18" t="s">
        <v>915</v>
      </c>
      <c r="C1967" s="18" t="s">
        <v>924</v>
      </c>
      <c r="D1967" s="18" t="s">
        <v>924</v>
      </c>
      <c r="E1967" s="18" t="s">
        <v>2072</v>
      </c>
      <c r="F1967" s="18">
        <v>1098</v>
      </c>
      <c r="G1967" s="18">
        <v>356</v>
      </c>
      <c r="H1967" s="18">
        <v>118</v>
      </c>
      <c r="I1967" s="18">
        <v>624</v>
      </c>
    </row>
    <row r="1968" spans="1:9" x14ac:dyDescent="0.3">
      <c r="A1968" t="s">
        <v>1415</v>
      </c>
      <c r="B1968" s="18" t="s">
        <v>915</v>
      </c>
      <c r="C1968" s="18" t="s">
        <v>924</v>
      </c>
      <c r="D1968" s="18" t="s">
        <v>925</v>
      </c>
      <c r="E1968" s="18" t="s">
        <v>2072</v>
      </c>
      <c r="F1968" s="18">
        <v>1484</v>
      </c>
      <c r="G1968" s="18">
        <v>581</v>
      </c>
      <c r="H1968" s="18">
        <v>113</v>
      </c>
      <c r="I1968" s="18">
        <v>790</v>
      </c>
    </row>
    <row r="1969" spans="1:9" x14ac:dyDescent="0.3">
      <c r="A1969" t="s">
        <v>1870</v>
      </c>
      <c r="B1969" s="18" t="s">
        <v>915</v>
      </c>
      <c r="C1969" s="18" t="s">
        <v>924</v>
      </c>
      <c r="D1969" s="18" t="s">
        <v>927</v>
      </c>
      <c r="E1969" s="18" t="s">
        <v>2072</v>
      </c>
      <c r="F1969" s="18">
        <v>536</v>
      </c>
      <c r="G1969" s="18">
        <v>114</v>
      </c>
      <c r="H1969" s="18">
        <v>21</v>
      </c>
      <c r="I1969" s="18">
        <v>401</v>
      </c>
    </row>
    <row r="1970" spans="1:9" x14ac:dyDescent="0.3">
      <c r="A1970" t="s">
        <v>2043</v>
      </c>
      <c r="B1970" s="18" t="s">
        <v>915</v>
      </c>
      <c r="C1970" s="18" t="s">
        <v>916</v>
      </c>
      <c r="D1970" s="18" t="s">
        <v>923</v>
      </c>
      <c r="E1970" s="18" t="s">
        <v>2072</v>
      </c>
      <c r="F1970" s="18">
        <v>667</v>
      </c>
      <c r="G1970" s="18">
        <v>185</v>
      </c>
      <c r="H1970" s="18">
        <v>36</v>
      </c>
      <c r="I1970" s="18">
        <v>446</v>
      </c>
    </row>
    <row r="1971" spans="1:9" x14ac:dyDescent="0.3">
      <c r="A1971" t="s">
        <v>1866</v>
      </c>
      <c r="B1971" s="18" t="s">
        <v>915</v>
      </c>
      <c r="C1971" s="18" t="s">
        <v>916</v>
      </c>
      <c r="D1971" s="18" t="s">
        <v>918</v>
      </c>
      <c r="E1971" s="18" t="s">
        <v>2072</v>
      </c>
      <c r="F1971" s="18">
        <v>1078</v>
      </c>
      <c r="G1971" s="18">
        <v>339</v>
      </c>
      <c r="H1971" s="18">
        <v>81</v>
      </c>
      <c r="I1971" s="18">
        <v>658</v>
      </c>
    </row>
    <row r="1972" spans="1:9" x14ac:dyDescent="0.3">
      <c r="A1972" t="s">
        <v>1867</v>
      </c>
      <c r="B1972" s="18" t="s">
        <v>915</v>
      </c>
      <c r="C1972" s="18" t="s">
        <v>916</v>
      </c>
      <c r="D1972" s="18" t="s">
        <v>920</v>
      </c>
      <c r="E1972" s="18" t="s">
        <v>2072</v>
      </c>
      <c r="F1972" s="18">
        <v>2261</v>
      </c>
      <c r="G1972" s="18">
        <v>513</v>
      </c>
      <c r="H1972" s="18">
        <v>150</v>
      </c>
      <c r="I1972" s="18">
        <v>1598</v>
      </c>
    </row>
    <row r="1973" spans="1:9" x14ac:dyDescent="0.3">
      <c r="A1973" t="s">
        <v>1068</v>
      </c>
      <c r="B1973" s="18" t="s">
        <v>915</v>
      </c>
      <c r="C1973" s="18" t="s">
        <v>916</v>
      </c>
      <c r="D1973" s="18" t="s">
        <v>919</v>
      </c>
      <c r="E1973" s="18" t="s">
        <v>2072</v>
      </c>
      <c r="F1973" s="18">
        <v>2308</v>
      </c>
      <c r="G1973" s="18">
        <v>713</v>
      </c>
      <c r="H1973" s="18">
        <v>225</v>
      </c>
      <c r="I1973" s="18">
        <v>1370</v>
      </c>
    </row>
    <row r="1974" spans="1:9" x14ac:dyDescent="0.3">
      <c r="A1974" t="s">
        <v>1869</v>
      </c>
      <c r="B1974" s="18" t="s">
        <v>915</v>
      </c>
      <c r="C1974" s="18" t="s">
        <v>916</v>
      </c>
      <c r="D1974" s="18" t="s">
        <v>325</v>
      </c>
      <c r="E1974" s="18" t="s">
        <v>2072</v>
      </c>
      <c r="F1974" s="18">
        <v>1120</v>
      </c>
      <c r="G1974" s="18">
        <v>255</v>
      </c>
      <c r="H1974" s="18">
        <v>60</v>
      </c>
      <c r="I1974" s="18">
        <v>805</v>
      </c>
    </row>
    <row r="1975" spans="1:9" x14ac:dyDescent="0.3">
      <c r="A1975" t="s">
        <v>1195</v>
      </c>
      <c r="B1975" s="18" t="s">
        <v>915</v>
      </c>
      <c r="C1975" s="18" t="s">
        <v>916</v>
      </c>
      <c r="D1975" s="18" t="s">
        <v>917</v>
      </c>
      <c r="E1975" s="18" t="s">
        <v>2072</v>
      </c>
      <c r="F1975" s="18">
        <v>24464</v>
      </c>
      <c r="G1975" s="18">
        <v>11099</v>
      </c>
      <c r="H1975" s="18">
        <v>2315</v>
      </c>
      <c r="I1975" s="18">
        <v>11050</v>
      </c>
    </row>
    <row r="1976" spans="1:9" x14ac:dyDescent="0.3">
      <c r="A1976" t="s">
        <v>1868</v>
      </c>
      <c r="B1976" s="18" t="s">
        <v>915</v>
      </c>
      <c r="C1976" s="18" t="s">
        <v>916</v>
      </c>
      <c r="D1976" s="18" t="s">
        <v>921</v>
      </c>
      <c r="E1976" s="18" t="s">
        <v>2072</v>
      </c>
      <c r="F1976" s="18">
        <v>2883</v>
      </c>
      <c r="G1976" s="18">
        <v>805</v>
      </c>
      <c r="H1976" s="18">
        <v>271</v>
      </c>
      <c r="I1976" s="18">
        <v>1807</v>
      </c>
    </row>
    <row r="1977" spans="1:9" x14ac:dyDescent="0.3">
      <c r="A1977" t="s">
        <v>1196</v>
      </c>
      <c r="B1977" s="18" t="s">
        <v>915</v>
      </c>
      <c r="C1977" s="18" t="s">
        <v>916</v>
      </c>
      <c r="D1977" s="18" t="s">
        <v>922</v>
      </c>
      <c r="E1977" s="18" t="s">
        <v>2072</v>
      </c>
      <c r="F1977" s="18">
        <v>2928</v>
      </c>
      <c r="G1977" s="18">
        <v>807</v>
      </c>
      <c r="H1977" s="18">
        <v>218</v>
      </c>
      <c r="I1977" s="18">
        <v>1903</v>
      </c>
    </row>
    <row r="1978" spans="1:9" x14ac:dyDescent="0.3">
      <c r="A1978" t="s">
        <v>1871</v>
      </c>
      <c r="B1978" s="18" t="s">
        <v>915</v>
      </c>
      <c r="C1978" s="18" t="s">
        <v>928</v>
      </c>
      <c r="D1978" s="18" t="s">
        <v>930</v>
      </c>
      <c r="E1978" s="18" t="s">
        <v>2072</v>
      </c>
      <c r="F1978" s="18">
        <v>339</v>
      </c>
      <c r="G1978" s="18">
        <v>57</v>
      </c>
      <c r="H1978" s="18">
        <v>26</v>
      </c>
      <c r="I1978" s="18">
        <v>256</v>
      </c>
    </row>
    <row r="1979" spans="1:9" x14ac:dyDescent="0.3">
      <c r="A1979" t="s">
        <v>1872</v>
      </c>
      <c r="B1979" s="18" t="s">
        <v>915</v>
      </c>
      <c r="C1979" s="18" t="s">
        <v>928</v>
      </c>
      <c r="D1979" s="18" t="s">
        <v>931</v>
      </c>
      <c r="E1979" s="18" t="s">
        <v>2072</v>
      </c>
      <c r="F1979" s="18">
        <v>21</v>
      </c>
      <c r="G1979" s="18"/>
      <c r="H1979" s="18">
        <v>1</v>
      </c>
      <c r="I1979" s="18">
        <v>20</v>
      </c>
    </row>
    <row r="1980" spans="1:9" x14ac:dyDescent="0.3">
      <c r="A1980" t="s">
        <v>1182</v>
      </c>
      <c r="B1980" s="18" t="s">
        <v>915</v>
      </c>
      <c r="C1980" s="18" t="s">
        <v>928</v>
      </c>
      <c r="D1980" s="18" t="s">
        <v>929</v>
      </c>
      <c r="E1980" s="18" t="s">
        <v>2072</v>
      </c>
      <c r="F1980" s="18">
        <v>1062</v>
      </c>
      <c r="G1980" s="18">
        <v>371</v>
      </c>
      <c r="H1980" s="18">
        <v>85</v>
      </c>
      <c r="I1980" s="18">
        <v>606</v>
      </c>
    </row>
    <row r="1981" spans="1:9" x14ac:dyDescent="0.3">
      <c r="A1981" t="s">
        <v>2044</v>
      </c>
      <c r="B1981" s="18" t="s">
        <v>915</v>
      </c>
      <c r="C1981" s="18" t="s">
        <v>928</v>
      </c>
      <c r="D1981" s="18" t="s">
        <v>932</v>
      </c>
      <c r="E1981" s="18" t="s">
        <v>2072</v>
      </c>
      <c r="F1981" s="18">
        <v>86</v>
      </c>
      <c r="G1981" s="18">
        <v>18</v>
      </c>
      <c r="H1981" s="18">
        <v>7</v>
      </c>
      <c r="I1981" s="18">
        <v>61</v>
      </c>
    </row>
    <row r="1982" spans="1:9" x14ac:dyDescent="0.3">
      <c r="A1982" t="s">
        <v>1126</v>
      </c>
      <c r="B1982" s="18" t="s">
        <v>915</v>
      </c>
      <c r="C1982" s="18" t="s">
        <v>928</v>
      </c>
      <c r="D1982" s="18" t="s">
        <v>934</v>
      </c>
      <c r="E1982" s="18" t="s">
        <v>2072</v>
      </c>
      <c r="F1982" s="18">
        <v>877</v>
      </c>
      <c r="G1982" s="18">
        <v>233</v>
      </c>
      <c r="H1982" s="18">
        <v>104</v>
      </c>
      <c r="I1982" s="18">
        <v>540</v>
      </c>
    </row>
    <row r="1983" spans="1:9" x14ac:dyDescent="0.3">
      <c r="A1983" t="s">
        <v>1873</v>
      </c>
      <c r="B1983" s="18" t="s">
        <v>915</v>
      </c>
      <c r="C1983" s="18" t="s">
        <v>928</v>
      </c>
      <c r="D1983" s="18" t="s">
        <v>933</v>
      </c>
      <c r="E1983" s="18" t="s">
        <v>2072</v>
      </c>
      <c r="F1983" s="18">
        <v>581</v>
      </c>
      <c r="G1983" s="18">
        <v>143</v>
      </c>
      <c r="H1983" s="18">
        <v>42</v>
      </c>
      <c r="I1983" s="18">
        <v>396</v>
      </c>
    </row>
    <row r="1984" spans="1:9" x14ac:dyDescent="0.3">
      <c r="A1984" t="s">
        <v>1874</v>
      </c>
      <c r="B1984" s="18" t="s">
        <v>915</v>
      </c>
      <c r="C1984" s="18" t="s">
        <v>935</v>
      </c>
      <c r="D1984" s="18" t="s">
        <v>936</v>
      </c>
      <c r="E1984" s="18" t="s">
        <v>2072</v>
      </c>
      <c r="F1984" s="18">
        <v>2057</v>
      </c>
      <c r="G1984" s="18">
        <v>279</v>
      </c>
      <c r="H1984" s="18">
        <v>155</v>
      </c>
      <c r="I1984" s="18">
        <v>1623</v>
      </c>
    </row>
    <row r="1985" spans="1:9" x14ac:dyDescent="0.3">
      <c r="A1985" t="s">
        <v>1875</v>
      </c>
      <c r="B1985" s="18" t="s">
        <v>915</v>
      </c>
      <c r="C1985" s="18" t="s">
        <v>935</v>
      </c>
      <c r="D1985" s="18" t="s">
        <v>937</v>
      </c>
      <c r="E1985" s="18" t="s">
        <v>2072</v>
      </c>
      <c r="F1985" s="18">
        <v>218</v>
      </c>
      <c r="G1985" s="18">
        <v>34</v>
      </c>
      <c r="H1985" s="18">
        <v>15</v>
      </c>
      <c r="I1985" s="18">
        <v>169</v>
      </c>
    </row>
    <row r="1986" spans="1:9" x14ac:dyDescent="0.3">
      <c r="A1986" t="s">
        <v>1049</v>
      </c>
      <c r="B1986" s="18" t="s">
        <v>915</v>
      </c>
      <c r="C1986" s="18" t="s">
        <v>935</v>
      </c>
      <c r="D1986" s="18" t="s">
        <v>938</v>
      </c>
      <c r="E1986" s="18" t="s">
        <v>2072</v>
      </c>
      <c r="F1986" s="18">
        <v>1303</v>
      </c>
      <c r="G1986" s="18">
        <v>438</v>
      </c>
      <c r="H1986" s="18">
        <v>169</v>
      </c>
      <c r="I1986" s="18">
        <v>696</v>
      </c>
    </row>
    <row r="1987" spans="1:9" x14ac:dyDescent="0.3">
      <c r="A1987" t="s">
        <v>1876</v>
      </c>
      <c r="B1987" s="18" t="s">
        <v>915</v>
      </c>
      <c r="C1987" s="18" t="s">
        <v>935</v>
      </c>
      <c r="D1987" s="18" t="s">
        <v>317</v>
      </c>
      <c r="E1987" s="18" t="s">
        <v>2072</v>
      </c>
      <c r="F1987" s="18">
        <v>1449</v>
      </c>
      <c r="G1987" s="18">
        <v>248</v>
      </c>
      <c r="H1987" s="18">
        <v>114</v>
      </c>
      <c r="I1987" s="18">
        <v>1087</v>
      </c>
    </row>
    <row r="1988" spans="1:9" x14ac:dyDescent="0.3">
      <c r="A1988" t="s">
        <v>1243</v>
      </c>
      <c r="B1988" s="18" t="s">
        <v>915</v>
      </c>
      <c r="C1988" s="18" t="s">
        <v>935</v>
      </c>
      <c r="D1988" s="18" t="s">
        <v>935</v>
      </c>
      <c r="E1988" s="18" t="s">
        <v>2072</v>
      </c>
      <c r="F1988" s="18">
        <v>10839</v>
      </c>
      <c r="G1988" s="18">
        <v>3422</v>
      </c>
      <c r="H1988" s="18">
        <v>1398</v>
      </c>
      <c r="I1988" s="18">
        <v>6019</v>
      </c>
    </row>
    <row r="1989" spans="1:9" x14ac:dyDescent="0.3">
      <c r="A1989" t="s">
        <v>2045</v>
      </c>
      <c r="B1989" s="18" t="s">
        <v>915</v>
      </c>
      <c r="C1989" s="18" t="s">
        <v>935</v>
      </c>
      <c r="D1989" s="18" t="s">
        <v>939</v>
      </c>
      <c r="E1989" s="18" t="s">
        <v>2072</v>
      </c>
      <c r="F1989" s="18">
        <v>1543</v>
      </c>
      <c r="G1989" s="18">
        <v>371</v>
      </c>
      <c r="H1989" s="18">
        <v>206</v>
      </c>
      <c r="I1989" s="18">
        <v>966</v>
      </c>
    </row>
    <row r="1990" spans="1:9" x14ac:dyDescent="0.3">
      <c r="A1990" t="s">
        <v>1041</v>
      </c>
      <c r="B1990" s="18" t="s">
        <v>915</v>
      </c>
      <c r="C1990" s="18" t="s">
        <v>915</v>
      </c>
      <c r="D1990" s="18" t="s">
        <v>941</v>
      </c>
      <c r="E1990" s="18" t="s">
        <v>2072</v>
      </c>
      <c r="F1990" s="18">
        <v>496</v>
      </c>
      <c r="G1990" s="18">
        <v>158</v>
      </c>
      <c r="H1990" s="18">
        <v>33</v>
      </c>
      <c r="I1990" s="18">
        <v>305</v>
      </c>
    </row>
    <row r="1991" spans="1:9" x14ac:dyDescent="0.3">
      <c r="A1991" t="s">
        <v>1040</v>
      </c>
      <c r="B1991" s="18" t="s">
        <v>915</v>
      </c>
      <c r="C1991" s="18" t="s">
        <v>915</v>
      </c>
      <c r="D1991" s="18" t="s">
        <v>940</v>
      </c>
      <c r="E1991" s="18" t="s">
        <v>2072</v>
      </c>
      <c r="F1991" s="18">
        <v>353</v>
      </c>
      <c r="G1991" s="18">
        <v>145</v>
      </c>
      <c r="H1991" s="18">
        <v>25</v>
      </c>
      <c r="I1991" s="18">
        <v>183</v>
      </c>
    </row>
    <row r="1992" spans="1:9" x14ac:dyDescent="0.3">
      <c r="A1992" t="s">
        <v>2046</v>
      </c>
      <c r="B1992" s="18" t="s">
        <v>915</v>
      </c>
      <c r="C1992" s="18" t="s">
        <v>915</v>
      </c>
      <c r="D1992" s="18" t="s">
        <v>942</v>
      </c>
      <c r="E1992" s="18" t="s">
        <v>2072</v>
      </c>
      <c r="F1992" s="18">
        <v>38</v>
      </c>
      <c r="G1992" s="18">
        <v>6</v>
      </c>
      <c r="H1992" s="18">
        <v>2</v>
      </c>
      <c r="I1992" s="18">
        <v>30</v>
      </c>
    </row>
    <row r="1993" spans="1:9" x14ac:dyDescent="0.3">
      <c r="A1993" t="s">
        <v>2047</v>
      </c>
      <c r="B1993" s="18" t="s">
        <v>915</v>
      </c>
      <c r="C1993" s="18" t="s">
        <v>915</v>
      </c>
      <c r="D1993" s="18" t="s">
        <v>943</v>
      </c>
      <c r="E1993" s="18" t="s">
        <v>2072</v>
      </c>
      <c r="F1993" s="18">
        <v>93</v>
      </c>
      <c r="G1993" s="18">
        <v>29</v>
      </c>
      <c r="H1993" s="18">
        <v>2</v>
      </c>
      <c r="I1993" s="18">
        <v>62</v>
      </c>
    </row>
    <row r="1994" spans="1:9" x14ac:dyDescent="0.3">
      <c r="A1994" t="s">
        <v>1163</v>
      </c>
      <c r="B1994" s="18" t="s">
        <v>915</v>
      </c>
      <c r="C1994" s="18" t="s">
        <v>915</v>
      </c>
      <c r="D1994" s="18" t="s">
        <v>944</v>
      </c>
      <c r="E1994" s="18" t="s">
        <v>2072</v>
      </c>
      <c r="F1994" s="18">
        <v>214</v>
      </c>
      <c r="G1994" s="18">
        <v>63</v>
      </c>
      <c r="H1994" s="18">
        <v>7</v>
      </c>
      <c r="I1994" s="18">
        <v>144</v>
      </c>
    </row>
    <row r="1995" spans="1:9" x14ac:dyDescent="0.3">
      <c r="A1995" t="s">
        <v>1227</v>
      </c>
      <c r="B1995" s="18" t="s">
        <v>823</v>
      </c>
      <c r="C1995" s="18" t="s">
        <v>824</v>
      </c>
      <c r="D1995" s="18" t="s">
        <v>825</v>
      </c>
      <c r="E1995" s="18" t="s">
        <v>2072</v>
      </c>
      <c r="F1995" s="18">
        <v>2064</v>
      </c>
      <c r="G1995" s="18">
        <v>1018</v>
      </c>
      <c r="H1995" s="18">
        <v>118</v>
      </c>
      <c r="I1995" s="18">
        <v>928</v>
      </c>
    </row>
    <row r="1996" spans="1:9" x14ac:dyDescent="0.3">
      <c r="A1996" t="s">
        <v>1369</v>
      </c>
      <c r="B1996" s="18" t="s">
        <v>823</v>
      </c>
      <c r="C1996" s="18" t="s">
        <v>824</v>
      </c>
      <c r="D1996" s="18" t="s">
        <v>824</v>
      </c>
      <c r="E1996" s="18" t="s">
        <v>2072</v>
      </c>
      <c r="F1996" s="18">
        <v>78380</v>
      </c>
      <c r="G1996" s="18">
        <v>43924</v>
      </c>
      <c r="H1996" s="18">
        <v>4899</v>
      </c>
      <c r="I1996" s="18">
        <v>29557</v>
      </c>
    </row>
    <row r="1997" spans="1:9" x14ac:dyDescent="0.3">
      <c r="A1997" t="s">
        <v>1252</v>
      </c>
      <c r="B1997" s="18" t="s">
        <v>823</v>
      </c>
      <c r="C1997" s="18" t="s">
        <v>824</v>
      </c>
      <c r="D1997" s="18" t="s">
        <v>288</v>
      </c>
      <c r="E1997" s="18" t="s">
        <v>2072</v>
      </c>
      <c r="F1997" s="18">
        <v>5732</v>
      </c>
      <c r="G1997" s="18">
        <v>3472</v>
      </c>
      <c r="H1997" s="18">
        <v>319</v>
      </c>
      <c r="I1997" s="18">
        <v>1941</v>
      </c>
    </row>
    <row r="1998" spans="1:9" x14ac:dyDescent="0.3">
      <c r="A1998" t="s">
        <v>1276</v>
      </c>
      <c r="B1998" s="18" t="s">
        <v>823</v>
      </c>
      <c r="C1998" s="18" t="s">
        <v>824</v>
      </c>
      <c r="D1998" s="18" t="s">
        <v>826</v>
      </c>
      <c r="E1998" s="18" t="s">
        <v>2072</v>
      </c>
      <c r="F1998" s="18">
        <v>3454</v>
      </c>
      <c r="G1998" s="18">
        <v>1781</v>
      </c>
      <c r="H1998" s="18">
        <v>168</v>
      </c>
      <c r="I1998" s="18">
        <v>1505</v>
      </c>
    </row>
    <row r="1999" spans="1:9" x14ac:dyDescent="0.3">
      <c r="A1999" t="s">
        <v>1228</v>
      </c>
      <c r="B1999" s="18" t="s">
        <v>823</v>
      </c>
      <c r="C1999" s="18" t="s">
        <v>824</v>
      </c>
      <c r="D1999" s="18" t="s">
        <v>827</v>
      </c>
      <c r="E1999" s="18" t="s">
        <v>2072</v>
      </c>
      <c r="F1999" s="18">
        <v>1632</v>
      </c>
      <c r="G1999" s="18">
        <v>763</v>
      </c>
      <c r="H1999" s="18">
        <v>124</v>
      </c>
      <c r="I1999" s="18">
        <v>745</v>
      </c>
    </row>
    <row r="2000" spans="1:9" x14ac:dyDescent="0.3">
      <c r="A2000" t="s">
        <v>1331</v>
      </c>
      <c r="B2000" s="18" t="s">
        <v>823</v>
      </c>
      <c r="C2000" s="18" t="s">
        <v>824</v>
      </c>
      <c r="D2000" s="18" t="s">
        <v>837</v>
      </c>
      <c r="E2000" s="18" t="s">
        <v>2072</v>
      </c>
      <c r="F2000" s="18">
        <v>2214</v>
      </c>
      <c r="G2000" s="18">
        <v>1162</v>
      </c>
      <c r="H2000" s="18">
        <v>109</v>
      </c>
      <c r="I2000" s="18">
        <v>943</v>
      </c>
    </row>
    <row r="2001" spans="1:9" x14ac:dyDescent="0.3">
      <c r="A2001" t="s">
        <v>1235</v>
      </c>
      <c r="B2001" s="18" t="s">
        <v>823</v>
      </c>
      <c r="C2001" s="18" t="s">
        <v>824</v>
      </c>
      <c r="D2001" s="18" t="s">
        <v>828</v>
      </c>
      <c r="E2001" s="18" t="s">
        <v>2072</v>
      </c>
      <c r="F2001" s="18">
        <v>6090</v>
      </c>
      <c r="G2001" s="18">
        <v>3145</v>
      </c>
      <c r="H2001" s="18">
        <v>341</v>
      </c>
      <c r="I2001" s="18">
        <v>2604</v>
      </c>
    </row>
    <row r="2002" spans="1:9" x14ac:dyDescent="0.3">
      <c r="A2002" t="s">
        <v>1261</v>
      </c>
      <c r="B2002" s="18" t="s">
        <v>823</v>
      </c>
      <c r="C2002" s="18" t="s">
        <v>824</v>
      </c>
      <c r="D2002" s="18" t="s">
        <v>829</v>
      </c>
      <c r="E2002" s="18" t="s">
        <v>2072</v>
      </c>
      <c r="F2002" s="18">
        <v>8536</v>
      </c>
      <c r="G2002" s="18">
        <v>5440</v>
      </c>
      <c r="H2002" s="18">
        <v>367</v>
      </c>
      <c r="I2002" s="18">
        <v>2729</v>
      </c>
    </row>
    <row r="2003" spans="1:9" x14ac:dyDescent="0.3">
      <c r="A2003" t="s">
        <v>1353</v>
      </c>
      <c r="B2003" s="18" t="s">
        <v>823</v>
      </c>
      <c r="C2003" s="18" t="s">
        <v>824</v>
      </c>
      <c r="D2003" s="18" t="s">
        <v>830</v>
      </c>
      <c r="E2003" s="18" t="s">
        <v>2072</v>
      </c>
      <c r="F2003" s="18">
        <v>3074</v>
      </c>
      <c r="G2003" s="18">
        <v>1661</v>
      </c>
      <c r="H2003" s="18">
        <v>103</v>
      </c>
      <c r="I2003" s="18">
        <v>1310</v>
      </c>
    </row>
    <row r="2004" spans="1:9" x14ac:dyDescent="0.3">
      <c r="A2004" t="s">
        <v>1222</v>
      </c>
      <c r="B2004" s="18" t="s">
        <v>823</v>
      </c>
      <c r="C2004" s="18" t="s">
        <v>824</v>
      </c>
      <c r="D2004" s="18" t="s">
        <v>397</v>
      </c>
      <c r="E2004" s="18" t="s">
        <v>2072</v>
      </c>
      <c r="F2004" s="18">
        <v>2367</v>
      </c>
      <c r="G2004" s="18">
        <v>1134</v>
      </c>
      <c r="H2004" s="18">
        <v>143</v>
      </c>
      <c r="I2004" s="18">
        <v>1090</v>
      </c>
    </row>
    <row r="2005" spans="1:9" x14ac:dyDescent="0.3">
      <c r="A2005" t="s">
        <v>1296</v>
      </c>
      <c r="B2005" s="18" t="s">
        <v>823</v>
      </c>
      <c r="C2005" s="18" t="s">
        <v>824</v>
      </c>
      <c r="D2005" s="18" t="s">
        <v>831</v>
      </c>
      <c r="E2005" s="18" t="s">
        <v>2072</v>
      </c>
      <c r="F2005" s="18">
        <v>1841</v>
      </c>
      <c r="G2005" s="18">
        <v>644</v>
      </c>
      <c r="H2005" s="18">
        <v>89</v>
      </c>
      <c r="I2005" s="18">
        <v>1108</v>
      </c>
    </row>
    <row r="2006" spans="1:9" x14ac:dyDescent="0.3">
      <c r="A2006" t="s">
        <v>1237</v>
      </c>
      <c r="B2006" s="18" t="s">
        <v>823</v>
      </c>
      <c r="C2006" s="18" t="s">
        <v>824</v>
      </c>
      <c r="D2006" s="18" t="s">
        <v>832</v>
      </c>
      <c r="E2006" s="18" t="s">
        <v>2072</v>
      </c>
      <c r="F2006" s="18">
        <v>4165</v>
      </c>
      <c r="G2006" s="18">
        <v>2038</v>
      </c>
      <c r="H2006" s="18">
        <v>208</v>
      </c>
      <c r="I2006" s="18">
        <v>1919</v>
      </c>
    </row>
    <row r="2007" spans="1:9" x14ac:dyDescent="0.3">
      <c r="A2007" t="s">
        <v>1321</v>
      </c>
      <c r="B2007" s="18" t="s">
        <v>823</v>
      </c>
      <c r="C2007" s="18" t="s">
        <v>824</v>
      </c>
      <c r="D2007" s="18" t="s">
        <v>2068</v>
      </c>
      <c r="E2007" s="18" t="s">
        <v>2072</v>
      </c>
      <c r="F2007" s="18">
        <v>4538</v>
      </c>
      <c r="G2007" s="18">
        <v>1798</v>
      </c>
      <c r="H2007" s="18">
        <v>115</v>
      </c>
      <c r="I2007" s="18">
        <v>2625</v>
      </c>
    </row>
    <row r="2008" spans="1:9" x14ac:dyDescent="0.3">
      <c r="A2008" t="s">
        <v>1377</v>
      </c>
      <c r="B2008" s="18" t="s">
        <v>823</v>
      </c>
      <c r="C2008" s="18" t="s">
        <v>824</v>
      </c>
      <c r="D2008" s="18" t="s">
        <v>834</v>
      </c>
      <c r="E2008" s="18" t="s">
        <v>2072</v>
      </c>
      <c r="F2008" s="18">
        <v>4410</v>
      </c>
      <c r="G2008" s="18">
        <v>2039</v>
      </c>
      <c r="H2008" s="18">
        <v>159</v>
      </c>
      <c r="I2008" s="18">
        <v>2212</v>
      </c>
    </row>
    <row r="2009" spans="1:9" x14ac:dyDescent="0.3">
      <c r="A2009" t="s">
        <v>1257</v>
      </c>
      <c r="B2009" s="18" t="s">
        <v>823</v>
      </c>
      <c r="C2009" s="18" t="s">
        <v>824</v>
      </c>
      <c r="D2009" s="18" t="s">
        <v>835</v>
      </c>
      <c r="E2009" s="18" t="s">
        <v>2072</v>
      </c>
      <c r="F2009" s="18">
        <v>4107</v>
      </c>
      <c r="G2009" s="18">
        <v>2417</v>
      </c>
      <c r="H2009" s="18">
        <v>258</v>
      </c>
      <c r="I2009" s="18">
        <v>1432</v>
      </c>
    </row>
    <row r="2010" spans="1:9" x14ac:dyDescent="0.3">
      <c r="A2010" t="s">
        <v>1823</v>
      </c>
      <c r="B2010" s="18" t="s">
        <v>823</v>
      </c>
      <c r="C2010" s="18" t="s">
        <v>824</v>
      </c>
      <c r="D2010" s="18" t="s">
        <v>62</v>
      </c>
      <c r="E2010" s="18" t="s">
        <v>2072</v>
      </c>
      <c r="F2010" s="18">
        <v>831</v>
      </c>
      <c r="G2010" s="18">
        <v>174</v>
      </c>
      <c r="H2010" s="18">
        <v>92</v>
      </c>
      <c r="I2010" s="18">
        <v>565</v>
      </c>
    </row>
    <row r="2011" spans="1:9" x14ac:dyDescent="0.3">
      <c r="A2011" t="s">
        <v>1327</v>
      </c>
      <c r="B2011" s="18" t="s">
        <v>823</v>
      </c>
      <c r="C2011" s="18" t="s">
        <v>824</v>
      </c>
      <c r="D2011" s="18" t="s">
        <v>323</v>
      </c>
      <c r="E2011" s="18" t="s">
        <v>2072</v>
      </c>
      <c r="F2011" s="18">
        <v>11107</v>
      </c>
      <c r="G2011" s="18">
        <v>5791</v>
      </c>
      <c r="H2011" s="18">
        <v>608</v>
      </c>
      <c r="I2011" s="18">
        <v>4708</v>
      </c>
    </row>
    <row r="2012" spans="1:9" x14ac:dyDescent="0.3">
      <c r="A2012" t="s">
        <v>1248</v>
      </c>
      <c r="B2012" s="18" t="s">
        <v>823</v>
      </c>
      <c r="C2012" s="18" t="s">
        <v>824</v>
      </c>
      <c r="D2012" s="18" t="s">
        <v>836</v>
      </c>
      <c r="E2012" s="18" t="s">
        <v>2072</v>
      </c>
      <c r="F2012" s="18">
        <v>3824</v>
      </c>
      <c r="G2012" s="18">
        <v>1877</v>
      </c>
      <c r="H2012" s="18">
        <v>211</v>
      </c>
      <c r="I2012" s="18">
        <v>1736</v>
      </c>
    </row>
    <row r="2013" spans="1:9" x14ac:dyDescent="0.3">
      <c r="A2013" t="s">
        <v>1224</v>
      </c>
      <c r="B2013" s="18" t="s">
        <v>823</v>
      </c>
      <c r="C2013" s="18" t="s">
        <v>824</v>
      </c>
      <c r="D2013" s="18" t="s">
        <v>838</v>
      </c>
      <c r="E2013" s="18" t="s">
        <v>2072</v>
      </c>
      <c r="F2013" s="18">
        <v>2366</v>
      </c>
      <c r="G2013" s="18">
        <v>1503</v>
      </c>
      <c r="H2013" s="18">
        <v>117</v>
      </c>
      <c r="I2013" s="18">
        <v>746</v>
      </c>
    </row>
    <row r="2014" spans="1:9" x14ac:dyDescent="0.3">
      <c r="A2014" t="s">
        <v>1411</v>
      </c>
      <c r="B2014" s="18" t="s">
        <v>823</v>
      </c>
      <c r="C2014" s="18" t="s">
        <v>839</v>
      </c>
      <c r="D2014" s="18" t="s">
        <v>15</v>
      </c>
      <c r="E2014" s="18" t="s">
        <v>2072</v>
      </c>
      <c r="F2014" s="18">
        <v>6693</v>
      </c>
      <c r="G2014" s="18">
        <v>3897</v>
      </c>
      <c r="H2014" s="18">
        <v>298</v>
      </c>
      <c r="I2014" s="18">
        <v>2498</v>
      </c>
    </row>
    <row r="2015" spans="1:9" x14ac:dyDescent="0.3">
      <c r="A2015" t="s">
        <v>1824</v>
      </c>
      <c r="B2015" s="18" t="s">
        <v>823</v>
      </c>
      <c r="C2015" s="18" t="s">
        <v>839</v>
      </c>
      <c r="D2015" s="18" t="s">
        <v>840</v>
      </c>
      <c r="E2015" s="18" t="s">
        <v>2072</v>
      </c>
      <c r="F2015" s="18">
        <v>148</v>
      </c>
      <c r="G2015" s="18">
        <v>64</v>
      </c>
      <c r="H2015" s="18">
        <v>10</v>
      </c>
      <c r="I2015" s="18">
        <v>74</v>
      </c>
    </row>
    <row r="2016" spans="1:9" x14ac:dyDescent="0.3">
      <c r="A2016" t="s">
        <v>1825</v>
      </c>
      <c r="B2016" s="18" t="s">
        <v>823</v>
      </c>
      <c r="C2016" s="18" t="s">
        <v>839</v>
      </c>
      <c r="D2016" s="18" t="s">
        <v>841</v>
      </c>
      <c r="E2016" s="18" t="s">
        <v>2072</v>
      </c>
      <c r="F2016" s="18">
        <v>515</v>
      </c>
      <c r="G2016" s="18">
        <v>274</v>
      </c>
      <c r="H2016" s="18">
        <v>23</v>
      </c>
      <c r="I2016" s="18">
        <v>218</v>
      </c>
    </row>
    <row r="2017" spans="1:9" x14ac:dyDescent="0.3">
      <c r="A2017" t="s">
        <v>1826</v>
      </c>
      <c r="B2017" s="18" t="s">
        <v>823</v>
      </c>
      <c r="C2017" s="18" t="s">
        <v>839</v>
      </c>
      <c r="D2017" s="18" t="s">
        <v>842</v>
      </c>
      <c r="E2017" s="18" t="s">
        <v>2072</v>
      </c>
      <c r="F2017" s="18">
        <v>504</v>
      </c>
      <c r="G2017" s="18">
        <v>244</v>
      </c>
      <c r="H2017" s="18">
        <v>40</v>
      </c>
      <c r="I2017" s="18">
        <v>220</v>
      </c>
    </row>
    <row r="2018" spans="1:9" x14ac:dyDescent="0.3">
      <c r="A2018" t="s">
        <v>1827</v>
      </c>
      <c r="B2018" s="18" t="s">
        <v>823</v>
      </c>
      <c r="C2018" s="18" t="s">
        <v>839</v>
      </c>
      <c r="D2018" s="18" t="s">
        <v>843</v>
      </c>
      <c r="E2018" s="18" t="s">
        <v>2072</v>
      </c>
      <c r="F2018" s="18">
        <v>1105</v>
      </c>
      <c r="G2018" s="18">
        <v>550</v>
      </c>
      <c r="H2018" s="18">
        <v>50</v>
      </c>
      <c r="I2018" s="18">
        <v>505</v>
      </c>
    </row>
    <row r="2019" spans="1:9" x14ac:dyDescent="0.3">
      <c r="A2019" t="s">
        <v>1254</v>
      </c>
      <c r="B2019" s="18" t="s">
        <v>823</v>
      </c>
      <c r="C2019" s="18" t="s">
        <v>844</v>
      </c>
      <c r="D2019" s="18" t="s">
        <v>844</v>
      </c>
      <c r="E2019" s="18" t="s">
        <v>2072</v>
      </c>
      <c r="F2019" s="18">
        <v>4197</v>
      </c>
      <c r="G2019" s="18">
        <v>2067</v>
      </c>
      <c r="H2019" s="18">
        <v>136</v>
      </c>
      <c r="I2019" s="18">
        <v>1994</v>
      </c>
    </row>
    <row r="2020" spans="1:9" x14ac:dyDescent="0.3">
      <c r="A2020" t="s">
        <v>1305</v>
      </c>
      <c r="B2020" s="18" t="s">
        <v>823</v>
      </c>
      <c r="C2020" s="18" t="s">
        <v>845</v>
      </c>
      <c r="D2020" s="18" t="s">
        <v>845</v>
      </c>
      <c r="E2020" s="18" t="s">
        <v>2072</v>
      </c>
      <c r="F2020" s="18">
        <v>2341</v>
      </c>
      <c r="G2020" s="18">
        <v>1114</v>
      </c>
      <c r="H2020" s="18">
        <v>149</v>
      </c>
      <c r="I2020" s="18">
        <v>1078</v>
      </c>
    </row>
    <row r="2021" spans="1:9" x14ac:dyDescent="0.3">
      <c r="A2021" t="s">
        <v>1074</v>
      </c>
      <c r="B2021" s="18" t="s">
        <v>823</v>
      </c>
      <c r="C2021" s="18" t="s">
        <v>845</v>
      </c>
      <c r="D2021" s="18" t="s">
        <v>846</v>
      </c>
      <c r="E2021" s="18" t="s">
        <v>2072</v>
      </c>
      <c r="F2021" s="18">
        <v>572</v>
      </c>
      <c r="G2021" s="18">
        <v>256</v>
      </c>
      <c r="H2021" s="18">
        <v>31</v>
      </c>
      <c r="I2021" s="18">
        <v>285</v>
      </c>
    </row>
    <row r="2022" spans="1:9" x14ac:dyDescent="0.3">
      <c r="A2022" t="s">
        <v>2032</v>
      </c>
      <c r="B2022" s="18" t="s">
        <v>823</v>
      </c>
      <c r="C2022" s="18" t="s">
        <v>847</v>
      </c>
      <c r="D2022" s="18" t="s">
        <v>419</v>
      </c>
      <c r="E2022" s="18" t="s">
        <v>2072</v>
      </c>
      <c r="F2022" s="18">
        <v>531</v>
      </c>
      <c r="G2022" s="18">
        <v>316</v>
      </c>
      <c r="H2022" s="18">
        <v>4</v>
      </c>
      <c r="I2022" s="18">
        <v>211</v>
      </c>
    </row>
    <row r="2023" spans="1:9" x14ac:dyDescent="0.3">
      <c r="A2023" t="s">
        <v>1828</v>
      </c>
      <c r="B2023" s="18" t="s">
        <v>823</v>
      </c>
      <c r="C2023" s="18" t="s">
        <v>847</v>
      </c>
      <c r="D2023" s="18" t="s">
        <v>161</v>
      </c>
      <c r="E2023" s="18" t="s">
        <v>2072</v>
      </c>
      <c r="F2023" s="18">
        <v>533</v>
      </c>
      <c r="G2023" s="18">
        <v>254</v>
      </c>
      <c r="H2023" s="18">
        <v>56</v>
      </c>
      <c r="I2023" s="18">
        <v>223</v>
      </c>
    </row>
    <row r="2024" spans="1:9" x14ac:dyDescent="0.3">
      <c r="A2024" t="s">
        <v>1298</v>
      </c>
      <c r="B2024" s="18" t="s">
        <v>823</v>
      </c>
      <c r="C2024" s="18" t="s">
        <v>847</v>
      </c>
      <c r="D2024" s="18" t="s">
        <v>847</v>
      </c>
      <c r="E2024" s="18" t="s">
        <v>2072</v>
      </c>
      <c r="F2024" s="18">
        <v>3490</v>
      </c>
      <c r="G2024" s="18">
        <v>1774</v>
      </c>
      <c r="H2024" s="18">
        <v>177</v>
      </c>
      <c r="I2024" s="18">
        <v>1539</v>
      </c>
    </row>
    <row r="2025" spans="1:9" x14ac:dyDescent="0.3">
      <c r="A2025" t="s">
        <v>1829</v>
      </c>
      <c r="B2025" s="18" t="s">
        <v>823</v>
      </c>
      <c r="C2025" s="18" t="s">
        <v>847</v>
      </c>
      <c r="D2025" s="18" t="s">
        <v>649</v>
      </c>
      <c r="E2025" s="18" t="s">
        <v>2072</v>
      </c>
      <c r="F2025" s="18">
        <v>932</v>
      </c>
      <c r="G2025" s="18">
        <v>267</v>
      </c>
      <c r="H2025" s="18">
        <v>101</v>
      </c>
      <c r="I2025" s="18">
        <v>564</v>
      </c>
    </row>
    <row r="2026" spans="1:9" x14ac:dyDescent="0.3">
      <c r="A2026" t="s">
        <v>1376</v>
      </c>
      <c r="B2026" s="18" t="s">
        <v>823</v>
      </c>
      <c r="C2026" s="18" t="s">
        <v>848</v>
      </c>
      <c r="D2026" s="18" t="s">
        <v>848</v>
      </c>
      <c r="E2026" s="18" t="s">
        <v>2072</v>
      </c>
      <c r="F2026" s="18">
        <v>5738</v>
      </c>
      <c r="G2026" s="18">
        <v>2994</v>
      </c>
      <c r="H2026" s="18">
        <v>277</v>
      </c>
      <c r="I2026" s="18">
        <v>2467</v>
      </c>
    </row>
    <row r="2027" spans="1:9" x14ac:dyDescent="0.3">
      <c r="A2027" t="s">
        <v>1830</v>
      </c>
      <c r="B2027" s="18" t="s">
        <v>823</v>
      </c>
      <c r="C2027" s="18" t="s">
        <v>848</v>
      </c>
      <c r="D2027" s="18" t="s">
        <v>818</v>
      </c>
      <c r="E2027" s="18" t="s">
        <v>2072</v>
      </c>
      <c r="F2027" s="18">
        <v>1159</v>
      </c>
      <c r="G2027" s="18">
        <v>456</v>
      </c>
      <c r="H2027" s="18">
        <v>26</v>
      </c>
      <c r="I2027" s="18">
        <v>677</v>
      </c>
    </row>
    <row r="2028" spans="1:9" x14ac:dyDescent="0.3">
      <c r="A2028" t="s">
        <v>1064</v>
      </c>
      <c r="B2028" s="18" t="s">
        <v>823</v>
      </c>
      <c r="C2028" s="18" t="s">
        <v>848</v>
      </c>
      <c r="D2028" s="18" t="s">
        <v>2069</v>
      </c>
      <c r="E2028" s="18" t="s">
        <v>2072</v>
      </c>
      <c r="F2028" s="18">
        <v>654</v>
      </c>
      <c r="G2028" s="18">
        <v>227</v>
      </c>
      <c r="H2028" s="18">
        <v>8</v>
      </c>
      <c r="I2028" s="18">
        <v>419</v>
      </c>
    </row>
    <row r="2029" spans="1:9" x14ac:dyDescent="0.3">
      <c r="A2029" t="s">
        <v>1176</v>
      </c>
      <c r="B2029" s="18" t="s">
        <v>823</v>
      </c>
      <c r="C2029" s="18" t="s">
        <v>850</v>
      </c>
      <c r="D2029" s="18" t="s">
        <v>852</v>
      </c>
      <c r="E2029" s="18" t="s">
        <v>2072</v>
      </c>
      <c r="F2029" s="18">
        <v>1053</v>
      </c>
      <c r="G2029" s="18">
        <v>413</v>
      </c>
      <c r="H2029" s="18">
        <v>64</v>
      </c>
      <c r="I2029" s="18">
        <v>576</v>
      </c>
    </row>
    <row r="2030" spans="1:9" x14ac:dyDescent="0.3">
      <c r="A2030" t="s">
        <v>1831</v>
      </c>
      <c r="B2030" s="18" t="s">
        <v>823</v>
      </c>
      <c r="C2030" s="18" t="s">
        <v>850</v>
      </c>
      <c r="D2030" s="18" t="s">
        <v>90</v>
      </c>
      <c r="E2030" s="18" t="s">
        <v>2072</v>
      </c>
      <c r="F2030" s="18">
        <v>1182</v>
      </c>
      <c r="G2030" s="18">
        <v>661</v>
      </c>
      <c r="H2030" s="18">
        <v>38</v>
      </c>
      <c r="I2030" s="18">
        <v>483</v>
      </c>
    </row>
    <row r="2031" spans="1:9" x14ac:dyDescent="0.3">
      <c r="A2031" t="s">
        <v>1413</v>
      </c>
      <c r="B2031" s="18" t="s">
        <v>823</v>
      </c>
      <c r="C2031" s="18" t="s">
        <v>850</v>
      </c>
      <c r="D2031" s="18" t="s">
        <v>854</v>
      </c>
      <c r="E2031" s="18" t="s">
        <v>2072</v>
      </c>
      <c r="F2031" s="18">
        <v>1109</v>
      </c>
      <c r="G2031" s="18">
        <v>801</v>
      </c>
      <c r="H2031" s="18">
        <v>12</v>
      </c>
      <c r="I2031" s="18">
        <v>296</v>
      </c>
    </row>
    <row r="2032" spans="1:9" x14ac:dyDescent="0.3">
      <c r="A2032" t="s">
        <v>1832</v>
      </c>
      <c r="B2032" s="18" t="s">
        <v>823</v>
      </c>
      <c r="C2032" s="18" t="s">
        <v>850</v>
      </c>
      <c r="D2032" s="18" t="s">
        <v>853</v>
      </c>
      <c r="E2032" s="18" t="s">
        <v>2072</v>
      </c>
      <c r="F2032" s="18">
        <v>828</v>
      </c>
      <c r="G2032" s="18">
        <v>397</v>
      </c>
      <c r="H2032" s="18">
        <v>21</v>
      </c>
      <c r="I2032" s="18">
        <v>410</v>
      </c>
    </row>
    <row r="2033" spans="1:9" x14ac:dyDescent="0.3">
      <c r="A2033" t="s">
        <v>1146</v>
      </c>
      <c r="B2033" s="18" t="s">
        <v>823</v>
      </c>
      <c r="C2033" s="18" t="s">
        <v>850</v>
      </c>
      <c r="D2033" s="18" t="s">
        <v>418</v>
      </c>
      <c r="E2033" s="18" t="s">
        <v>2072</v>
      </c>
      <c r="F2033" s="18">
        <v>1023</v>
      </c>
      <c r="G2033" s="18">
        <v>530</v>
      </c>
      <c r="H2033" s="18">
        <v>40</v>
      </c>
      <c r="I2033" s="18">
        <v>453</v>
      </c>
    </row>
    <row r="2034" spans="1:9" x14ac:dyDescent="0.3">
      <c r="A2034" t="s">
        <v>1169</v>
      </c>
      <c r="B2034" s="18" t="s">
        <v>823</v>
      </c>
      <c r="C2034" s="18" t="s">
        <v>850</v>
      </c>
      <c r="D2034" s="18" t="s">
        <v>160</v>
      </c>
      <c r="E2034" s="18" t="s">
        <v>2072</v>
      </c>
      <c r="F2034" s="18">
        <v>3145</v>
      </c>
      <c r="G2034" s="18">
        <v>1558</v>
      </c>
      <c r="H2034" s="18">
        <v>119</v>
      </c>
      <c r="I2034" s="18">
        <v>1468</v>
      </c>
    </row>
    <row r="2035" spans="1:9" x14ac:dyDescent="0.3">
      <c r="A2035" t="s">
        <v>1833</v>
      </c>
      <c r="B2035" s="18" t="s">
        <v>823</v>
      </c>
      <c r="C2035" s="18" t="s">
        <v>850</v>
      </c>
      <c r="D2035" s="18" t="s">
        <v>855</v>
      </c>
      <c r="E2035" s="18" t="s">
        <v>2072</v>
      </c>
      <c r="F2035" s="18">
        <v>3357</v>
      </c>
      <c r="G2035" s="18">
        <v>1739</v>
      </c>
      <c r="H2035" s="18">
        <v>151</v>
      </c>
      <c r="I2035" s="18">
        <v>1467</v>
      </c>
    </row>
    <row r="2036" spans="1:9" x14ac:dyDescent="0.3">
      <c r="A2036" t="s">
        <v>1271</v>
      </c>
      <c r="B2036" s="18" t="s">
        <v>823</v>
      </c>
      <c r="C2036" s="18" t="s">
        <v>850</v>
      </c>
      <c r="D2036" s="18" t="s">
        <v>851</v>
      </c>
      <c r="E2036" s="18" t="s">
        <v>2072</v>
      </c>
      <c r="F2036" s="18">
        <v>11417</v>
      </c>
      <c r="G2036" s="18">
        <v>6239</v>
      </c>
      <c r="H2036" s="18">
        <v>431</v>
      </c>
      <c r="I2036" s="18">
        <v>4747</v>
      </c>
    </row>
    <row r="2037" spans="1:9" x14ac:dyDescent="0.3">
      <c r="A2037" t="s">
        <v>1223</v>
      </c>
      <c r="B2037" s="18" t="s">
        <v>823</v>
      </c>
      <c r="C2037" s="18" t="s">
        <v>850</v>
      </c>
      <c r="D2037" s="18" t="s">
        <v>856</v>
      </c>
      <c r="E2037" s="18" t="s">
        <v>2072</v>
      </c>
      <c r="F2037" s="18">
        <v>2625</v>
      </c>
      <c r="G2037" s="18">
        <v>790</v>
      </c>
      <c r="H2037" s="18">
        <v>384</v>
      </c>
      <c r="I2037" s="18">
        <v>1451</v>
      </c>
    </row>
    <row r="2038" spans="1:9" x14ac:dyDescent="0.3">
      <c r="A2038" t="s">
        <v>1834</v>
      </c>
      <c r="B2038" s="18" t="s">
        <v>823</v>
      </c>
      <c r="C2038" s="18" t="s">
        <v>857</v>
      </c>
      <c r="D2038" s="18" t="s">
        <v>859</v>
      </c>
      <c r="E2038" s="18" t="s">
        <v>2072</v>
      </c>
      <c r="F2038" s="18">
        <v>93</v>
      </c>
      <c r="G2038" s="18">
        <v>37</v>
      </c>
      <c r="H2038" s="18">
        <v>16</v>
      </c>
      <c r="I2038" s="18">
        <v>40</v>
      </c>
    </row>
    <row r="2039" spans="1:9" x14ac:dyDescent="0.3">
      <c r="A2039" t="s">
        <v>1835</v>
      </c>
      <c r="B2039" s="18" t="s">
        <v>823</v>
      </c>
      <c r="C2039" s="18" t="s">
        <v>857</v>
      </c>
      <c r="D2039" s="18" t="s">
        <v>860</v>
      </c>
      <c r="E2039" s="18" t="s">
        <v>2072</v>
      </c>
      <c r="F2039" s="18">
        <v>614</v>
      </c>
      <c r="G2039" s="18">
        <v>187</v>
      </c>
      <c r="H2039" s="18">
        <v>148</v>
      </c>
      <c r="I2039" s="18">
        <v>279</v>
      </c>
    </row>
    <row r="2040" spans="1:9" x14ac:dyDescent="0.3">
      <c r="A2040" t="s">
        <v>1357</v>
      </c>
      <c r="B2040" s="18" t="s">
        <v>823</v>
      </c>
      <c r="C2040" s="18" t="s">
        <v>857</v>
      </c>
      <c r="D2040" s="18" t="s">
        <v>861</v>
      </c>
      <c r="E2040" s="18" t="s">
        <v>2072</v>
      </c>
      <c r="F2040" s="18">
        <v>956</v>
      </c>
      <c r="G2040" s="18">
        <v>388</v>
      </c>
      <c r="H2040" s="18">
        <v>44</v>
      </c>
      <c r="I2040" s="18">
        <v>524</v>
      </c>
    </row>
    <row r="2041" spans="1:9" x14ac:dyDescent="0.3">
      <c r="A2041" t="s">
        <v>1279</v>
      </c>
      <c r="B2041" s="18" t="s">
        <v>823</v>
      </c>
      <c r="C2041" s="18" t="s">
        <v>857</v>
      </c>
      <c r="D2041" s="18" t="s">
        <v>858</v>
      </c>
      <c r="E2041" s="18" t="s">
        <v>2072</v>
      </c>
      <c r="F2041" s="18">
        <v>6568</v>
      </c>
      <c r="G2041" s="18">
        <v>3400</v>
      </c>
      <c r="H2041" s="18">
        <v>357</v>
      </c>
      <c r="I2041" s="18">
        <v>2811</v>
      </c>
    </row>
    <row r="2042" spans="1:9" x14ac:dyDescent="0.3">
      <c r="A2042" t="s">
        <v>1358</v>
      </c>
      <c r="B2042" s="18" t="s">
        <v>823</v>
      </c>
      <c r="C2042" s="18" t="s">
        <v>857</v>
      </c>
      <c r="D2042" s="18" t="s">
        <v>862</v>
      </c>
      <c r="E2042" s="18" t="s">
        <v>2072</v>
      </c>
      <c r="F2042" s="18">
        <v>1354</v>
      </c>
      <c r="G2042" s="18">
        <v>598</v>
      </c>
      <c r="H2042" s="18">
        <v>88</v>
      </c>
      <c r="I2042" s="18">
        <v>668</v>
      </c>
    </row>
    <row r="2043" spans="1:9" x14ac:dyDescent="0.3">
      <c r="A2043" t="s">
        <v>1241</v>
      </c>
      <c r="B2043" s="18" t="s">
        <v>823</v>
      </c>
      <c r="C2043" s="18" t="s">
        <v>857</v>
      </c>
      <c r="D2043" s="18" t="s">
        <v>266</v>
      </c>
      <c r="E2043" s="18" t="s">
        <v>2072</v>
      </c>
      <c r="F2043" s="18">
        <v>4946</v>
      </c>
      <c r="G2043" s="18">
        <v>1606</v>
      </c>
      <c r="H2043" s="18">
        <v>854</v>
      </c>
      <c r="I2043" s="18">
        <v>2486</v>
      </c>
    </row>
    <row r="2044" spans="1:9" x14ac:dyDescent="0.3">
      <c r="A2044" t="s">
        <v>1836</v>
      </c>
      <c r="B2044" s="18" t="s">
        <v>823</v>
      </c>
      <c r="C2044" s="18" t="s">
        <v>857</v>
      </c>
      <c r="D2044" s="18" t="s">
        <v>863</v>
      </c>
      <c r="E2044" s="18" t="s">
        <v>2072</v>
      </c>
      <c r="F2044" s="18">
        <v>770</v>
      </c>
      <c r="G2044" s="18">
        <v>191</v>
      </c>
      <c r="H2044" s="18">
        <v>153</v>
      </c>
      <c r="I2044" s="18">
        <v>426</v>
      </c>
    </row>
    <row r="2045" spans="1:9" x14ac:dyDescent="0.3">
      <c r="A2045" t="s">
        <v>1837</v>
      </c>
      <c r="B2045" s="18" t="s">
        <v>823</v>
      </c>
      <c r="C2045" s="18" t="s">
        <v>857</v>
      </c>
      <c r="D2045" s="18" t="s">
        <v>864</v>
      </c>
      <c r="E2045" s="18" t="s">
        <v>2072</v>
      </c>
      <c r="F2045" s="18">
        <v>2160</v>
      </c>
      <c r="G2045" s="18">
        <v>1045</v>
      </c>
      <c r="H2045" s="18">
        <v>128</v>
      </c>
      <c r="I2045" s="18">
        <v>987</v>
      </c>
    </row>
    <row r="2046" spans="1:9" x14ac:dyDescent="0.3">
      <c r="A2046" t="s">
        <v>1191</v>
      </c>
      <c r="B2046" s="18" t="s">
        <v>823</v>
      </c>
      <c r="C2046" s="18" t="s">
        <v>865</v>
      </c>
      <c r="D2046" s="18" t="s">
        <v>866</v>
      </c>
      <c r="E2046" s="18" t="s">
        <v>2072</v>
      </c>
      <c r="F2046" s="18">
        <v>529</v>
      </c>
      <c r="G2046" s="18">
        <v>304</v>
      </c>
      <c r="H2046" s="18">
        <v>25</v>
      </c>
      <c r="I2046" s="18">
        <v>200</v>
      </c>
    </row>
    <row r="2047" spans="1:9" x14ac:dyDescent="0.3">
      <c r="A2047" t="s">
        <v>1379</v>
      </c>
      <c r="B2047" s="18" t="s">
        <v>823</v>
      </c>
      <c r="C2047" s="18" t="s">
        <v>865</v>
      </c>
      <c r="D2047" s="18" t="s">
        <v>865</v>
      </c>
      <c r="E2047" s="18" t="s">
        <v>2072</v>
      </c>
      <c r="F2047" s="18">
        <v>5073</v>
      </c>
      <c r="G2047" s="18">
        <v>2882</v>
      </c>
      <c r="H2047" s="18">
        <v>169</v>
      </c>
      <c r="I2047" s="18">
        <v>2022</v>
      </c>
    </row>
    <row r="2048" spans="1:9" x14ac:dyDescent="0.3">
      <c r="A2048" t="s">
        <v>2039</v>
      </c>
      <c r="B2048" s="18" t="s">
        <v>867</v>
      </c>
      <c r="C2048" s="18" t="s">
        <v>895</v>
      </c>
      <c r="D2048" s="18" t="s">
        <v>898</v>
      </c>
      <c r="E2048" s="18" t="s">
        <v>2072</v>
      </c>
      <c r="F2048" s="18">
        <v>582</v>
      </c>
      <c r="G2048" s="18">
        <v>206</v>
      </c>
      <c r="H2048" s="18">
        <v>41</v>
      </c>
      <c r="I2048" s="18">
        <v>335</v>
      </c>
    </row>
    <row r="2049" spans="1:9" x14ac:dyDescent="0.3">
      <c r="A2049" t="s">
        <v>2038</v>
      </c>
      <c r="B2049" s="18" t="s">
        <v>867</v>
      </c>
      <c r="C2049" s="18" t="s">
        <v>895</v>
      </c>
      <c r="D2049" s="18" t="s">
        <v>897</v>
      </c>
      <c r="E2049" s="18" t="s">
        <v>2072</v>
      </c>
      <c r="F2049" s="18">
        <v>311</v>
      </c>
      <c r="G2049" s="18">
        <v>76</v>
      </c>
      <c r="H2049" s="18">
        <v>16</v>
      </c>
      <c r="I2049" s="18">
        <v>219</v>
      </c>
    </row>
    <row r="2050" spans="1:9" x14ac:dyDescent="0.3">
      <c r="A2050" t="s">
        <v>1852</v>
      </c>
      <c r="B2050" s="18" t="s">
        <v>867</v>
      </c>
      <c r="C2050" s="18" t="s">
        <v>895</v>
      </c>
      <c r="D2050" s="18" t="s">
        <v>896</v>
      </c>
      <c r="E2050" s="18" t="s">
        <v>2072</v>
      </c>
      <c r="F2050" s="18">
        <v>1907</v>
      </c>
      <c r="G2050" s="18">
        <v>735</v>
      </c>
      <c r="H2050" s="18">
        <v>146</v>
      </c>
      <c r="I2050" s="18">
        <v>1026</v>
      </c>
    </row>
    <row r="2051" spans="1:9" x14ac:dyDescent="0.3">
      <c r="A2051" t="s">
        <v>1843</v>
      </c>
      <c r="B2051" s="18" t="s">
        <v>867</v>
      </c>
      <c r="C2051" s="18" t="s">
        <v>874</v>
      </c>
      <c r="D2051" s="18" t="s">
        <v>876</v>
      </c>
      <c r="E2051" s="18" t="s">
        <v>2072</v>
      </c>
      <c r="F2051" s="18">
        <v>451</v>
      </c>
      <c r="G2051" s="18">
        <v>91</v>
      </c>
      <c r="H2051" s="18">
        <v>21</v>
      </c>
      <c r="I2051" s="18">
        <v>339</v>
      </c>
    </row>
    <row r="2052" spans="1:9" x14ac:dyDescent="0.3">
      <c r="A2052" t="s">
        <v>1844</v>
      </c>
      <c r="B2052" s="18" t="s">
        <v>867</v>
      </c>
      <c r="C2052" s="18" t="s">
        <v>874</v>
      </c>
      <c r="D2052" s="18" t="s">
        <v>877</v>
      </c>
      <c r="E2052" s="18" t="s">
        <v>2072</v>
      </c>
      <c r="F2052" s="18">
        <v>62</v>
      </c>
      <c r="G2052" s="18">
        <v>22</v>
      </c>
      <c r="H2052" s="18">
        <v>6</v>
      </c>
      <c r="I2052" s="18">
        <v>34</v>
      </c>
    </row>
    <row r="2053" spans="1:9" x14ac:dyDescent="0.3">
      <c r="A2053" t="s">
        <v>1845</v>
      </c>
      <c r="B2053" s="18" t="s">
        <v>867</v>
      </c>
      <c r="C2053" s="18" t="s">
        <v>874</v>
      </c>
      <c r="D2053" s="18" t="s">
        <v>878</v>
      </c>
      <c r="E2053" s="18" t="s">
        <v>2072</v>
      </c>
      <c r="F2053" s="18">
        <v>85</v>
      </c>
      <c r="G2053" s="18">
        <v>25</v>
      </c>
      <c r="H2053" s="18">
        <v>6</v>
      </c>
      <c r="I2053" s="18">
        <v>54</v>
      </c>
    </row>
    <row r="2054" spans="1:9" x14ac:dyDescent="0.3">
      <c r="A2054" t="s">
        <v>1846</v>
      </c>
      <c r="B2054" s="18" t="s">
        <v>867</v>
      </c>
      <c r="C2054" s="18" t="s">
        <v>874</v>
      </c>
      <c r="D2054" s="18" t="s">
        <v>879</v>
      </c>
      <c r="E2054" s="18" t="s">
        <v>2072</v>
      </c>
      <c r="F2054" s="18">
        <v>30</v>
      </c>
      <c r="G2054" s="18">
        <v>7</v>
      </c>
      <c r="H2054" s="18"/>
      <c r="I2054" s="18">
        <v>23</v>
      </c>
    </row>
    <row r="2055" spans="1:9" x14ac:dyDescent="0.3">
      <c r="A2055" t="s">
        <v>1847</v>
      </c>
      <c r="B2055" s="18" t="s">
        <v>867</v>
      </c>
      <c r="C2055" s="18" t="s">
        <v>874</v>
      </c>
      <c r="D2055" s="18" t="s">
        <v>266</v>
      </c>
      <c r="E2055" s="18" t="s">
        <v>2072</v>
      </c>
      <c r="F2055" s="18">
        <v>117</v>
      </c>
      <c r="G2055" s="18">
        <v>37</v>
      </c>
      <c r="H2055" s="18">
        <v>19</v>
      </c>
      <c r="I2055" s="18">
        <v>61</v>
      </c>
    </row>
    <row r="2056" spans="1:9" x14ac:dyDescent="0.3">
      <c r="A2056" t="s">
        <v>1340</v>
      </c>
      <c r="B2056" s="18" t="s">
        <v>867</v>
      </c>
      <c r="C2056" s="18" t="s">
        <v>874</v>
      </c>
      <c r="D2056" s="18" t="s">
        <v>875</v>
      </c>
      <c r="E2056" s="18" t="s">
        <v>2072</v>
      </c>
      <c r="F2056" s="18">
        <v>2781</v>
      </c>
      <c r="G2056" s="18">
        <v>1101</v>
      </c>
      <c r="H2056" s="18">
        <v>225</v>
      </c>
      <c r="I2056" s="18">
        <v>1455</v>
      </c>
    </row>
    <row r="2057" spans="1:9" x14ac:dyDescent="0.3">
      <c r="A2057" t="s">
        <v>1850</v>
      </c>
      <c r="B2057" s="18" t="s">
        <v>867</v>
      </c>
      <c r="C2057" s="18" t="s">
        <v>891</v>
      </c>
      <c r="D2057" s="18" t="s">
        <v>892</v>
      </c>
      <c r="E2057" s="18" t="s">
        <v>2072</v>
      </c>
      <c r="F2057" s="18">
        <v>566</v>
      </c>
      <c r="G2057" s="18">
        <v>173</v>
      </c>
      <c r="H2057" s="18">
        <v>31</v>
      </c>
      <c r="I2057" s="18">
        <v>362</v>
      </c>
    </row>
    <row r="2058" spans="1:9" x14ac:dyDescent="0.3">
      <c r="A2058" t="s">
        <v>1304</v>
      </c>
      <c r="B2058" s="18" t="s">
        <v>867</v>
      </c>
      <c r="C2058" s="18" t="s">
        <v>891</v>
      </c>
      <c r="D2058" s="18" t="s">
        <v>891</v>
      </c>
      <c r="E2058" s="18" t="s">
        <v>2072</v>
      </c>
      <c r="F2058" s="18">
        <v>2897</v>
      </c>
      <c r="G2058" s="18">
        <v>1192</v>
      </c>
      <c r="H2058" s="18">
        <v>185</v>
      </c>
      <c r="I2058" s="18">
        <v>1520</v>
      </c>
    </row>
    <row r="2059" spans="1:9" x14ac:dyDescent="0.3">
      <c r="A2059" t="s">
        <v>1111</v>
      </c>
      <c r="B2059" s="18" t="s">
        <v>867</v>
      </c>
      <c r="C2059" s="18" t="s">
        <v>891</v>
      </c>
      <c r="D2059" s="18" t="s">
        <v>893</v>
      </c>
      <c r="E2059" s="18" t="s">
        <v>2072</v>
      </c>
      <c r="F2059" s="18">
        <v>614</v>
      </c>
      <c r="G2059" s="18">
        <v>248</v>
      </c>
      <c r="H2059" s="18">
        <v>34</v>
      </c>
      <c r="I2059" s="18">
        <v>332</v>
      </c>
    </row>
    <row r="2060" spans="1:9" x14ac:dyDescent="0.3">
      <c r="A2060" t="s">
        <v>1851</v>
      </c>
      <c r="B2060" s="18" t="s">
        <v>867</v>
      </c>
      <c r="C2060" s="18" t="s">
        <v>891</v>
      </c>
      <c r="D2060" s="18" t="s">
        <v>894</v>
      </c>
      <c r="E2060" s="18" t="s">
        <v>2072</v>
      </c>
      <c r="F2060" s="18">
        <v>336</v>
      </c>
      <c r="G2060" s="18">
        <v>103</v>
      </c>
      <c r="H2060" s="18">
        <v>50</v>
      </c>
      <c r="I2060" s="18">
        <v>183</v>
      </c>
    </row>
    <row r="2061" spans="1:9" x14ac:dyDescent="0.3">
      <c r="A2061" t="s">
        <v>2034</v>
      </c>
      <c r="B2061" s="18" t="s">
        <v>867</v>
      </c>
      <c r="C2061" s="18" t="s">
        <v>880</v>
      </c>
      <c r="D2061" s="18" t="s">
        <v>881</v>
      </c>
      <c r="E2061" s="18" t="s">
        <v>2072</v>
      </c>
      <c r="F2061" s="18">
        <v>1109</v>
      </c>
      <c r="G2061" s="18">
        <v>444</v>
      </c>
      <c r="H2061" s="18">
        <v>113</v>
      </c>
      <c r="I2061" s="18">
        <v>552</v>
      </c>
    </row>
    <row r="2062" spans="1:9" x14ac:dyDescent="0.3">
      <c r="A2062" t="s">
        <v>2037</v>
      </c>
      <c r="B2062" s="18" t="s">
        <v>867</v>
      </c>
      <c r="C2062" s="18" t="s">
        <v>880</v>
      </c>
      <c r="D2062" s="18" t="s">
        <v>884</v>
      </c>
      <c r="E2062" s="18" t="s">
        <v>2072</v>
      </c>
      <c r="F2062" s="18">
        <v>169</v>
      </c>
      <c r="G2062" s="18">
        <v>21</v>
      </c>
      <c r="H2062" s="18">
        <v>20</v>
      </c>
      <c r="I2062" s="18">
        <v>128</v>
      </c>
    </row>
    <row r="2063" spans="1:9" x14ac:dyDescent="0.3">
      <c r="A2063" t="s">
        <v>2036</v>
      </c>
      <c r="B2063" s="18" t="s">
        <v>867</v>
      </c>
      <c r="C2063" s="18" t="s">
        <v>880</v>
      </c>
      <c r="D2063" s="18" t="s">
        <v>883</v>
      </c>
      <c r="E2063" s="18" t="s">
        <v>2072</v>
      </c>
      <c r="F2063" s="18">
        <v>228</v>
      </c>
      <c r="G2063" s="18">
        <v>36</v>
      </c>
      <c r="H2063" s="18">
        <v>58</v>
      </c>
      <c r="I2063" s="18">
        <v>134</v>
      </c>
    </row>
    <row r="2064" spans="1:9" x14ac:dyDescent="0.3">
      <c r="A2064" t="s">
        <v>2035</v>
      </c>
      <c r="B2064" s="18" t="s">
        <v>867</v>
      </c>
      <c r="C2064" s="18" t="s">
        <v>880</v>
      </c>
      <c r="D2064" s="18" t="s">
        <v>882</v>
      </c>
      <c r="E2064" s="18" t="s">
        <v>2072</v>
      </c>
      <c r="F2064" s="18">
        <v>611</v>
      </c>
      <c r="G2064" s="18">
        <v>138</v>
      </c>
      <c r="H2064" s="18">
        <v>46</v>
      </c>
      <c r="I2064" s="18">
        <v>427</v>
      </c>
    </row>
    <row r="2065" spans="1:9" x14ac:dyDescent="0.3">
      <c r="A2065" t="s">
        <v>1854</v>
      </c>
      <c r="B2065" s="18" t="s">
        <v>867</v>
      </c>
      <c r="C2065" s="18" t="s">
        <v>899</v>
      </c>
      <c r="D2065" s="18" t="s">
        <v>900</v>
      </c>
      <c r="E2065" s="18" t="s">
        <v>2072</v>
      </c>
      <c r="F2065" s="18">
        <v>492</v>
      </c>
      <c r="G2065" s="18">
        <v>87</v>
      </c>
      <c r="H2065" s="18">
        <v>19</v>
      </c>
      <c r="I2065" s="18">
        <v>386</v>
      </c>
    </row>
    <row r="2066" spans="1:9" x14ac:dyDescent="0.3">
      <c r="A2066" t="s">
        <v>2040</v>
      </c>
      <c r="B2066" s="18" t="s">
        <v>867</v>
      </c>
      <c r="C2066" s="18" t="s">
        <v>899</v>
      </c>
      <c r="D2066" s="18" t="s">
        <v>903</v>
      </c>
      <c r="E2066" s="18" t="s">
        <v>2072</v>
      </c>
      <c r="F2066" s="18">
        <v>146</v>
      </c>
      <c r="G2066" s="18">
        <v>31</v>
      </c>
      <c r="H2066" s="18">
        <v>9</v>
      </c>
      <c r="I2066" s="18">
        <v>106</v>
      </c>
    </row>
    <row r="2067" spans="1:9" x14ac:dyDescent="0.3">
      <c r="A2067" t="s">
        <v>1853</v>
      </c>
      <c r="B2067" s="18" t="s">
        <v>867</v>
      </c>
      <c r="C2067" s="18" t="s">
        <v>899</v>
      </c>
      <c r="D2067" s="18" t="s">
        <v>899</v>
      </c>
      <c r="E2067" s="18" t="s">
        <v>2072</v>
      </c>
      <c r="F2067" s="18">
        <v>1419</v>
      </c>
      <c r="G2067" s="18">
        <v>521</v>
      </c>
      <c r="H2067" s="18">
        <v>77</v>
      </c>
      <c r="I2067" s="18">
        <v>821</v>
      </c>
    </row>
    <row r="2068" spans="1:9" x14ac:dyDescent="0.3">
      <c r="A2068" t="s">
        <v>1855</v>
      </c>
      <c r="B2068" s="18" t="s">
        <v>867</v>
      </c>
      <c r="C2068" s="18" t="s">
        <v>899</v>
      </c>
      <c r="D2068" s="18" t="s">
        <v>901</v>
      </c>
      <c r="E2068" s="18" t="s">
        <v>2072</v>
      </c>
      <c r="F2068" s="18">
        <v>518</v>
      </c>
      <c r="G2068" s="18">
        <v>126</v>
      </c>
      <c r="H2068" s="18">
        <v>26</v>
      </c>
      <c r="I2068" s="18">
        <v>366</v>
      </c>
    </row>
    <row r="2069" spans="1:9" x14ac:dyDescent="0.3">
      <c r="A2069" t="s">
        <v>1856</v>
      </c>
      <c r="B2069" s="18" t="s">
        <v>867</v>
      </c>
      <c r="C2069" s="18" t="s">
        <v>899</v>
      </c>
      <c r="D2069" s="18" t="s">
        <v>902</v>
      </c>
      <c r="E2069" s="18" t="s">
        <v>2072</v>
      </c>
      <c r="F2069" s="18">
        <v>466</v>
      </c>
      <c r="G2069" s="18">
        <v>204</v>
      </c>
      <c r="H2069" s="18">
        <v>26</v>
      </c>
      <c r="I2069" s="18">
        <v>236</v>
      </c>
    </row>
    <row r="2070" spans="1:9" x14ac:dyDescent="0.3">
      <c r="A2070" t="s">
        <v>2041</v>
      </c>
      <c r="B2070" s="18" t="s">
        <v>867</v>
      </c>
      <c r="C2070" s="18" t="s">
        <v>904</v>
      </c>
      <c r="D2070" s="18" t="s">
        <v>324</v>
      </c>
      <c r="E2070" s="18" t="s">
        <v>2072</v>
      </c>
      <c r="F2070" s="18">
        <v>157</v>
      </c>
      <c r="G2070" s="18">
        <v>35</v>
      </c>
      <c r="H2070" s="18">
        <v>16</v>
      </c>
      <c r="I2070" s="18">
        <v>106</v>
      </c>
    </row>
    <row r="2071" spans="1:9" x14ac:dyDescent="0.3">
      <c r="A2071" t="s">
        <v>2042</v>
      </c>
      <c r="B2071" s="18" t="s">
        <v>867</v>
      </c>
      <c r="C2071" s="18" t="s">
        <v>904</v>
      </c>
      <c r="D2071" s="18" t="s">
        <v>905</v>
      </c>
      <c r="E2071" s="18" t="s">
        <v>2072</v>
      </c>
      <c r="F2071" s="18">
        <v>630</v>
      </c>
      <c r="G2071" s="18">
        <v>187</v>
      </c>
      <c r="H2071" s="18">
        <v>85</v>
      </c>
      <c r="I2071" s="18">
        <v>358</v>
      </c>
    </row>
    <row r="2072" spans="1:9" x14ac:dyDescent="0.3">
      <c r="A2072" t="s">
        <v>1857</v>
      </c>
      <c r="B2072" s="18" t="s">
        <v>867</v>
      </c>
      <c r="C2072" s="18" t="s">
        <v>904</v>
      </c>
      <c r="D2072" s="18" t="s">
        <v>904</v>
      </c>
      <c r="E2072" s="18" t="s">
        <v>2072</v>
      </c>
      <c r="F2072" s="18">
        <v>802</v>
      </c>
      <c r="G2072" s="18">
        <v>340</v>
      </c>
      <c r="H2072" s="18">
        <v>58</v>
      </c>
      <c r="I2072" s="18">
        <v>404</v>
      </c>
    </row>
    <row r="2073" spans="1:9" x14ac:dyDescent="0.3">
      <c r="A2073" t="s">
        <v>1149</v>
      </c>
      <c r="B2073" s="18" t="s">
        <v>867</v>
      </c>
      <c r="C2073" s="18" t="s">
        <v>885</v>
      </c>
      <c r="D2073" s="18" t="s">
        <v>886</v>
      </c>
      <c r="E2073" s="18" t="s">
        <v>2072</v>
      </c>
      <c r="F2073" s="18">
        <v>1052</v>
      </c>
      <c r="G2073" s="18">
        <v>309</v>
      </c>
      <c r="H2073" s="18">
        <v>44</v>
      </c>
      <c r="I2073" s="18">
        <v>699</v>
      </c>
    </row>
    <row r="2074" spans="1:9" x14ac:dyDescent="0.3">
      <c r="A2074" t="s">
        <v>1848</v>
      </c>
      <c r="B2074" s="18" t="s">
        <v>867</v>
      </c>
      <c r="C2074" s="18" t="s">
        <v>885</v>
      </c>
      <c r="D2074" s="18" t="s">
        <v>179</v>
      </c>
      <c r="E2074" s="18" t="s">
        <v>2072</v>
      </c>
      <c r="F2074" s="18">
        <v>744</v>
      </c>
      <c r="G2074" s="18">
        <v>146</v>
      </c>
      <c r="H2074" s="18">
        <v>49</v>
      </c>
      <c r="I2074" s="18">
        <v>549</v>
      </c>
    </row>
    <row r="2075" spans="1:9" x14ac:dyDescent="0.3">
      <c r="A2075" t="s">
        <v>1849</v>
      </c>
      <c r="B2075" s="18" t="s">
        <v>867</v>
      </c>
      <c r="C2075" s="18" t="s">
        <v>885</v>
      </c>
      <c r="D2075" s="18" t="s">
        <v>887</v>
      </c>
      <c r="E2075" s="18" t="s">
        <v>2072</v>
      </c>
      <c r="F2075" s="18">
        <v>431</v>
      </c>
      <c r="G2075" s="18">
        <v>99</v>
      </c>
      <c r="H2075" s="18">
        <v>23</v>
      </c>
      <c r="I2075" s="18">
        <v>309</v>
      </c>
    </row>
    <row r="2076" spans="1:9" x14ac:dyDescent="0.3">
      <c r="A2076" t="s">
        <v>1209</v>
      </c>
      <c r="B2076" s="18" t="s">
        <v>867</v>
      </c>
      <c r="C2076" s="18" t="s">
        <v>888</v>
      </c>
      <c r="D2076" s="18" t="s">
        <v>889</v>
      </c>
      <c r="E2076" s="18" t="s">
        <v>2072</v>
      </c>
      <c r="F2076" s="18">
        <v>1020</v>
      </c>
      <c r="G2076" s="18">
        <v>323</v>
      </c>
      <c r="H2076" s="18">
        <v>41</v>
      </c>
      <c r="I2076" s="18">
        <v>656</v>
      </c>
    </row>
    <row r="2077" spans="1:9" x14ac:dyDescent="0.3">
      <c r="A2077" t="s">
        <v>1234</v>
      </c>
      <c r="B2077" s="18" t="s">
        <v>867</v>
      </c>
      <c r="C2077" s="18" t="s">
        <v>888</v>
      </c>
      <c r="D2077" s="18" t="s">
        <v>890</v>
      </c>
      <c r="E2077" s="18" t="s">
        <v>2072</v>
      </c>
      <c r="F2077" s="18">
        <v>1408</v>
      </c>
      <c r="G2077" s="18">
        <v>473</v>
      </c>
      <c r="H2077" s="18">
        <v>73</v>
      </c>
      <c r="I2077" s="18">
        <v>862</v>
      </c>
    </row>
    <row r="2078" spans="1:9" x14ac:dyDescent="0.3">
      <c r="A2078" t="s">
        <v>1253</v>
      </c>
      <c r="B2078" s="18" t="s">
        <v>867</v>
      </c>
      <c r="C2078" s="18" t="s">
        <v>888</v>
      </c>
      <c r="D2078" s="18" t="s">
        <v>888</v>
      </c>
      <c r="E2078" s="18" t="s">
        <v>2072</v>
      </c>
      <c r="F2078" s="18">
        <v>5955</v>
      </c>
      <c r="G2078" s="18">
        <v>2700</v>
      </c>
      <c r="H2078" s="18">
        <v>490</v>
      </c>
      <c r="I2078" s="18">
        <v>2765</v>
      </c>
    </row>
    <row r="2079" spans="1:9" x14ac:dyDescent="0.3">
      <c r="A2079" t="s">
        <v>1838</v>
      </c>
      <c r="B2079" s="18" t="s">
        <v>867</v>
      </c>
      <c r="C2079" s="18" t="s">
        <v>868</v>
      </c>
      <c r="D2079" s="18" t="s">
        <v>869</v>
      </c>
      <c r="E2079" s="18" t="s">
        <v>2072</v>
      </c>
      <c r="F2079" s="18">
        <v>1349</v>
      </c>
      <c r="G2079" s="18">
        <v>477</v>
      </c>
      <c r="H2079" s="18">
        <v>110</v>
      </c>
      <c r="I2079" s="18">
        <v>762</v>
      </c>
    </row>
    <row r="2080" spans="1:9" x14ac:dyDescent="0.3">
      <c r="A2080" t="s">
        <v>1839</v>
      </c>
      <c r="B2080" s="18" t="s">
        <v>867</v>
      </c>
      <c r="C2080" s="18" t="s">
        <v>868</v>
      </c>
      <c r="D2080" s="18" t="s">
        <v>870</v>
      </c>
      <c r="E2080" s="18" t="s">
        <v>2072</v>
      </c>
      <c r="F2080" s="18">
        <v>1329</v>
      </c>
      <c r="G2080" s="18">
        <v>461</v>
      </c>
      <c r="H2080" s="18">
        <v>114</v>
      </c>
      <c r="I2080" s="18">
        <v>754</v>
      </c>
    </row>
    <row r="2081" spans="1:9" x14ac:dyDescent="0.3">
      <c r="A2081" t="s">
        <v>2033</v>
      </c>
      <c r="B2081" s="18" t="s">
        <v>867</v>
      </c>
      <c r="C2081" s="18" t="s">
        <v>868</v>
      </c>
      <c r="D2081" s="18" t="s">
        <v>871</v>
      </c>
      <c r="E2081" s="18" t="s">
        <v>2072</v>
      </c>
      <c r="F2081" s="18">
        <v>298</v>
      </c>
      <c r="G2081" s="18">
        <v>68</v>
      </c>
      <c r="H2081" s="18">
        <v>3</v>
      </c>
      <c r="I2081" s="18">
        <v>227</v>
      </c>
    </row>
    <row r="2082" spans="1:9" x14ac:dyDescent="0.3">
      <c r="A2082" t="s">
        <v>1840</v>
      </c>
      <c r="B2082" s="18" t="s">
        <v>867</v>
      </c>
      <c r="C2082" s="18" t="s">
        <v>868</v>
      </c>
      <c r="D2082" s="18" t="s">
        <v>431</v>
      </c>
      <c r="E2082" s="18" t="s">
        <v>2072</v>
      </c>
      <c r="F2082" s="18">
        <v>231</v>
      </c>
      <c r="G2082" s="18">
        <v>60</v>
      </c>
      <c r="H2082" s="18">
        <v>11</v>
      </c>
      <c r="I2082" s="18">
        <v>160</v>
      </c>
    </row>
    <row r="2083" spans="1:9" x14ac:dyDescent="0.3">
      <c r="A2083" t="s">
        <v>1842</v>
      </c>
      <c r="B2083" s="18" t="s">
        <v>867</v>
      </c>
      <c r="C2083" s="18" t="s">
        <v>868</v>
      </c>
      <c r="D2083" s="18" t="s">
        <v>873</v>
      </c>
      <c r="E2083" s="18" t="s">
        <v>2072</v>
      </c>
      <c r="F2083" s="18">
        <v>650</v>
      </c>
      <c r="G2083" s="18">
        <v>162</v>
      </c>
      <c r="H2083" s="18">
        <v>39</v>
      </c>
      <c r="I2083" s="18">
        <v>449</v>
      </c>
    </row>
    <row r="2084" spans="1:9" x14ac:dyDescent="0.3">
      <c r="A2084" t="s">
        <v>1841</v>
      </c>
      <c r="B2084" s="18" t="s">
        <v>867</v>
      </c>
      <c r="C2084" s="18" t="s">
        <v>868</v>
      </c>
      <c r="D2084" s="18" t="s">
        <v>872</v>
      </c>
      <c r="E2084" s="18" t="s">
        <v>2072</v>
      </c>
      <c r="F2084" s="18">
        <v>620</v>
      </c>
      <c r="G2084" s="18">
        <v>221</v>
      </c>
      <c r="H2084" s="18">
        <v>64</v>
      </c>
      <c r="I2084" s="18">
        <v>335</v>
      </c>
    </row>
    <row r="2085" spans="1:9" x14ac:dyDescent="0.3">
      <c r="A2085" t="s">
        <v>1380</v>
      </c>
      <c r="B2085" s="18" t="s">
        <v>867</v>
      </c>
      <c r="C2085" s="18" t="s">
        <v>868</v>
      </c>
      <c r="D2085" s="18" t="s">
        <v>868</v>
      </c>
      <c r="E2085" s="18" t="s">
        <v>2072</v>
      </c>
      <c r="F2085" s="18">
        <v>6762</v>
      </c>
      <c r="G2085" s="18">
        <v>3611</v>
      </c>
      <c r="H2085" s="18">
        <v>484</v>
      </c>
      <c r="I2085" s="18">
        <v>2667</v>
      </c>
    </row>
  </sheetData>
  <sortState xmlns:xlrd2="http://schemas.microsoft.com/office/spreadsheetml/2017/richdata2" ref="B2:I1043">
    <sortCondition ref="B2:B1043"/>
    <sortCondition ref="C2:C1043"/>
    <sortCondition ref="D2:D10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1BA4-3BB6-45E7-9924-590D8CE49D50}">
  <sheetPr filterMode="1"/>
  <dimension ref="A1:O448"/>
  <sheetViews>
    <sheetView tabSelected="1" topLeftCell="B1" zoomScale="113" workbookViewId="0">
      <selection activeCell="K443" sqref="K443"/>
    </sheetView>
  </sheetViews>
  <sheetFormatPr baseColWidth="10" defaultColWidth="8.88671875" defaultRowHeight="14.4" x14ac:dyDescent="0.3"/>
  <cols>
    <col min="3" max="3" width="37.6640625" bestFit="1" customWidth="1"/>
    <col min="4" max="4" width="9" style="7" bestFit="1" customWidth="1"/>
    <col min="5" max="5" width="13.109375" style="7" bestFit="1" customWidth="1"/>
    <col min="6" max="6" width="15.21875" style="7" bestFit="1" customWidth="1"/>
    <col min="7" max="7" width="17.44140625" style="7" bestFit="1" customWidth="1"/>
    <col min="8" max="8" width="14.44140625" style="7" bestFit="1" customWidth="1"/>
    <col min="9" max="9" width="12" bestFit="1" customWidth="1"/>
    <col min="10" max="10" width="12.21875" bestFit="1" customWidth="1"/>
  </cols>
  <sheetData>
    <row r="1" spans="1:10" x14ac:dyDescent="0.3">
      <c r="A1" s="1" t="s">
        <v>7</v>
      </c>
      <c r="B1" s="1" t="s">
        <v>8</v>
      </c>
      <c r="C1" s="1" t="s">
        <v>9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I1" s="8" t="s">
        <v>1006</v>
      </c>
      <c r="J1" s="8" t="s">
        <v>1007</v>
      </c>
    </row>
    <row r="2" spans="1:10" hidden="1" x14ac:dyDescent="0.3">
      <c r="A2" t="s">
        <v>645</v>
      </c>
      <c r="B2" t="s">
        <v>810</v>
      </c>
      <c r="C2" t="s">
        <v>812</v>
      </c>
      <c r="D2" s="7">
        <v>13.08257400657374</v>
      </c>
      <c r="E2" s="7">
        <v>6609</v>
      </c>
      <c r="F2" s="7">
        <v>37809881.190747537</v>
      </c>
      <c r="G2" s="7">
        <v>3</v>
      </c>
      <c r="H2" s="7">
        <v>249483315.1045115</v>
      </c>
      <c r="I2">
        <f>D2/E2</f>
        <v>1.9795088525607113E-3</v>
      </c>
      <c r="J2">
        <f>G2/F2</f>
        <v>7.9344338186762951E-8</v>
      </c>
    </row>
    <row r="3" spans="1:10" hidden="1" x14ac:dyDescent="0.3">
      <c r="A3" t="s">
        <v>645</v>
      </c>
      <c r="B3" t="s">
        <v>810</v>
      </c>
      <c r="C3" t="s">
        <v>813</v>
      </c>
      <c r="D3" s="7">
        <v>3.1989826263017238</v>
      </c>
      <c r="E3" s="7">
        <v>2126</v>
      </c>
      <c r="F3" s="7">
        <v>37555714.187867656</v>
      </c>
      <c r="G3" s="7">
        <v>12</v>
      </c>
      <c r="H3" s="7">
        <v>47091595.016204849</v>
      </c>
      <c r="I3">
        <f t="shared" ref="I3:I66" si="0">D3/E3</f>
        <v>1.5046954968493526E-3</v>
      </c>
      <c r="J3">
        <f t="shared" ref="J3:J66" si="1">G3/F3</f>
        <v>3.1952527756419528E-7</v>
      </c>
    </row>
    <row r="4" spans="1:10" hidden="1" x14ac:dyDescent="0.3">
      <c r="A4" t="s">
        <v>225</v>
      </c>
      <c r="B4" t="s">
        <v>262</v>
      </c>
      <c r="C4" t="s">
        <v>38</v>
      </c>
      <c r="D4" s="7">
        <v>5.9583803612946094</v>
      </c>
      <c r="E4" s="7">
        <v>3433</v>
      </c>
      <c r="F4" s="7">
        <v>5131009.8275122549</v>
      </c>
      <c r="G4" s="7">
        <v>2</v>
      </c>
      <c r="H4" s="7">
        <v>44527393.227291971</v>
      </c>
      <c r="I4">
        <f t="shared" si="0"/>
        <v>1.7356190973768159E-3</v>
      </c>
      <c r="J4">
        <f t="shared" si="1"/>
        <v>3.8978681920975585E-7</v>
      </c>
    </row>
    <row r="5" spans="1:10" hidden="1" x14ac:dyDescent="0.3">
      <c r="A5" t="s">
        <v>453</v>
      </c>
      <c r="B5" t="s">
        <v>461</v>
      </c>
      <c r="C5" t="s">
        <v>463</v>
      </c>
      <c r="D5" s="7">
        <v>7.8299373980205296</v>
      </c>
      <c r="E5" s="7">
        <v>1687</v>
      </c>
      <c r="F5" s="7">
        <v>766388.08167892147</v>
      </c>
      <c r="G5" s="7">
        <v>1</v>
      </c>
      <c r="H5" s="7">
        <v>35570662.134765863</v>
      </c>
      <c r="I5">
        <f t="shared" si="0"/>
        <v>4.6413381138236693E-3</v>
      </c>
      <c r="J5">
        <f t="shared" si="1"/>
        <v>1.3048219614915022E-6</v>
      </c>
    </row>
    <row r="6" spans="1:10" hidden="1" x14ac:dyDescent="0.3">
      <c r="A6" t="s">
        <v>117</v>
      </c>
      <c r="B6" t="s">
        <v>126</v>
      </c>
      <c r="C6" t="s">
        <v>128</v>
      </c>
      <c r="D6" s="7">
        <v>9.5349156714215919</v>
      </c>
      <c r="E6" s="7">
        <v>1537</v>
      </c>
      <c r="F6" s="7">
        <v>1662452.0013480389</v>
      </c>
      <c r="G6" s="7">
        <v>3</v>
      </c>
      <c r="H6" s="7">
        <v>34377227.587594032</v>
      </c>
      <c r="I6">
        <f t="shared" si="0"/>
        <v>6.2035885955898451E-3</v>
      </c>
      <c r="J6">
        <f t="shared" si="1"/>
        <v>1.8045633784117548E-6</v>
      </c>
    </row>
    <row r="7" spans="1:10" hidden="1" x14ac:dyDescent="0.3">
      <c r="A7" t="s">
        <v>915</v>
      </c>
      <c r="B7" t="s">
        <v>935</v>
      </c>
      <c r="C7" t="s">
        <v>938</v>
      </c>
      <c r="D7" s="7">
        <v>12.701983655635059</v>
      </c>
      <c r="E7" s="7">
        <v>3823</v>
      </c>
      <c r="F7" s="7">
        <v>744975.734375</v>
      </c>
      <c r="G7" s="7">
        <v>1</v>
      </c>
      <c r="H7" s="7">
        <v>24751947.689971171</v>
      </c>
      <c r="I7">
        <f t="shared" si="0"/>
        <v>3.3225173046390424E-3</v>
      </c>
      <c r="J7">
        <f t="shared" si="1"/>
        <v>1.3423256004961739E-6</v>
      </c>
    </row>
    <row r="8" spans="1:10" hidden="1" x14ac:dyDescent="0.3">
      <c r="A8" t="s">
        <v>933</v>
      </c>
      <c r="B8" t="s">
        <v>933</v>
      </c>
      <c r="C8" t="s">
        <v>288</v>
      </c>
      <c r="D8" s="7">
        <v>1.8721292289324061</v>
      </c>
      <c r="E8" s="7">
        <v>4198</v>
      </c>
      <c r="F8" s="7">
        <v>5458871.03125</v>
      </c>
      <c r="G8" s="7">
        <v>1</v>
      </c>
      <c r="H8" s="7">
        <v>24344240.149060301</v>
      </c>
      <c r="I8">
        <f t="shared" si="0"/>
        <v>4.4595741518161172E-4</v>
      </c>
      <c r="J8">
        <f t="shared" si="1"/>
        <v>1.8318806109823316E-7</v>
      </c>
    </row>
    <row r="9" spans="1:10" hidden="1" x14ac:dyDescent="0.3">
      <c r="A9" t="s">
        <v>667</v>
      </c>
      <c r="B9" t="s">
        <v>691</v>
      </c>
      <c r="C9" t="s">
        <v>279</v>
      </c>
      <c r="D9" s="7">
        <v>0.57658563841726085</v>
      </c>
      <c r="E9" s="7">
        <v>331</v>
      </c>
      <c r="F9" s="7">
        <v>1123442.8039828429</v>
      </c>
      <c r="G9" s="7">
        <v>1</v>
      </c>
      <c r="H9" s="7">
        <v>19569818.319024932</v>
      </c>
      <c r="I9">
        <f t="shared" si="0"/>
        <v>1.7419505692364376E-3</v>
      </c>
      <c r="J9">
        <f t="shared" si="1"/>
        <v>8.9012097140574308E-7</v>
      </c>
    </row>
    <row r="10" spans="1:10" hidden="1" x14ac:dyDescent="0.3">
      <c r="A10" t="s">
        <v>225</v>
      </c>
      <c r="B10" t="s">
        <v>226</v>
      </c>
      <c r="C10" t="s">
        <v>229</v>
      </c>
      <c r="D10" s="7">
        <v>5.3556455664325444</v>
      </c>
      <c r="E10" s="7">
        <v>3415</v>
      </c>
      <c r="F10" s="7">
        <v>7832231.9839460785</v>
      </c>
      <c r="G10" s="7">
        <v>7</v>
      </c>
      <c r="H10" s="7">
        <v>17547232.169040781</v>
      </c>
      <c r="I10">
        <f t="shared" si="0"/>
        <v>1.5682710297020628E-3</v>
      </c>
      <c r="J10">
        <f t="shared" si="1"/>
        <v>8.9374267952584582E-7</v>
      </c>
    </row>
    <row r="11" spans="1:10" hidden="1" x14ac:dyDescent="0.3">
      <c r="A11" t="s">
        <v>13</v>
      </c>
      <c r="B11" t="s">
        <v>52</v>
      </c>
      <c r="C11" t="s">
        <v>55</v>
      </c>
      <c r="D11" s="7">
        <v>4.0625581236297128</v>
      </c>
      <c r="E11" s="7">
        <v>3520</v>
      </c>
      <c r="F11" s="7">
        <v>4615263.770710784</v>
      </c>
      <c r="G11" s="7">
        <v>4</v>
      </c>
      <c r="H11" s="7">
        <v>13316603.21334872</v>
      </c>
      <c r="I11">
        <f t="shared" si="0"/>
        <v>1.154135830576623E-3</v>
      </c>
      <c r="J11">
        <f t="shared" si="1"/>
        <v>8.6668935920513406E-7</v>
      </c>
    </row>
    <row r="12" spans="1:10" hidden="1" x14ac:dyDescent="0.3">
      <c r="A12" t="s">
        <v>645</v>
      </c>
      <c r="B12" t="s">
        <v>796</v>
      </c>
      <c r="C12" t="s">
        <v>799</v>
      </c>
      <c r="D12" s="7">
        <v>20.572087143930201</v>
      </c>
      <c r="E12" s="7">
        <v>3318</v>
      </c>
      <c r="F12" s="7">
        <v>11740482.456188731</v>
      </c>
      <c r="G12" s="7">
        <v>55</v>
      </c>
      <c r="H12" s="7">
        <v>13235039.08162082</v>
      </c>
      <c r="I12">
        <f t="shared" si="0"/>
        <v>6.2001468185443644E-3</v>
      </c>
      <c r="J12">
        <f t="shared" si="1"/>
        <v>4.6846456442689025E-6</v>
      </c>
    </row>
    <row r="13" spans="1:10" hidden="1" x14ac:dyDescent="0.3">
      <c r="A13" t="s">
        <v>13</v>
      </c>
      <c r="B13" t="s">
        <v>14</v>
      </c>
      <c r="C13" t="s">
        <v>20</v>
      </c>
      <c r="D13" s="7">
        <v>9.9477182981823464</v>
      </c>
      <c r="E13" s="7">
        <v>7818</v>
      </c>
      <c r="F13" s="7">
        <v>6058698.2280024514</v>
      </c>
      <c r="G13" s="7">
        <v>6</v>
      </c>
      <c r="H13" s="7">
        <v>12848602.20556514</v>
      </c>
      <c r="I13">
        <f t="shared" si="0"/>
        <v>1.2724121640038815E-3</v>
      </c>
      <c r="J13">
        <f t="shared" si="1"/>
        <v>9.9031174258999137E-7</v>
      </c>
    </row>
    <row r="14" spans="1:10" hidden="1" x14ac:dyDescent="0.3">
      <c r="A14" t="s">
        <v>149</v>
      </c>
      <c r="B14" t="s">
        <v>150</v>
      </c>
      <c r="C14" t="s">
        <v>151</v>
      </c>
      <c r="D14" s="7">
        <v>1.4501347927188271</v>
      </c>
      <c r="E14" s="7">
        <v>2209</v>
      </c>
      <c r="F14" s="7">
        <v>1437278.125061275</v>
      </c>
      <c r="G14" s="7">
        <v>1</v>
      </c>
      <c r="H14" s="7">
        <v>9435251.3171798792</v>
      </c>
      <c r="I14">
        <f t="shared" si="0"/>
        <v>6.5646663319095841E-4</v>
      </c>
      <c r="J14">
        <f t="shared" si="1"/>
        <v>6.9575956285939256E-7</v>
      </c>
    </row>
    <row r="15" spans="1:10" hidden="1" x14ac:dyDescent="0.3">
      <c r="A15" t="s">
        <v>117</v>
      </c>
      <c r="B15" t="s">
        <v>118</v>
      </c>
      <c r="C15" t="s">
        <v>119</v>
      </c>
      <c r="D15" s="7">
        <v>6.1435468716895523</v>
      </c>
      <c r="E15" s="7">
        <v>3776</v>
      </c>
      <c r="F15" s="7">
        <v>3971685.2929534321</v>
      </c>
      <c r="G15" s="7">
        <v>7</v>
      </c>
      <c r="H15" s="7">
        <v>9231323.6822258886</v>
      </c>
      <c r="I15">
        <f t="shared" si="0"/>
        <v>1.6269986418669365E-3</v>
      </c>
      <c r="J15">
        <f t="shared" si="1"/>
        <v>1.76247599788921E-6</v>
      </c>
    </row>
    <row r="16" spans="1:10" hidden="1" x14ac:dyDescent="0.3">
      <c r="A16" t="s">
        <v>225</v>
      </c>
      <c r="B16" t="s">
        <v>237</v>
      </c>
      <c r="C16" t="s">
        <v>239</v>
      </c>
      <c r="D16" s="7">
        <v>1.3347510868252279</v>
      </c>
      <c r="E16" s="7">
        <v>1903</v>
      </c>
      <c r="F16" s="7">
        <v>1240713.859375</v>
      </c>
      <c r="G16" s="7">
        <v>1</v>
      </c>
      <c r="H16" s="7">
        <v>8702281.5146605577</v>
      </c>
      <c r="I16">
        <f t="shared" si="0"/>
        <v>7.0139310920926319E-4</v>
      </c>
      <c r="J16">
        <f t="shared" si="1"/>
        <v>8.0598761144148273E-7</v>
      </c>
    </row>
    <row r="17" spans="1:10" hidden="1" x14ac:dyDescent="0.3">
      <c r="A17" t="s">
        <v>117</v>
      </c>
      <c r="B17" t="s">
        <v>146</v>
      </c>
      <c r="C17" t="s">
        <v>147</v>
      </c>
      <c r="D17" s="7">
        <v>4.0794528722969474</v>
      </c>
      <c r="E17" s="7">
        <v>1857</v>
      </c>
      <c r="F17" s="7">
        <v>1111779.601776961</v>
      </c>
      <c r="G17" s="7">
        <v>3</v>
      </c>
      <c r="H17" s="7">
        <v>8141181.9957461478</v>
      </c>
      <c r="I17">
        <f t="shared" si="0"/>
        <v>2.1967974541179038E-3</v>
      </c>
      <c r="J17">
        <f t="shared" si="1"/>
        <v>2.6983765444203959E-6</v>
      </c>
    </row>
    <row r="18" spans="1:10" hidden="1" x14ac:dyDescent="0.3">
      <c r="A18" t="s">
        <v>667</v>
      </c>
      <c r="B18" t="s">
        <v>720</v>
      </c>
      <c r="C18" t="s">
        <v>720</v>
      </c>
      <c r="D18" s="7">
        <v>0.9028170350969712</v>
      </c>
      <c r="E18" s="7">
        <v>2377</v>
      </c>
      <c r="F18" s="7">
        <v>1737329.15625</v>
      </c>
      <c r="G18" s="7">
        <v>1</v>
      </c>
      <c r="H18" s="7">
        <v>6598613.2008125689</v>
      </c>
      <c r="I18">
        <f t="shared" si="0"/>
        <v>3.7981364539207876E-4</v>
      </c>
      <c r="J18">
        <f t="shared" si="1"/>
        <v>5.7559616518408387E-7</v>
      </c>
    </row>
    <row r="19" spans="1:10" hidden="1" x14ac:dyDescent="0.3">
      <c r="A19" t="s">
        <v>225</v>
      </c>
      <c r="B19" t="s">
        <v>226</v>
      </c>
      <c r="C19" t="s">
        <v>231</v>
      </c>
      <c r="D19" s="7">
        <v>8.6276975874389965</v>
      </c>
      <c r="E19" s="7">
        <v>12283</v>
      </c>
      <c r="F19" s="7">
        <v>15910811.790747549</v>
      </c>
      <c r="G19" s="7">
        <v>17</v>
      </c>
      <c r="H19" s="7">
        <v>6574063.2677985635</v>
      </c>
      <c r="I19">
        <f t="shared" si="0"/>
        <v>7.0240963831629053E-4</v>
      </c>
      <c r="J19">
        <f t="shared" si="1"/>
        <v>1.0684558540178218E-6</v>
      </c>
    </row>
    <row r="20" spans="1:10" hidden="1" x14ac:dyDescent="0.3">
      <c r="A20" t="s">
        <v>117</v>
      </c>
      <c r="B20" t="s">
        <v>118</v>
      </c>
      <c r="C20" t="s">
        <v>122</v>
      </c>
      <c r="D20" s="7">
        <v>7.9933064444161666</v>
      </c>
      <c r="E20" s="7">
        <v>4111</v>
      </c>
      <c r="F20" s="7">
        <v>2301502.4291053922</v>
      </c>
      <c r="G20" s="7">
        <v>7</v>
      </c>
      <c r="H20" s="7">
        <v>6392818.6393326577</v>
      </c>
      <c r="I20">
        <f t="shared" si="0"/>
        <v>1.9443703343264818E-3</v>
      </c>
      <c r="J20">
        <f t="shared" si="1"/>
        <v>3.0414914672590384E-6</v>
      </c>
    </row>
    <row r="21" spans="1:10" hidden="1" x14ac:dyDescent="0.3">
      <c r="A21" t="s">
        <v>13</v>
      </c>
      <c r="B21" t="s">
        <v>62</v>
      </c>
      <c r="C21" t="s">
        <v>63</v>
      </c>
      <c r="D21" s="7">
        <v>1.541113420810269</v>
      </c>
      <c r="E21" s="7">
        <v>787</v>
      </c>
      <c r="F21" s="7">
        <v>922821.51691176463</v>
      </c>
      <c r="G21" s="7">
        <v>3</v>
      </c>
      <c r="H21" s="7">
        <v>6023602.8154392662</v>
      </c>
      <c r="I21">
        <f t="shared" si="0"/>
        <v>1.9582127329228322E-3</v>
      </c>
      <c r="J21">
        <f t="shared" si="1"/>
        <v>3.2508994914201208E-6</v>
      </c>
    </row>
    <row r="22" spans="1:10" hidden="1" x14ac:dyDescent="0.3">
      <c r="A22" t="s">
        <v>823</v>
      </c>
      <c r="B22" t="s">
        <v>848</v>
      </c>
      <c r="C22" t="s">
        <v>849</v>
      </c>
      <c r="D22" s="7">
        <v>3.1774111311421258</v>
      </c>
      <c r="E22" s="7">
        <v>1726</v>
      </c>
      <c r="F22" s="7">
        <v>279404.68216911767</v>
      </c>
      <c r="G22" s="7">
        <v>1</v>
      </c>
      <c r="H22" s="7">
        <v>5143589.4972038362</v>
      </c>
      <c r="I22">
        <f t="shared" si="0"/>
        <v>1.840910272967628E-3</v>
      </c>
      <c r="J22">
        <f t="shared" si="1"/>
        <v>3.5790380899727423E-6</v>
      </c>
    </row>
    <row r="23" spans="1:10" hidden="1" x14ac:dyDescent="0.3">
      <c r="A23" t="s">
        <v>645</v>
      </c>
      <c r="B23" t="s">
        <v>796</v>
      </c>
      <c r="C23" t="s">
        <v>800</v>
      </c>
      <c r="D23" s="7">
        <v>16.20674768559368</v>
      </c>
      <c r="E23" s="7">
        <v>6282</v>
      </c>
      <c r="F23" s="7">
        <v>8346688.0025122548</v>
      </c>
      <c r="G23" s="7">
        <v>44</v>
      </c>
      <c r="H23" s="7">
        <v>4893949.0342930751</v>
      </c>
      <c r="I23">
        <f t="shared" si="0"/>
        <v>2.5798706917532122E-3</v>
      </c>
      <c r="J23">
        <f t="shared" si="1"/>
        <v>5.2715520200056019E-6</v>
      </c>
    </row>
    <row r="24" spans="1:10" hidden="1" x14ac:dyDescent="0.3">
      <c r="A24" t="s">
        <v>225</v>
      </c>
      <c r="B24" t="s">
        <v>226</v>
      </c>
      <c r="C24" t="s">
        <v>227</v>
      </c>
      <c r="D24" s="7">
        <v>2.6956563962872462</v>
      </c>
      <c r="E24" s="7">
        <v>2471</v>
      </c>
      <c r="F24" s="7">
        <v>13903216.8848652</v>
      </c>
      <c r="G24" s="7">
        <v>31</v>
      </c>
      <c r="H24" s="7">
        <v>4892664.00238322</v>
      </c>
      <c r="I24">
        <f t="shared" si="0"/>
        <v>1.0909171980118357E-3</v>
      </c>
      <c r="J24">
        <f t="shared" si="1"/>
        <v>2.2296998066502193E-6</v>
      </c>
    </row>
    <row r="25" spans="1:10" hidden="1" x14ac:dyDescent="0.3">
      <c r="A25" t="s">
        <v>645</v>
      </c>
      <c r="B25" t="s">
        <v>765</v>
      </c>
      <c r="C25" t="s">
        <v>776</v>
      </c>
      <c r="D25" s="7">
        <v>16.27437639260344</v>
      </c>
      <c r="E25" s="7">
        <v>21570</v>
      </c>
      <c r="F25" s="7">
        <v>15875354.22567402</v>
      </c>
      <c r="G25" s="7">
        <v>25</v>
      </c>
      <c r="H25" s="7">
        <v>4791126.3798706802</v>
      </c>
      <c r="I25">
        <f t="shared" si="0"/>
        <v>7.5449125603168471E-4</v>
      </c>
      <c r="J25">
        <f t="shared" si="1"/>
        <v>1.5747680111332178E-6</v>
      </c>
    </row>
    <row r="26" spans="1:10" hidden="1" x14ac:dyDescent="0.3">
      <c r="A26" t="s">
        <v>915</v>
      </c>
      <c r="B26" t="s">
        <v>916</v>
      </c>
      <c r="C26" t="s">
        <v>919</v>
      </c>
      <c r="D26" s="7">
        <v>1.8110611227100379</v>
      </c>
      <c r="E26" s="7">
        <v>6982</v>
      </c>
      <c r="F26" s="7">
        <v>1628229.6936887249</v>
      </c>
      <c r="G26" s="7">
        <v>1</v>
      </c>
      <c r="H26" s="7">
        <v>4223465.3352645729</v>
      </c>
      <c r="I26">
        <f t="shared" si="0"/>
        <v>2.5939002043970751E-4</v>
      </c>
      <c r="J26">
        <f t="shared" si="1"/>
        <v>6.1416396217079055E-7</v>
      </c>
    </row>
    <row r="27" spans="1:10" hidden="1" x14ac:dyDescent="0.3">
      <c r="A27" t="s">
        <v>13</v>
      </c>
      <c r="B27" t="s">
        <v>78</v>
      </c>
      <c r="C27" t="s">
        <v>78</v>
      </c>
      <c r="D27" s="7">
        <v>7.524342140480444</v>
      </c>
      <c r="E27" s="7">
        <v>7227</v>
      </c>
      <c r="F27" s="7">
        <v>4357224.5248774486</v>
      </c>
      <c r="G27" s="7">
        <v>11</v>
      </c>
      <c r="H27" s="7">
        <v>4124086.2055260292</v>
      </c>
      <c r="I27">
        <f t="shared" si="0"/>
        <v>1.0411432323897114E-3</v>
      </c>
      <c r="J27">
        <f t="shared" si="1"/>
        <v>2.5245428453814613E-6</v>
      </c>
    </row>
    <row r="28" spans="1:10" hidden="1" x14ac:dyDescent="0.3">
      <c r="A28" t="s">
        <v>117</v>
      </c>
      <c r="B28" t="s">
        <v>142</v>
      </c>
      <c r="C28" t="s">
        <v>143</v>
      </c>
      <c r="D28" s="7">
        <v>1.937771826499372</v>
      </c>
      <c r="E28" s="7">
        <v>4957</v>
      </c>
      <c r="F28" s="7">
        <v>972054.97444852942</v>
      </c>
      <c r="G28" s="7">
        <v>1</v>
      </c>
      <c r="H28" s="7">
        <v>3799920.8055173028</v>
      </c>
      <c r="I28">
        <f t="shared" si="0"/>
        <v>3.9091624500693401E-4</v>
      </c>
      <c r="J28">
        <f t="shared" si="1"/>
        <v>1.02874840033335E-6</v>
      </c>
    </row>
    <row r="29" spans="1:10" hidden="1" x14ac:dyDescent="0.3">
      <c r="A29" t="s">
        <v>280</v>
      </c>
      <c r="B29" t="s">
        <v>281</v>
      </c>
      <c r="C29" t="s">
        <v>282</v>
      </c>
      <c r="D29" s="7">
        <v>2.1829774485445701</v>
      </c>
      <c r="E29" s="7">
        <v>4760</v>
      </c>
      <c r="F29" s="7">
        <v>801035.21911764704</v>
      </c>
      <c r="G29" s="7">
        <v>1</v>
      </c>
      <c r="H29" s="7">
        <v>3673617.2664365168</v>
      </c>
      <c r="I29">
        <f t="shared" si="0"/>
        <v>4.586087076774307E-4</v>
      </c>
      <c r="J29">
        <f t="shared" si="1"/>
        <v>1.2483845605459344E-6</v>
      </c>
    </row>
    <row r="30" spans="1:10" hidden="1" x14ac:dyDescent="0.3">
      <c r="A30" t="s">
        <v>645</v>
      </c>
      <c r="B30" t="s">
        <v>765</v>
      </c>
      <c r="C30" t="s">
        <v>778</v>
      </c>
      <c r="D30" s="7">
        <v>21.03945169839794</v>
      </c>
      <c r="E30" s="7">
        <v>15832</v>
      </c>
      <c r="F30" s="7">
        <v>5069740.7517156862</v>
      </c>
      <c r="G30" s="7">
        <v>21</v>
      </c>
      <c r="H30" s="7">
        <v>3208227.0287158559</v>
      </c>
      <c r="I30">
        <f t="shared" si="0"/>
        <v>1.328919384689107E-3</v>
      </c>
      <c r="J30">
        <f t="shared" si="1"/>
        <v>4.1422236418880484E-6</v>
      </c>
    </row>
    <row r="31" spans="1:10" hidden="1" x14ac:dyDescent="0.3">
      <c r="A31" t="s">
        <v>225</v>
      </c>
      <c r="B31" t="s">
        <v>226</v>
      </c>
      <c r="C31" t="s">
        <v>234</v>
      </c>
      <c r="D31" s="7">
        <v>1.8380273217293881</v>
      </c>
      <c r="E31" s="7">
        <v>4897</v>
      </c>
      <c r="F31" s="7">
        <v>12037907.272610299</v>
      </c>
      <c r="G31" s="7">
        <v>15</v>
      </c>
      <c r="H31" s="7">
        <v>3012184.6659182659</v>
      </c>
      <c r="I31">
        <f t="shared" si="0"/>
        <v>3.7533741509687322E-4</v>
      </c>
      <c r="J31">
        <f t="shared" si="1"/>
        <v>1.2460637601129652E-6</v>
      </c>
    </row>
    <row r="32" spans="1:10" hidden="1" x14ac:dyDescent="0.3">
      <c r="A32" t="s">
        <v>823</v>
      </c>
      <c r="B32" t="s">
        <v>845</v>
      </c>
      <c r="C32" t="s">
        <v>846</v>
      </c>
      <c r="D32" s="7">
        <v>8.8901720114801286</v>
      </c>
      <c r="E32" s="7">
        <v>1510</v>
      </c>
      <c r="F32" s="7">
        <v>1658933.4121936271</v>
      </c>
      <c r="G32" s="7">
        <v>34</v>
      </c>
      <c r="H32" s="7">
        <v>2872653.562522986</v>
      </c>
      <c r="I32">
        <f t="shared" si="0"/>
        <v>5.8875311334305484E-3</v>
      </c>
      <c r="J32">
        <f t="shared" si="1"/>
        <v>2.0495096276975578E-5</v>
      </c>
    </row>
    <row r="33" spans="1:10" hidden="1" x14ac:dyDescent="0.3">
      <c r="A33" t="s">
        <v>13</v>
      </c>
      <c r="B33" t="s">
        <v>52</v>
      </c>
      <c r="C33" t="s">
        <v>57</v>
      </c>
      <c r="D33" s="7">
        <v>4.664992863061129</v>
      </c>
      <c r="E33" s="7">
        <v>2949</v>
      </c>
      <c r="F33" s="7">
        <v>1499862.6087622549</v>
      </c>
      <c r="G33" s="7">
        <v>9</v>
      </c>
      <c r="H33" s="7">
        <v>2636241.424757231</v>
      </c>
      <c r="I33">
        <f t="shared" si="0"/>
        <v>1.5818897467145233E-3</v>
      </c>
      <c r="J33">
        <f t="shared" si="1"/>
        <v>6.0005496152925301E-6</v>
      </c>
    </row>
    <row r="34" spans="1:10" hidden="1" x14ac:dyDescent="0.3">
      <c r="A34" t="s">
        <v>341</v>
      </c>
      <c r="B34" t="s">
        <v>350</v>
      </c>
      <c r="C34" t="s">
        <v>353</v>
      </c>
      <c r="D34" s="7">
        <v>1.13428381022041</v>
      </c>
      <c r="E34" s="7">
        <v>9509</v>
      </c>
      <c r="F34" s="7">
        <v>2178071.73927696</v>
      </c>
      <c r="G34" s="7">
        <v>1</v>
      </c>
      <c r="H34" s="7">
        <v>2598119.1622257489</v>
      </c>
      <c r="I34">
        <f t="shared" si="0"/>
        <v>1.1928528869706699E-4</v>
      </c>
      <c r="J34">
        <f t="shared" si="1"/>
        <v>4.591217001566548E-7</v>
      </c>
    </row>
    <row r="35" spans="1:10" hidden="1" x14ac:dyDescent="0.3">
      <c r="A35" t="s">
        <v>13</v>
      </c>
      <c r="B35" t="s">
        <v>52</v>
      </c>
      <c r="C35" t="s">
        <v>52</v>
      </c>
      <c r="D35" s="7">
        <v>5.3450526925207544</v>
      </c>
      <c r="E35" s="7">
        <v>12028</v>
      </c>
      <c r="F35" s="7">
        <v>13783198.116176469</v>
      </c>
      <c r="G35" s="7">
        <v>24</v>
      </c>
      <c r="H35" s="7">
        <v>2552097.8897300749</v>
      </c>
      <c r="I35">
        <f t="shared" si="0"/>
        <v>4.4438416133361778E-4</v>
      </c>
      <c r="J35">
        <f t="shared" si="1"/>
        <v>1.7412504556422732E-6</v>
      </c>
    </row>
    <row r="36" spans="1:10" hidden="1" x14ac:dyDescent="0.3">
      <c r="A36" t="s">
        <v>280</v>
      </c>
      <c r="B36" t="s">
        <v>312</v>
      </c>
      <c r="C36" t="s">
        <v>312</v>
      </c>
      <c r="D36" s="7">
        <v>3.8280340129623771</v>
      </c>
      <c r="E36" s="7">
        <v>21458</v>
      </c>
      <c r="F36" s="7">
        <v>2726098.625</v>
      </c>
      <c r="G36" s="7">
        <v>2</v>
      </c>
      <c r="H36" s="7">
        <v>2431633.4838265372</v>
      </c>
      <c r="I36">
        <f t="shared" si="0"/>
        <v>1.783965892889541E-4</v>
      </c>
      <c r="J36">
        <f t="shared" si="1"/>
        <v>7.3364917235890535E-7</v>
      </c>
    </row>
    <row r="37" spans="1:10" hidden="1" x14ac:dyDescent="0.3">
      <c r="A37" t="s">
        <v>13</v>
      </c>
      <c r="B37" t="s">
        <v>14</v>
      </c>
      <c r="C37" t="s">
        <v>28</v>
      </c>
      <c r="D37" s="7">
        <v>4.2263902481453641</v>
      </c>
      <c r="E37" s="7">
        <v>7352</v>
      </c>
      <c r="F37" s="7">
        <v>1678672.349142157</v>
      </c>
      <c r="G37" s="7">
        <v>4</v>
      </c>
      <c r="H37" s="7">
        <v>2412515.1136580789</v>
      </c>
      <c r="I37">
        <f t="shared" si="0"/>
        <v>5.74862656167759E-4</v>
      </c>
      <c r="J37">
        <f t="shared" si="1"/>
        <v>2.3828354604423542E-6</v>
      </c>
    </row>
    <row r="38" spans="1:10" hidden="1" x14ac:dyDescent="0.3">
      <c r="A38" t="s">
        <v>225</v>
      </c>
      <c r="B38" t="s">
        <v>226</v>
      </c>
      <c r="C38" t="s">
        <v>228</v>
      </c>
      <c r="D38" s="7">
        <v>3.8807149894439248</v>
      </c>
      <c r="E38" s="7">
        <v>6514</v>
      </c>
      <c r="F38" s="7">
        <v>17899607.348284312</v>
      </c>
      <c r="G38" s="7">
        <v>47</v>
      </c>
      <c r="H38" s="7">
        <v>2268870.14357448</v>
      </c>
      <c r="I38">
        <f t="shared" si="0"/>
        <v>5.9574992162172622E-4</v>
      </c>
      <c r="J38">
        <f t="shared" si="1"/>
        <v>2.6257559222104935E-6</v>
      </c>
    </row>
    <row r="39" spans="1:10" hidden="1" x14ac:dyDescent="0.3">
      <c r="A39" t="s">
        <v>13</v>
      </c>
      <c r="B39" t="s">
        <v>52</v>
      </c>
      <c r="C39" t="s">
        <v>59</v>
      </c>
      <c r="D39" s="7">
        <v>1.3794936135199249</v>
      </c>
      <c r="E39" s="7">
        <v>1859</v>
      </c>
      <c r="F39" s="7">
        <v>304464.94485294109</v>
      </c>
      <c r="G39" s="7">
        <v>1</v>
      </c>
      <c r="H39" s="7">
        <v>2259319.2413411969</v>
      </c>
      <c r="I39">
        <f t="shared" si="0"/>
        <v>7.4206219124256317E-4</v>
      </c>
      <c r="J39">
        <f t="shared" si="1"/>
        <v>3.2844503674569422E-6</v>
      </c>
    </row>
    <row r="40" spans="1:10" hidden="1" x14ac:dyDescent="0.3">
      <c r="A40" t="s">
        <v>492</v>
      </c>
      <c r="B40" t="s">
        <v>550</v>
      </c>
      <c r="C40" t="s">
        <v>551</v>
      </c>
      <c r="D40" s="7">
        <v>0.71181916183131488</v>
      </c>
      <c r="E40" s="7">
        <v>2349</v>
      </c>
      <c r="F40" s="7">
        <v>743550.78125</v>
      </c>
      <c r="G40" s="7">
        <v>1</v>
      </c>
      <c r="H40" s="7">
        <v>2253187.2877326282</v>
      </c>
      <c r="I40">
        <f t="shared" si="0"/>
        <v>3.0303072023470193E-4</v>
      </c>
      <c r="J40">
        <f t="shared" si="1"/>
        <v>1.3448980556766782E-6</v>
      </c>
    </row>
    <row r="41" spans="1:10" hidden="1" x14ac:dyDescent="0.3">
      <c r="A41" t="s">
        <v>645</v>
      </c>
      <c r="B41" t="s">
        <v>765</v>
      </c>
      <c r="C41" t="s">
        <v>795</v>
      </c>
      <c r="D41" s="7">
        <v>11.97801969502507</v>
      </c>
      <c r="E41" s="7">
        <v>6455</v>
      </c>
      <c r="F41" s="7">
        <v>1778206.684375</v>
      </c>
      <c r="G41" s="7">
        <v>15</v>
      </c>
      <c r="H41" s="7">
        <v>2199782.5651710788</v>
      </c>
      <c r="I41">
        <f t="shared" si="0"/>
        <v>1.8556188528311495E-3</v>
      </c>
      <c r="J41">
        <f t="shared" si="1"/>
        <v>8.4354648600773688E-6</v>
      </c>
    </row>
    <row r="42" spans="1:10" hidden="1" x14ac:dyDescent="0.3">
      <c r="A42" t="s">
        <v>723</v>
      </c>
      <c r="B42" t="s">
        <v>736</v>
      </c>
      <c r="C42" t="s">
        <v>736</v>
      </c>
      <c r="D42" s="7">
        <v>1.773645167859256</v>
      </c>
      <c r="E42" s="7">
        <v>5894</v>
      </c>
      <c r="F42" s="7">
        <v>1402290.059742647</v>
      </c>
      <c r="G42" s="7">
        <v>2</v>
      </c>
      <c r="H42" s="7">
        <v>2109912.613165603</v>
      </c>
      <c r="I42">
        <f t="shared" si="0"/>
        <v>3.0092384931443094E-4</v>
      </c>
      <c r="J42">
        <f t="shared" si="1"/>
        <v>1.426238449103067E-6</v>
      </c>
    </row>
    <row r="43" spans="1:10" hidden="1" x14ac:dyDescent="0.3">
      <c r="A43" t="s">
        <v>13</v>
      </c>
      <c r="B43" t="s">
        <v>14</v>
      </c>
      <c r="C43" t="s">
        <v>26</v>
      </c>
      <c r="D43" s="7">
        <v>24.92380472323546</v>
      </c>
      <c r="E43" s="7">
        <v>28191</v>
      </c>
      <c r="F43" s="7">
        <v>8278236.9174019611</v>
      </c>
      <c r="G43" s="7">
        <v>36</v>
      </c>
      <c r="H43" s="7">
        <v>2033008.5683571701</v>
      </c>
      <c r="I43">
        <f t="shared" si="0"/>
        <v>8.8410502370385793E-4</v>
      </c>
      <c r="J43">
        <f t="shared" si="1"/>
        <v>4.3487520783952423E-6</v>
      </c>
    </row>
    <row r="44" spans="1:10" hidden="1" x14ac:dyDescent="0.3">
      <c r="A44" t="s">
        <v>453</v>
      </c>
      <c r="B44" t="s">
        <v>454</v>
      </c>
      <c r="C44" t="s">
        <v>138</v>
      </c>
      <c r="D44" s="7">
        <v>11.33138118092111</v>
      </c>
      <c r="E44" s="7">
        <v>22436</v>
      </c>
      <c r="F44" s="7">
        <v>4712280.7338235294</v>
      </c>
      <c r="G44" s="7">
        <v>12</v>
      </c>
      <c r="H44" s="7">
        <v>1983295.0476341981</v>
      </c>
      <c r="I44">
        <f t="shared" si="0"/>
        <v>5.0505353810488096E-4</v>
      </c>
      <c r="J44">
        <f t="shared" si="1"/>
        <v>2.5465375850524165E-6</v>
      </c>
    </row>
    <row r="45" spans="1:10" hidden="1" x14ac:dyDescent="0.3">
      <c r="A45" t="s">
        <v>117</v>
      </c>
      <c r="B45" t="s">
        <v>118</v>
      </c>
      <c r="C45" t="s">
        <v>121</v>
      </c>
      <c r="D45" s="7">
        <v>7.7933268777341027</v>
      </c>
      <c r="E45" s="7">
        <v>8990</v>
      </c>
      <c r="F45" s="7">
        <v>9746307.5666666664</v>
      </c>
      <c r="G45" s="7">
        <v>45</v>
      </c>
      <c r="H45" s="7">
        <v>1877546.9217146609</v>
      </c>
      <c r="I45">
        <f t="shared" si="0"/>
        <v>8.6688841799044522E-4</v>
      </c>
      <c r="J45">
        <f t="shared" si="1"/>
        <v>4.617133175019475E-6</v>
      </c>
    </row>
    <row r="46" spans="1:10" hidden="1" x14ac:dyDescent="0.3">
      <c r="A46" t="s">
        <v>117</v>
      </c>
      <c r="B46" t="s">
        <v>118</v>
      </c>
      <c r="C46" t="s">
        <v>109</v>
      </c>
      <c r="D46" s="7">
        <v>6.2614296192203218</v>
      </c>
      <c r="E46" s="7">
        <v>3782</v>
      </c>
      <c r="F46" s="7">
        <v>1885100.8011642159</v>
      </c>
      <c r="G46" s="7">
        <v>18</v>
      </c>
      <c r="H46" s="7">
        <v>1733860.0963078879</v>
      </c>
      <c r="I46">
        <f t="shared" si="0"/>
        <v>1.6555868903279538E-3</v>
      </c>
      <c r="J46">
        <f t="shared" si="1"/>
        <v>9.5485610047395952E-6</v>
      </c>
    </row>
    <row r="47" spans="1:10" hidden="1" x14ac:dyDescent="0.3">
      <c r="A47" t="s">
        <v>117</v>
      </c>
      <c r="B47" t="s">
        <v>118</v>
      </c>
      <c r="C47" t="s">
        <v>120</v>
      </c>
      <c r="D47" s="7">
        <v>2.5425710294281152</v>
      </c>
      <c r="E47" s="7">
        <v>9328</v>
      </c>
      <c r="F47" s="7">
        <v>5032109.4267769596</v>
      </c>
      <c r="G47" s="7">
        <v>8</v>
      </c>
      <c r="H47" s="7">
        <v>1714528.2543732871</v>
      </c>
      <c r="I47">
        <f t="shared" si="0"/>
        <v>2.7257408119941203E-4</v>
      </c>
      <c r="J47">
        <f t="shared" si="1"/>
        <v>1.5897905473657316E-6</v>
      </c>
    </row>
    <row r="48" spans="1:10" hidden="1" x14ac:dyDescent="0.3">
      <c r="A48" t="s">
        <v>13</v>
      </c>
      <c r="B48" t="s">
        <v>64</v>
      </c>
      <c r="C48" t="s">
        <v>64</v>
      </c>
      <c r="D48" s="7">
        <v>2.506061999059563</v>
      </c>
      <c r="E48" s="7">
        <v>10899</v>
      </c>
      <c r="F48" s="7">
        <v>8043268.3742034314</v>
      </c>
      <c r="G48" s="7">
        <v>11</v>
      </c>
      <c r="H48" s="7">
        <v>1681299.3035915571</v>
      </c>
      <c r="I48">
        <f t="shared" si="0"/>
        <v>2.2993503982563198E-4</v>
      </c>
      <c r="J48">
        <f t="shared" si="1"/>
        <v>1.3676032538314239E-6</v>
      </c>
    </row>
    <row r="49" spans="1:10" hidden="1" x14ac:dyDescent="0.3">
      <c r="A49" t="s">
        <v>149</v>
      </c>
      <c r="B49" t="s">
        <v>90</v>
      </c>
      <c r="C49" t="s">
        <v>163</v>
      </c>
      <c r="D49" s="7">
        <v>1.8523647941962511</v>
      </c>
      <c r="E49" s="7">
        <v>2361</v>
      </c>
      <c r="F49" s="7">
        <v>631992.45159313723</v>
      </c>
      <c r="G49" s="7">
        <v>3</v>
      </c>
      <c r="H49" s="7">
        <v>1652803.2860778</v>
      </c>
      <c r="I49">
        <f t="shared" si="0"/>
        <v>7.8456789250158881E-4</v>
      </c>
      <c r="J49">
        <f t="shared" si="1"/>
        <v>4.7468921384069531E-6</v>
      </c>
    </row>
    <row r="50" spans="1:10" hidden="1" x14ac:dyDescent="0.3">
      <c r="A50" t="s">
        <v>184</v>
      </c>
      <c r="B50" t="s">
        <v>211</v>
      </c>
      <c r="C50" t="s">
        <v>216</v>
      </c>
      <c r="D50" s="7">
        <v>5.4706115210228283</v>
      </c>
      <c r="E50" s="7">
        <v>4318</v>
      </c>
      <c r="F50" s="7">
        <v>2044691.788602941</v>
      </c>
      <c r="G50" s="7">
        <v>16</v>
      </c>
      <c r="H50" s="7">
        <v>1619053.157664431</v>
      </c>
      <c r="I50">
        <f t="shared" si="0"/>
        <v>1.2669318019969495E-3</v>
      </c>
      <c r="J50">
        <f t="shared" si="1"/>
        <v>7.8251402432305863E-6</v>
      </c>
    </row>
    <row r="51" spans="1:10" hidden="1" x14ac:dyDescent="0.3">
      <c r="A51" t="s">
        <v>453</v>
      </c>
      <c r="B51" t="s">
        <v>466</v>
      </c>
      <c r="C51" t="s">
        <v>471</v>
      </c>
      <c r="D51" s="7">
        <v>5.1977843170390718</v>
      </c>
      <c r="E51" s="7">
        <v>8637</v>
      </c>
      <c r="F51" s="7">
        <v>4291615.9738970594</v>
      </c>
      <c r="G51" s="7">
        <v>16</v>
      </c>
      <c r="H51" s="7">
        <v>1614195.7713815919</v>
      </c>
      <c r="I51">
        <f t="shared" si="0"/>
        <v>6.0180436691433046E-4</v>
      </c>
      <c r="J51">
        <f t="shared" si="1"/>
        <v>3.7281993769519376E-6</v>
      </c>
    </row>
    <row r="52" spans="1:10" hidden="1" x14ac:dyDescent="0.3">
      <c r="A52" t="s">
        <v>492</v>
      </c>
      <c r="B52" t="s">
        <v>550</v>
      </c>
      <c r="C52" t="s">
        <v>552</v>
      </c>
      <c r="D52" s="7">
        <v>1.198583537667026</v>
      </c>
      <c r="E52" s="7">
        <v>1019</v>
      </c>
      <c r="F52" s="7">
        <v>545341.08719362749</v>
      </c>
      <c r="G52" s="7">
        <v>4</v>
      </c>
      <c r="H52" s="7">
        <v>1603623.2814615311</v>
      </c>
      <c r="I52">
        <f t="shared" si="0"/>
        <v>1.1762350713120961E-3</v>
      </c>
      <c r="J52">
        <f t="shared" si="1"/>
        <v>7.3348590339751346E-6</v>
      </c>
    </row>
    <row r="53" spans="1:10" hidden="1" x14ac:dyDescent="0.3">
      <c r="A53" t="s">
        <v>13</v>
      </c>
      <c r="B53" t="s">
        <v>39</v>
      </c>
      <c r="C53" t="s">
        <v>44</v>
      </c>
      <c r="D53" s="7">
        <v>1.974968849809738</v>
      </c>
      <c r="E53" s="7">
        <v>4906</v>
      </c>
      <c r="F53" s="7">
        <v>397781.24528186268</v>
      </c>
      <c r="G53" s="7">
        <v>1</v>
      </c>
      <c r="H53" s="7">
        <v>1601315.875397892</v>
      </c>
      <c r="I53">
        <f t="shared" si="0"/>
        <v>4.0256193432730087E-4</v>
      </c>
      <c r="J53">
        <f t="shared" si="1"/>
        <v>2.5139445659169097E-6</v>
      </c>
    </row>
    <row r="54" spans="1:10" hidden="1" x14ac:dyDescent="0.3">
      <c r="A54" t="s">
        <v>492</v>
      </c>
      <c r="B54" t="s">
        <v>550</v>
      </c>
      <c r="C54" t="s">
        <v>555</v>
      </c>
      <c r="D54" s="7">
        <v>0.91633534384636095</v>
      </c>
      <c r="E54" s="7">
        <v>1162</v>
      </c>
      <c r="F54" s="7">
        <v>998323.5321078432</v>
      </c>
      <c r="G54" s="7">
        <v>5</v>
      </c>
      <c r="H54" s="7">
        <v>1574525.19288116</v>
      </c>
      <c r="I54">
        <f t="shared" si="0"/>
        <v>7.8858463325848617E-4</v>
      </c>
      <c r="J54">
        <f t="shared" si="1"/>
        <v>5.0083964157822523E-6</v>
      </c>
    </row>
    <row r="55" spans="1:10" hidden="1" x14ac:dyDescent="0.3">
      <c r="A55" t="s">
        <v>933</v>
      </c>
      <c r="B55" t="s">
        <v>933</v>
      </c>
      <c r="C55" t="s">
        <v>998</v>
      </c>
      <c r="D55" s="7">
        <v>0.99635045666023603</v>
      </c>
      <c r="E55" s="7">
        <v>21538</v>
      </c>
      <c r="F55" s="7">
        <v>3394763.1814338239</v>
      </c>
      <c r="G55" s="7">
        <v>1</v>
      </c>
      <c r="H55" s="7">
        <v>1570421.508995703</v>
      </c>
      <c r="I55">
        <f t="shared" si="0"/>
        <v>4.6260119633217382E-5</v>
      </c>
      <c r="J55">
        <f t="shared" si="1"/>
        <v>2.9457135786939829E-7</v>
      </c>
    </row>
    <row r="56" spans="1:10" hidden="1" x14ac:dyDescent="0.3">
      <c r="A56" t="s">
        <v>645</v>
      </c>
      <c r="B56" t="s">
        <v>810</v>
      </c>
      <c r="C56" t="s">
        <v>459</v>
      </c>
      <c r="D56" s="7">
        <v>4.1397454302914589</v>
      </c>
      <c r="E56" s="7">
        <v>4925</v>
      </c>
      <c r="F56" s="7">
        <v>10311875.14963235</v>
      </c>
      <c r="G56" s="7">
        <v>56</v>
      </c>
      <c r="H56" s="7">
        <v>1547807.760276526</v>
      </c>
      <c r="I56">
        <f t="shared" si="0"/>
        <v>8.4055744777491548E-4</v>
      </c>
      <c r="J56">
        <f t="shared" si="1"/>
        <v>5.430632080722639E-6</v>
      </c>
    </row>
    <row r="57" spans="1:10" hidden="1" x14ac:dyDescent="0.3">
      <c r="A57" t="s">
        <v>399</v>
      </c>
      <c r="B57" t="s">
        <v>291</v>
      </c>
      <c r="C57" t="s">
        <v>420</v>
      </c>
      <c r="D57" s="7">
        <v>5.8498380301395549</v>
      </c>
      <c r="E57" s="7">
        <v>3943</v>
      </c>
      <c r="F57" s="7">
        <v>308496.38909313717</v>
      </c>
      <c r="G57" s="7">
        <v>3</v>
      </c>
      <c r="H57" s="7">
        <v>1525618.3186049231</v>
      </c>
      <c r="I57">
        <f t="shared" si="0"/>
        <v>1.4836008192086114E-3</v>
      </c>
      <c r="J57">
        <f t="shared" si="1"/>
        <v>9.7245870812908593E-6</v>
      </c>
    </row>
    <row r="58" spans="1:10" hidden="1" x14ac:dyDescent="0.3">
      <c r="A58" t="s">
        <v>13</v>
      </c>
      <c r="B58" t="s">
        <v>52</v>
      </c>
      <c r="C58" t="s">
        <v>54</v>
      </c>
      <c r="D58" s="7">
        <v>6.398989844522907</v>
      </c>
      <c r="E58" s="7">
        <v>3551</v>
      </c>
      <c r="F58" s="7">
        <v>2828613.645833333</v>
      </c>
      <c r="G58" s="7">
        <v>34</v>
      </c>
      <c r="H58" s="7">
        <v>1499185.8129248109</v>
      </c>
      <c r="I58">
        <f t="shared" si="0"/>
        <v>1.8020247379675885E-3</v>
      </c>
      <c r="J58">
        <f t="shared" si="1"/>
        <v>1.2020022617823198E-5</v>
      </c>
    </row>
    <row r="59" spans="1:10" hidden="1" x14ac:dyDescent="0.3">
      <c r="A59" t="s">
        <v>933</v>
      </c>
      <c r="B59" t="s">
        <v>94</v>
      </c>
      <c r="C59" t="s">
        <v>1002</v>
      </c>
      <c r="D59" s="7">
        <v>14.75400317620689</v>
      </c>
      <c r="E59" s="7">
        <v>38386</v>
      </c>
      <c r="F59" s="7">
        <v>9579240.8906862736</v>
      </c>
      <c r="G59" s="7">
        <v>25</v>
      </c>
      <c r="H59" s="7">
        <v>1472746.8402733931</v>
      </c>
      <c r="I59">
        <f t="shared" si="0"/>
        <v>3.8435896358586177E-4</v>
      </c>
      <c r="J59">
        <f t="shared" si="1"/>
        <v>2.6098101389544402E-6</v>
      </c>
    </row>
    <row r="60" spans="1:10" hidden="1" x14ac:dyDescent="0.3">
      <c r="A60" t="s">
        <v>723</v>
      </c>
      <c r="B60" t="s">
        <v>736</v>
      </c>
      <c r="C60" t="s">
        <v>738</v>
      </c>
      <c r="D60" s="7">
        <v>0.5900822306610588</v>
      </c>
      <c r="E60" s="7">
        <v>182</v>
      </c>
      <c r="F60" s="7">
        <v>87643.080882352951</v>
      </c>
      <c r="G60" s="7">
        <v>2</v>
      </c>
      <c r="H60" s="7">
        <v>1420786.392007319</v>
      </c>
      <c r="I60">
        <f t="shared" si="0"/>
        <v>3.2422100585772461E-3</v>
      </c>
      <c r="J60">
        <f t="shared" si="1"/>
        <v>2.2819827644862068E-5</v>
      </c>
    </row>
    <row r="61" spans="1:10" hidden="1" x14ac:dyDescent="0.3">
      <c r="A61" t="s">
        <v>645</v>
      </c>
      <c r="B61" t="s">
        <v>765</v>
      </c>
      <c r="C61" t="s">
        <v>773</v>
      </c>
      <c r="D61" s="7">
        <v>19.156452340972571</v>
      </c>
      <c r="E61" s="7">
        <v>19370</v>
      </c>
      <c r="F61" s="7">
        <v>11986847.415073531</v>
      </c>
      <c r="G61" s="7">
        <v>84</v>
      </c>
      <c r="H61" s="7">
        <v>1411273.3929823141</v>
      </c>
      <c r="I61">
        <f t="shared" si="0"/>
        <v>9.8897534026704025E-4</v>
      </c>
      <c r="J61">
        <f t="shared" si="1"/>
        <v>7.0076807596941215E-6</v>
      </c>
    </row>
    <row r="62" spans="1:10" hidden="1" x14ac:dyDescent="0.3">
      <c r="A62" t="s">
        <v>184</v>
      </c>
      <c r="B62" t="s">
        <v>204</v>
      </c>
      <c r="C62" t="s">
        <v>206</v>
      </c>
      <c r="D62" s="7">
        <v>0.67686622750580949</v>
      </c>
      <c r="E62" s="7">
        <v>4303</v>
      </c>
      <c r="F62" s="7">
        <v>3483975.0509803919</v>
      </c>
      <c r="G62" s="7">
        <v>4</v>
      </c>
      <c r="H62" s="7">
        <v>1370081.9483392159</v>
      </c>
      <c r="I62">
        <f t="shared" si="0"/>
        <v>1.5730100569505217E-4</v>
      </c>
      <c r="J62">
        <f t="shared" si="1"/>
        <v>1.1481138473923338E-6</v>
      </c>
    </row>
    <row r="63" spans="1:10" hidden="1" x14ac:dyDescent="0.3">
      <c r="A63" t="s">
        <v>723</v>
      </c>
      <c r="B63" t="s">
        <v>741</v>
      </c>
      <c r="C63" t="s">
        <v>746</v>
      </c>
      <c r="D63" s="7">
        <v>1.686300076827207</v>
      </c>
      <c r="E63" s="7">
        <v>2591</v>
      </c>
      <c r="F63" s="7">
        <v>1020545.138357843</v>
      </c>
      <c r="G63" s="7">
        <v>5</v>
      </c>
      <c r="H63" s="7">
        <v>1328402.4278027511</v>
      </c>
      <c r="I63">
        <f t="shared" si="0"/>
        <v>6.5082982509733964E-4</v>
      </c>
      <c r="J63">
        <f t="shared" si="1"/>
        <v>4.899342333887837E-6</v>
      </c>
    </row>
    <row r="64" spans="1:10" hidden="1" x14ac:dyDescent="0.3">
      <c r="A64" t="s">
        <v>117</v>
      </c>
      <c r="B64" t="s">
        <v>126</v>
      </c>
      <c r="C64" t="s">
        <v>129</v>
      </c>
      <c r="D64" s="7">
        <v>4.868919136958076</v>
      </c>
      <c r="E64" s="7">
        <v>1128</v>
      </c>
      <c r="F64" s="7">
        <v>293773.09754901961</v>
      </c>
      <c r="G64" s="7">
        <v>10</v>
      </c>
      <c r="H64" s="7">
        <v>1268047.3905849941</v>
      </c>
      <c r="I64">
        <f t="shared" si="0"/>
        <v>4.3164176746082238E-3</v>
      </c>
      <c r="J64">
        <f t="shared" si="1"/>
        <v>3.4039876637551461E-5</v>
      </c>
    </row>
    <row r="65" spans="1:10" hidden="1" x14ac:dyDescent="0.3">
      <c r="A65" t="s">
        <v>453</v>
      </c>
      <c r="B65" t="s">
        <v>454</v>
      </c>
      <c r="C65" t="s">
        <v>456</v>
      </c>
      <c r="D65" s="7">
        <v>1.9317359860824941</v>
      </c>
      <c r="E65" s="7">
        <v>6430</v>
      </c>
      <c r="F65" s="7">
        <v>2461767.046629902</v>
      </c>
      <c r="G65" s="7">
        <v>6</v>
      </c>
      <c r="H65" s="7">
        <v>1232629.339898135</v>
      </c>
      <c r="I65">
        <f t="shared" si="0"/>
        <v>3.0042550327877049E-4</v>
      </c>
      <c r="J65">
        <f t="shared" si="1"/>
        <v>2.4372736682026235E-6</v>
      </c>
    </row>
    <row r="66" spans="1:10" hidden="1" x14ac:dyDescent="0.3">
      <c r="A66" t="s">
        <v>453</v>
      </c>
      <c r="B66" t="s">
        <v>461</v>
      </c>
      <c r="C66" t="s">
        <v>462</v>
      </c>
      <c r="D66" s="7">
        <v>13.253881790482099</v>
      </c>
      <c r="E66" s="7">
        <v>29425</v>
      </c>
      <c r="F66" s="7">
        <v>5043379.8027573526</v>
      </c>
      <c r="G66" s="7">
        <v>19</v>
      </c>
      <c r="H66" s="7">
        <v>1195624.1958637191</v>
      </c>
      <c r="I66">
        <f t="shared" si="0"/>
        <v>4.5042928769692777E-4</v>
      </c>
      <c r="J66">
        <f t="shared" si="1"/>
        <v>3.7673149243315336E-6</v>
      </c>
    </row>
    <row r="67" spans="1:10" hidden="1" x14ac:dyDescent="0.3">
      <c r="A67" t="s">
        <v>579</v>
      </c>
      <c r="B67" t="s">
        <v>584</v>
      </c>
      <c r="C67" t="s">
        <v>584</v>
      </c>
      <c r="D67" s="7">
        <v>1.6774922327016599</v>
      </c>
      <c r="E67" s="7">
        <v>22623</v>
      </c>
      <c r="F67" s="7">
        <v>3215039.7272671568</v>
      </c>
      <c r="G67" s="7">
        <v>2</v>
      </c>
      <c r="H67" s="7">
        <v>1191973.6927723819</v>
      </c>
      <c r="I67">
        <f t="shared" ref="I67:I130" si="2">D67/E67</f>
        <v>7.4149857786397032E-5</v>
      </c>
      <c r="J67">
        <f t="shared" ref="J67:J130" si="3">G67/F67</f>
        <v>6.2207629443510391E-7</v>
      </c>
    </row>
    <row r="68" spans="1:10" hidden="1" x14ac:dyDescent="0.3">
      <c r="A68" t="s">
        <v>667</v>
      </c>
      <c r="B68" t="s">
        <v>114</v>
      </c>
      <c r="C68" t="s">
        <v>695</v>
      </c>
      <c r="D68" s="7">
        <v>0.88506223812493146</v>
      </c>
      <c r="E68" s="7">
        <v>3527</v>
      </c>
      <c r="F68" s="7">
        <v>938718.44454656879</v>
      </c>
      <c r="G68" s="7">
        <v>2</v>
      </c>
      <c r="H68" s="7">
        <v>1177805.8512893971</v>
      </c>
      <c r="I68">
        <f t="shared" si="2"/>
        <v>2.5093910919334603E-4</v>
      </c>
      <c r="J68">
        <f t="shared" si="3"/>
        <v>2.1305642939252826E-6</v>
      </c>
    </row>
    <row r="69" spans="1:10" hidden="1" x14ac:dyDescent="0.3">
      <c r="A69" t="s">
        <v>867</v>
      </c>
      <c r="B69" t="s">
        <v>891</v>
      </c>
      <c r="C69" t="s">
        <v>893</v>
      </c>
      <c r="D69" s="7">
        <v>0.84827329907151694</v>
      </c>
      <c r="E69" s="7">
        <v>1807</v>
      </c>
      <c r="F69" s="7">
        <v>495651.96875</v>
      </c>
      <c r="G69" s="7">
        <v>2</v>
      </c>
      <c r="H69" s="7">
        <v>1163387.7441141531</v>
      </c>
      <c r="I69">
        <f t="shared" si="2"/>
        <v>4.6943735421777361E-4</v>
      </c>
      <c r="J69">
        <f t="shared" si="3"/>
        <v>4.0350893895243905E-6</v>
      </c>
    </row>
    <row r="70" spans="1:10" hidden="1" x14ac:dyDescent="0.3">
      <c r="A70" t="s">
        <v>645</v>
      </c>
      <c r="B70" t="s">
        <v>765</v>
      </c>
      <c r="C70" t="s">
        <v>789</v>
      </c>
      <c r="D70" s="7">
        <v>6.9269461305052458</v>
      </c>
      <c r="E70" s="7">
        <v>5402</v>
      </c>
      <c r="F70" s="7">
        <v>2161899.6732230391</v>
      </c>
      <c r="G70" s="7">
        <v>24</v>
      </c>
      <c r="H70" s="7">
        <v>1155078.5647270209</v>
      </c>
      <c r="I70">
        <f t="shared" si="2"/>
        <v>1.2822928786570243E-3</v>
      </c>
      <c r="J70">
        <f t="shared" si="3"/>
        <v>1.1101347716205498E-5</v>
      </c>
    </row>
    <row r="71" spans="1:10" hidden="1" x14ac:dyDescent="0.3">
      <c r="A71" t="s">
        <v>453</v>
      </c>
      <c r="B71" t="s">
        <v>474</v>
      </c>
      <c r="C71" t="s">
        <v>475</v>
      </c>
      <c r="D71" s="7">
        <v>11.251790366598501</v>
      </c>
      <c r="E71" s="7">
        <v>7242</v>
      </c>
      <c r="F71" s="7">
        <v>817035.22187500005</v>
      </c>
      <c r="G71" s="7">
        <v>11</v>
      </c>
      <c r="H71" s="7">
        <v>1154014.34042138</v>
      </c>
      <c r="I71">
        <f t="shared" si="2"/>
        <v>1.553685496630558E-3</v>
      </c>
      <c r="J71">
        <f t="shared" si="3"/>
        <v>1.3463311868925663E-5</v>
      </c>
    </row>
    <row r="72" spans="1:10" hidden="1" x14ac:dyDescent="0.3">
      <c r="A72" t="s">
        <v>645</v>
      </c>
      <c r="B72" t="s">
        <v>765</v>
      </c>
      <c r="C72" t="s">
        <v>18</v>
      </c>
      <c r="D72" s="7">
        <v>5.1461571910546704</v>
      </c>
      <c r="E72" s="7">
        <v>12043</v>
      </c>
      <c r="F72" s="7">
        <v>3204864.0896446081</v>
      </c>
      <c r="G72" s="7">
        <v>12</v>
      </c>
      <c r="H72" s="7">
        <v>1141239.3355253041</v>
      </c>
      <c r="I72">
        <f t="shared" si="2"/>
        <v>4.2731521971723578E-4</v>
      </c>
      <c r="J72">
        <f t="shared" si="3"/>
        <v>3.7443085461170669E-6</v>
      </c>
    </row>
    <row r="73" spans="1:10" hidden="1" x14ac:dyDescent="0.3">
      <c r="A73" t="s">
        <v>117</v>
      </c>
      <c r="B73" t="s">
        <v>117</v>
      </c>
      <c r="C73" t="s">
        <v>117</v>
      </c>
      <c r="D73" s="7">
        <v>4.2850521600282372</v>
      </c>
      <c r="E73" s="7">
        <v>18106</v>
      </c>
      <c r="F73" s="7">
        <v>10981029.82696078</v>
      </c>
      <c r="G73" s="7">
        <v>23</v>
      </c>
      <c r="H73" s="7">
        <v>1129922.9556225131</v>
      </c>
      <c r="I73">
        <f t="shared" si="2"/>
        <v>2.3666476085431554E-4</v>
      </c>
      <c r="J73">
        <f t="shared" si="3"/>
        <v>2.0945212209086325E-6</v>
      </c>
    </row>
    <row r="74" spans="1:10" hidden="1" x14ac:dyDescent="0.3">
      <c r="A74" t="s">
        <v>149</v>
      </c>
      <c r="B74" t="s">
        <v>150</v>
      </c>
      <c r="C74" t="s">
        <v>152</v>
      </c>
      <c r="D74" s="7">
        <v>1.6818590420920601</v>
      </c>
      <c r="E74" s="7">
        <v>11101</v>
      </c>
      <c r="F74" s="7">
        <v>1489862.375</v>
      </c>
      <c r="G74" s="7">
        <v>2</v>
      </c>
      <c r="H74" s="7">
        <v>1128609.362609901</v>
      </c>
      <c r="I74">
        <f t="shared" si="2"/>
        <v>1.5150518350527521E-4</v>
      </c>
      <c r="J74">
        <f t="shared" si="3"/>
        <v>1.3424058715490415E-6</v>
      </c>
    </row>
    <row r="75" spans="1:10" hidden="1" x14ac:dyDescent="0.3">
      <c r="A75" t="s">
        <v>952</v>
      </c>
      <c r="B75" t="s">
        <v>964</v>
      </c>
      <c r="C75" t="s">
        <v>969</v>
      </c>
      <c r="D75" s="7">
        <v>0.50291289718250587</v>
      </c>
      <c r="E75" s="7">
        <v>443</v>
      </c>
      <c r="F75" s="7">
        <v>496629.59375</v>
      </c>
      <c r="G75" s="7">
        <v>5</v>
      </c>
      <c r="H75" s="7">
        <v>1127591.0962500379</v>
      </c>
      <c r="I75">
        <f t="shared" si="2"/>
        <v>1.1352435602313903E-3</v>
      </c>
      <c r="J75">
        <f t="shared" si="3"/>
        <v>1.0067865594246013E-5</v>
      </c>
    </row>
    <row r="76" spans="1:10" hidden="1" x14ac:dyDescent="0.3">
      <c r="A76" t="s">
        <v>492</v>
      </c>
      <c r="B76" t="s">
        <v>492</v>
      </c>
      <c r="C76" t="s">
        <v>495</v>
      </c>
      <c r="D76" s="7">
        <v>0.75207390119943873</v>
      </c>
      <c r="E76" s="7">
        <v>1716</v>
      </c>
      <c r="F76" s="7">
        <v>495559.765625</v>
      </c>
      <c r="G76" s="7">
        <v>2</v>
      </c>
      <c r="H76" s="7">
        <v>1085948.6194961341</v>
      </c>
      <c r="I76">
        <f t="shared" si="2"/>
        <v>4.382715041954771E-4</v>
      </c>
      <c r="J76">
        <f t="shared" si="3"/>
        <v>4.0358401523529658E-6</v>
      </c>
    </row>
    <row r="77" spans="1:10" hidden="1" x14ac:dyDescent="0.3">
      <c r="A77" t="s">
        <v>90</v>
      </c>
      <c r="B77" t="s">
        <v>102</v>
      </c>
      <c r="C77" t="s">
        <v>103</v>
      </c>
      <c r="D77" s="7">
        <v>7.8459288258120568</v>
      </c>
      <c r="E77" s="7">
        <v>6301</v>
      </c>
      <c r="F77" s="7">
        <v>1127218.9616421571</v>
      </c>
      <c r="G77" s="7">
        <v>13</v>
      </c>
      <c r="H77" s="7">
        <v>1079691.836967286</v>
      </c>
      <c r="I77">
        <f t="shared" si="2"/>
        <v>1.2451878790369873E-3</v>
      </c>
      <c r="J77">
        <f t="shared" si="3"/>
        <v>1.1532808125460663E-5</v>
      </c>
    </row>
    <row r="78" spans="1:10" hidden="1" x14ac:dyDescent="0.3">
      <c r="A78" t="s">
        <v>13</v>
      </c>
      <c r="B78" t="s">
        <v>62</v>
      </c>
      <c r="C78" t="s">
        <v>62</v>
      </c>
      <c r="D78" s="7">
        <v>1.513541682245368</v>
      </c>
      <c r="E78" s="7">
        <v>3121</v>
      </c>
      <c r="F78" s="7">
        <v>1058946.872794118</v>
      </c>
      <c r="G78" s="7">
        <v>5</v>
      </c>
      <c r="H78" s="7">
        <v>1027081.2119559631</v>
      </c>
      <c r="I78">
        <f t="shared" si="2"/>
        <v>4.8495407954032941E-4</v>
      </c>
      <c r="J78">
        <f t="shared" si="3"/>
        <v>4.7216721900382886E-6</v>
      </c>
    </row>
    <row r="79" spans="1:10" hidden="1" x14ac:dyDescent="0.3">
      <c r="A79" t="s">
        <v>225</v>
      </c>
      <c r="B79" t="s">
        <v>237</v>
      </c>
      <c r="C79" t="s">
        <v>237</v>
      </c>
      <c r="D79" s="7">
        <v>3.392128393306304</v>
      </c>
      <c r="E79" s="7">
        <v>10784</v>
      </c>
      <c r="F79" s="7">
        <v>3722206.15625</v>
      </c>
      <c r="G79" s="7">
        <v>12</v>
      </c>
      <c r="H79" s="7">
        <v>975689.38460954104</v>
      </c>
      <c r="I79">
        <f t="shared" si="2"/>
        <v>3.1455196525466471E-4</v>
      </c>
      <c r="J79">
        <f t="shared" si="3"/>
        <v>3.2238945120894659E-6</v>
      </c>
    </row>
    <row r="80" spans="1:10" hidden="1" x14ac:dyDescent="0.3">
      <c r="A80" t="s">
        <v>117</v>
      </c>
      <c r="B80" t="s">
        <v>126</v>
      </c>
      <c r="C80" t="s">
        <v>126</v>
      </c>
      <c r="D80" s="7">
        <v>4.940534233041614</v>
      </c>
      <c r="E80" s="7">
        <v>12940</v>
      </c>
      <c r="F80" s="7">
        <v>7335642.8530024504</v>
      </c>
      <c r="G80" s="7">
        <v>30</v>
      </c>
      <c r="H80" s="7">
        <v>933590.79434893501</v>
      </c>
      <c r="I80">
        <f t="shared" si="2"/>
        <v>3.8180326375901192E-4</v>
      </c>
      <c r="J80">
        <f t="shared" si="3"/>
        <v>4.0896211281225498E-6</v>
      </c>
    </row>
    <row r="81" spans="1:10" hidden="1" x14ac:dyDescent="0.3">
      <c r="A81" t="s">
        <v>13</v>
      </c>
      <c r="B81" t="s">
        <v>39</v>
      </c>
      <c r="C81" t="s">
        <v>43</v>
      </c>
      <c r="D81" s="7">
        <v>2.289243369595058</v>
      </c>
      <c r="E81" s="7">
        <v>1442</v>
      </c>
      <c r="F81" s="7">
        <v>578704.2323529413</v>
      </c>
      <c r="G81" s="7">
        <v>10</v>
      </c>
      <c r="H81" s="7">
        <v>918720.40698375076</v>
      </c>
      <c r="I81">
        <f t="shared" si="2"/>
        <v>1.5875474130340207E-3</v>
      </c>
      <c r="J81">
        <f t="shared" si="3"/>
        <v>1.7279984214632769E-5</v>
      </c>
    </row>
    <row r="82" spans="1:10" hidden="1" x14ac:dyDescent="0.3">
      <c r="A82" t="s">
        <v>453</v>
      </c>
      <c r="B82" t="s">
        <v>454</v>
      </c>
      <c r="C82" t="s">
        <v>94</v>
      </c>
      <c r="D82" s="7">
        <v>1.8011395138739821</v>
      </c>
      <c r="E82" s="7">
        <v>2487</v>
      </c>
      <c r="F82" s="7">
        <v>993268.703125</v>
      </c>
      <c r="G82" s="7">
        <v>8</v>
      </c>
      <c r="H82" s="7">
        <v>899183.50879212038</v>
      </c>
      <c r="I82">
        <f t="shared" si="2"/>
        <v>7.2422175869480581E-4</v>
      </c>
      <c r="J82">
        <f t="shared" si="3"/>
        <v>8.0542153143762387E-6</v>
      </c>
    </row>
    <row r="83" spans="1:10" hidden="1" x14ac:dyDescent="0.3">
      <c r="A83" t="s">
        <v>399</v>
      </c>
      <c r="B83" t="s">
        <v>447</v>
      </c>
      <c r="C83" t="s">
        <v>447</v>
      </c>
      <c r="D83" s="7">
        <v>8.252692561950397</v>
      </c>
      <c r="E83" s="7">
        <v>23331</v>
      </c>
      <c r="F83" s="7">
        <v>3971155.265625</v>
      </c>
      <c r="G83" s="7">
        <v>16</v>
      </c>
      <c r="H83" s="7">
        <v>877928.6015112293</v>
      </c>
      <c r="I83">
        <f t="shared" si="2"/>
        <v>3.5372219630321874E-4</v>
      </c>
      <c r="J83">
        <f t="shared" si="3"/>
        <v>4.0290542499052458E-6</v>
      </c>
    </row>
    <row r="84" spans="1:10" hidden="1" x14ac:dyDescent="0.3">
      <c r="A84" t="s">
        <v>915</v>
      </c>
      <c r="B84" t="s">
        <v>928</v>
      </c>
      <c r="C84" t="s">
        <v>934</v>
      </c>
      <c r="D84" s="7">
        <v>5.9200283946735563</v>
      </c>
      <c r="E84" s="7">
        <v>2801</v>
      </c>
      <c r="F84" s="7">
        <v>248325.625</v>
      </c>
      <c r="G84" s="7">
        <v>6</v>
      </c>
      <c r="H84" s="7">
        <v>874743.99091101834</v>
      </c>
      <c r="I84">
        <f t="shared" si="2"/>
        <v>2.1135410191622838E-3</v>
      </c>
      <c r="J84">
        <f t="shared" si="3"/>
        <v>2.4161823815000969E-5</v>
      </c>
    </row>
    <row r="85" spans="1:10" hidden="1" x14ac:dyDescent="0.3">
      <c r="A85" t="s">
        <v>952</v>
      </c>
      <c r="B85" t="s">
        <v>970</v>
      </c>
      <c r="C85" t="s">
        <v>970</v>
      </c>
      <c r="D85" s="7">
        <v>26.025714569778401</v>
      </c>
      <c r="E85" s="7">
        <v>27236</v>
      </c>
      <c r="F85" s="7">
        <v>5711429.796875</v>
      </c>
      <c r="G85" s="7">
        <v>64</v>
      </c>
      <c r="H85" s="7">
        <v>852754.86533675657</v>
      </c>
      <c r="I85">
        <f t="shared" si="2"/>
        <v>9.5556302576657365E-4</v>
      </c>
      <c r="J85">
        <f t="shared" si="3"/>
        <v>1.1205600397122539E-5</v>
      </c>
    </row>
    <row r="86" spans="1:10" hidden="1" x14ac:dyDescent="0.3">
      <c r="A86" t="s">
        <v>749</v>
      </c>
      <c r="B86" t="s">
        <v>762</v>
      </c>
      <c r="C86" t="s">
        <v>762</v>
      </c>
      <c r="D86" s="7">
        <v>0.75816464102605263</v>
      </c>
      <c r="E86" s="7">
        <v>3822</v>
      </c>
      <c r="F86" s="7">
        <v>1241338.640625</v>
      </c>
      <c r="G86" s="7">
        <v>3</v>
      </c>
      <c r="H86" s="7">
        <v>820808.53380535613</v>
      </c>
      <c r="I86">
        <f t="shared" si="2"/>
        <v>1.9836856123130628E-4</v>
      </c>
      <c r="J86">
        <f t="shared" si="3"/>
        <v>2.4167458434142788E-6</v>
      </c>
    </row>
    <row r="87" spans="1:10" hidden="1" x14ac:dyDescent="0.3">
      <c r="A87" t="s">
        <v>933</v>
      </c>
      <c r="B87" t="s">
        <v>94</v>
      </c>
      <c r="C87" t="s">
        <v>94</v>
      </c>
      <c r="D87" s="7">
        <v>27.94598435340972</v>
      </c>
      <c r="E87" s="7">
        <v>36598</v>
      </c>
      <c r="F87" s="7">
        <v>13991572.75116422</v>
      </c>
      <c r="G87" s="7">
        <v>132</v>
      </c>
      <c r="H87" s="7">
        <v>809384.08868101123</v>
      </c>
      <c r="I87">
        <f t="shared" si="2"/>
        <v>7.6359321147083771E-4</v>
      </c>
      <c r="J87">
        <f t="shared" si="3"/>
        <v>9.434250341085955E-6</v>
      </c>
    </row>
    <row r="88" spans="1:10" hidden="1" x14ac:dyDescent="0.3">
      <c r="A88" t="s">
        <v>492</v>
      </c>
      <c r="B88" t="s">
        <v>550</v>
      </c>
      <c r="C88" t="s">
        <v>554</v>
      </c>
      <c r="D88" s="7">
        <v>0.67432476881311454</v>
      </c>
      <c r="E88" s="7">
        <v>2243</v>
      </c>
      <c r="F88" s="7">
        <v>495756.34375</v>
      </c>
      <c r="G88" s="7">
        <v>2</v>
      </c>
      <c r="H88" s="7">
        <v>745209.05458505056</v>
      </c>
      <c r="I88">
        <f t="shared" si="2"/>
        <v>3.0063520678248528E-4</v>
      </c>
      <c r="J88">
        <f t="shared" si="3"/>
        <v>4.0342398543437702E-6</v>
      </c>
    </row>
    <row r="89" spans="1:10" hidden="1" x14ac:dyDescent="0.3">
      <c r="A89" t="s">
        <v>667</v>
      </c>
      <c r="B89" t="s">
        <v>114</v>
      </c>
      <c r="C89" t="s">
        <v>697</v>
      </c>
      <c r="D89" s="7">
        <v>0.97951838026564297</v>
      </c>
      <c r="E89" s="7">
        <v>694</v>
      </c>
      <c r="F89" s="7">
        <v>52529.12205882353</v>
      </c>
      <c r="G89" s="7">
        <v>1</v>
      </c>
      <c r="H89" s="7">
        <v>741401.16074690316</v>
      </c>
      <c r="I89">
        <f t="shared" si="2"/>
        <v>1.4114097698352205E-3</v>
      </c>
      <c r="J89">
        <f t="shared" si="3"/>
        <v>1.9037059078965245E-5</v>
      </c>
    </row>
    <row r="90" spans="1:10" hidden="1" x14ac:dyDescent="0.3">
      <c r="A90" t="s">
        <v>399</v>
      </c>
      <c r="B90" t="s">
        <v>439</v>
      </c>
      <c r="C90" t="s">
        <v>442</v>
      </c>
      <c r="D90" s="7">
        <v>4.9497679313269778</v>
      </c>
      <c r="E90" s="7">
        <v>19058</v>
      </c>
      <c r="F90" s="7">
        <v>1401251.1904411761</v>
      </c>
      <c r="G90" s="7">
        <v>5</v>
      </c>
      <c r="H90" s="7">
        <v>727869.47278617765</v>
      </c>
      <c r="I90">
        <f t="shared" si="2"/>
        <v>2.5972126830344096E-4</v>
      </c>
      <c r="J90">
        <f t="shared" si="3"/>
        <v>3.5682396090780685E-6</v>
      </c>
    </row>
    <row r="91" spans="1:10" hidden="1" x14ac:dyDescent="0.3">
      <c r="A91" t="s">
        <v>13</v>
      </c>
      <c r="B91" t="s">
        <v>36</v>
      </c>
      <c r="C91" t="s">
        <v>37</v>
      </c>
      <c r="D91" s="7">
        <v>2.314787993473375</v>
      </c>
      <c r="E91" s="7">
        <v>2808</v>
      </c>
      <c r="F91" s="7">
        <v>437553.3703431373</v>
      </c>
      <c r="G91" s="7">
        <v>5</v>
      </c>
      <c r="H91" s="7">
        <v>721398.35340035835</v>
      </c>
      <c r="I91">
        <f t="shared" si="2"/>
        <v>8.2435469853040422E-4</v>
      </c>
      <c r="J91">
        <f t="shared" si="3"/>
        <v>1.1427177434558233E-5</v>
      </c>
    </row>
    <row r="92" spans="1:10" hidden="1" x14ac:dyDescent="0.3">
      <c r="A92" t="s">
        <v>149</v>
      </c>
      <c r="B92" t="s">
        <v>165</v>
      </c>
      <c r="C92" t="s">
        <v>166</v>
      </c>
      <c r="D92" s="7">
        <v>1.9377961798011041</v>
      </c>
      <c r="E92" s="7">
        <v>7413</v>
      </c>
      <c r="F92" s="7">
        <v>2731433.3125</v>
      </c>
      <c r="G92" s="7">
        <v>10</v>
      </c>
      <c r="H92" s="7">
        <v>714010.66212653113</v>
      </c>
      <c r="I92">
        <f t="shared" si="2"/>
        <v>2.6140512340497827E-4</v>
      </c>
      <c r="J92">
        <f t="shared" si="3"/>
        <v>3.6610815113942125E-6</v>
      </c>
    </row>
    <row r="93" spans="1:10" hidden="1" x14ac:dyDescent="0.3">
      <c r="A93" t="s">
        <v>13</v>
      </c>
      <c r="B93" t="s">
        <v>14</v>
      </c>
      <c r="C93" t="s">
        <v>23</v>
      </c>
      <c r="D93" s="7">
        <v>3.6546354223391928</v>
      </c>
      <c r="E93" s="7">
        <v>2631</v>
      </c>
      <c r="F93" s="7">
        <v>1228527.481801471</v>
      </c>
      <c r="G93" s="7">
        <v>25</v>
      </c>
      <c r="H93" s="7">
        <v>682602.82057146681</v>
      </c>
      <c r="I93">
        <f t="shared" si="2"/>
        <v>1.3890670552410462E-3</v>
      </c>
      <c r="J93">
        <f t="shared" si="3"/>
        <v>2.0349565126000152E-5</v>
      </c>
    </row>
    <row r="94" spans="1:10" hidden="1" x14ac:dyDescent="0.3">
      <c r="A94" t="s">
        <v>645</v>
      </c>
      <c r="B94" t="s">
        <v>765</v>
      </c>
      <c r="C94" t="s">
        <v>792</v>
      </c>
      <c r="D94" s="7">
        <v>20.46628784731033</v>
      </c>
      <c r="E94" s="7">
        <v>4033</v>
      </c>
      <c r="F94" s="7">
        <v>2742297.7333333329</v>
      </c>
      <c r="G94" s="7">
        <v>205</v>
      </c>
      <c r="H94" s="7">
        <v>678846.52559586661</v>
      </c>
      <c r="I94">
        <f t="shared" si="2"/>
        <v>5.0747056402951473E-3</v>
      </c>
      <c r="J94">
        <f t="shared" si="3"/>
        <v>7.4754829684673689E-5</v>
      </c>
    </row>
    <row r="95" spans="1:10" hidden="1" x14ac:dyDescent="0.3">
      <c r="A95" t="s">
        <v>90</v>
      </c>
      <c r="B95" t="s">
        <v>91</v>
      </c>
      <c r="C95" t="s">
        <v>93</v>
      </c>
      <c r="D95" s="7">
        <v>1.04434447909058</v>
      </c>
      <c r="E95" s="7">
        <v>2648</v>
      </c>
      <c r="F95" s="7">
        <v>337792.17126225488</v>
      </c>
      <c r="G95" s="7">
        <v>2</v>
      </c>
      <c r="H95" s="7">
        <v>666109.11846252973</v>
      </c>
      <c r="I95">
        <f t="shared" si="2"/>
        <v>3.9438990902212237E-4</v>
      </c>
      <c r="J95">
        <f t="shared" si="3"/>
        <v>5.9208003327206811E-6</v>
      </c>
    </row>
    <row r="96" spans="1:10" hidden="1" x14ac:dyDescent="0.3">
      <c r="A96" t="s">
        <v>149</v>
      </c>
      <c r="B96" t="s">
        <v>150</v>
      </c>
      <c r="C96" t="s">
        <v>157</v>
      </c>
      <c r="D96" s="7">
        <v>3.477368556894048</v>
      </c>
      <c r="E96" s="7">
        <v>1833</v>
      </c>
      <c r="F96" s="7">
        <v>67187.868933823527</v>
      </c>
      <c r="G96" s="7">
        <v>2</v>
      </c>
      <c r="H96" s="7">
        <v>637307.64548607846</v>
      </c>
      <c r="I96">
        <f t="shared" si="2"/>
        <v>1.8970914112897152E-3</v>
      </c>
      <c r="J96">
        <f t="shared" si="3"/>
        <v>2.976727840512241E-5</v>
      </c>
    </row>
    <row r="97" spans="1:10" hidden="1" x14ac:dyDescent="0.3">
      <c r="A97" t="s">
        <v>225</v>
      </c>
      <c r="B97" t="s">
        <v>226</v>
      </c>
      <c r="C97" t="s">
        <v>230</v>
      </c>
      <c r="D97" s="7">
        <v>1.8049903721932219</v>
      </c>
      <c r="E97" s="7">
        <v>2857</v>
      </c>
      <c r="F97" s="7">
        <v>1982727.3794117649</v>
      </c>
      <c r="G97" s="7">
        <v>20</v>
      </c>
      <c r="H97" s="7">
        <v>626321.98644069524</v>
      </c>
      <c r="I97">
        <f t="shared" si="2"/>
        <v>6.3177821917858657E-4</v>
      </c>
      <c r="J97">
        <f t="shared" si="3"/>
        <v>1.008711545907718E-5</v>
      </c>
    </row>
    <row r="98" spans="1:10" hidden="1" x14ac:dyDescent="0.3">
      <c r="A98" t="s">
        <v>225</v>
      </c>
      <c r="B98" t="s">
        <v>247</v>
      </c>
      <c r="C98" t="s">
        <v>248</v>
      </c>
      <c r="D98" s="7">
        <v>1.783463090798568</v>
      </c>
      <c r="E98" s="7">
        <v>15066</v>
      </c>
      <c r="F98" s="7">
        <v>34029732.617034309</v>
      </c>
      <c r="G98" s="7">
        <v>65</v>
      </c>
      <c r="H98" s="7">
        <v>619742.59016455628</v>
      </c>
      <c r="I98">
        <f t="shared" si="2"/>
        <v>1.1837668198583354E-4</v>
      </c>
      <c r="J98">
        <f t="shared" si="3"/>
        <v>1.9100943498880995E-6</v>
      </c>
    </row>
    <row r="99" spans="1:10" hidden="1" x14ac:dyDescent="0.3">
      <c r="A99" t="s">
        <v>399</v>
      </c>
      <c r="B99" t="s">
        <v>429</v>
      </c>
      <c r="C99" t="s">
        <v>429</v>
      </c>
      <c r="D99" s="7">
        <v>1.3483665033950101</v>
      </c>
      <c r="E99" s="7">
        <v>40268</v>
      </c>
      <c r="F99" s="7">
        <v>3698736.2879901961</v>
      </c>
      <c r="G99" s="7">
        <v>2</v>
      </c>
      <c r="H99" s="7">
        <v>619257.4892740614</v>
      </c>
      <c r="I99">
        <f t="shared" si="2"/>
        <v>3.3484814328871811E-5</v>
      </c>
      <c r="J99">
        <f t="shared" si="3"/>
        <v>5.4072522188024159E-7</v>
      </c>
    </row>
    <row r="100" spans="1:10" hidden="1" x14ac:dyDescent="0.3">
      <c r="A100" t="s">
        <v>453</v>
      </c>
      <c r="B100" t="s">
        <v>474</v>
      </c>
      <c r="C100" t="s">
        <v>479</v>
      </c>
      <c r="D100" s="7">
        <v>1.630928719253526</v>
      </c>
      <c r="E100" s="7">
        <v>8862</v>
      </c>
      <c r="F100" s="7">
        <v>1665232.7466299019</v>
      </c>
      <c r="G100" s="7">
        <v>5</v>
      </c>
      <c r="H100" s="7">
        <v>612926.18161140557</v>
      </c>
      <c r="I100">
        <f t="shared" si="2"/>
        <v>1.8403619039195735E-4</v>
      </c>
      <c r="J100">
        <f t="shared" si="3"/>
        <v>3.0025832785951393E-6</v>
      </c>
    </row>
    <row r="101" spans="1:10" hidden="1" x14ac:dyDescent="0.3">
      <c r="A101" t="s">
        <v>399</v>
      </c>
      <c r="B101" t="s">
        <v>432</v>
      </c>
      <c r="C101" t="s">
        <v>433</v>
      </c>
      <c r="D101" s="7">
        <v>5.6376269247302968</v>
      </c>
      <c r="E101" s="7">
        <v>17488</v>
      </c>
      <c r="F101" s="7">
        <v>1489090.03125</v>
      </c>
      <c r="G101" s="7">
        <v>8</v>
      </c>
      <c r="H101" s="7">
        <v>600049.60926939035</v>
      </c>
      <c r="I101">
        <f t="shared" si="2"/>
        <v>3.2237116449738659E-4</v>
      </c>
      <c r="J101">
        <f t="shared" si="3"/>
        <v>5.3724085395189231E-6</v>
      </c>
    </row>
    <row r="102" spans="1:10" hidden="1" x14ac:dyDescent="0.3">
      <c r="A102" t="s">
        <v>225</v>
      </c>
      <c r="B102" t="s">
        <v>226</v>
      </c>
      <c r="C102" t="s">
        <v>236</v>
      </c>
      <c r="D102" s="7">
        <v>7.2104669413260796</v>
      </c>
      <c r="E102" s="7">
        <v>20440</v>
      </c>
      <c r="F102" s="7">
        <v>14405479.776899509</v>
      </c>
      <c r="G102" s="7">
        <v>85</v>
      </c>
      <c r="H102" s="7">
        <v>597848.71477653552</v>
      </c>
      <c r="I102">
        <f t="shared" si="2"/>
        <v>3.5276257051497452E-4</v>
      </c>
      <c r="J102">
        <f t="shared" si="3"/>
        <v>5.9005323888139561E-6</v>
      </c>
    </row>
    <row r="103" spans="1:10" hidden="1" x14ac:dyDescent="0.3">
      <c r="A103" t="s">
        <v>149</v>
      </c>
      <c r="B103" t="s">
        <v>181</v>
      </c>
      <c r="C103" t="s">
        <v>182</v>
      </c>
      <c r="D103" s="7">
        <v>3.510164948065047</v>
      </c>
      <c r="E103" s="7">
        <v>6766</v>
      </c>
      <c r="F103" s="7">
        <v>1986492.921875</v>
      </c>
      <c r="G103" s="7">
        <v>18</v>
      </c>
      <c r="H103" s="7">
        <v>572545.55653635354</v>
      </c>
      <c r="I103">
        <f t="shared" si="2"/>
        <v>5.1879470116243675E-4</v>
      </c>
      <c r="J103">
        <f t="shared" si="3"/>
        <v>9.0611951352991784E-6</v>
      </c>
    </row>
    <row r="104" spans="1:10" hidden="1" x14ac:dyDescent="0.3">
      <c r="A104" t="s">
        <v>823</v>
      </c>
      <c r="B104" t="s">
        <v>850</v>
      </c>
      <c r="C104" t="s">
        <v>418</v>
      </c>
      <c r="D104" s="7">
        <v>7.6194333908433736</v>
      </c>
      <c r="E104" s="7">
        <v>2801</v>
      </c>
      <c r="F104" s="7">
        <v>6121937.6761642164</v>
      </c>
      <c r="G104" s="7">
        <v>296</v>
      </c>
      <c r="H104" s="7">
        <v>562609.11096456531</v>
      </c>
      <c r="I104">
        <f t="shared" si="2"/>
        <v>2.7202546914828181E-3</v>
      </c>
      <c r="J104">
        <f t="shared" si="3"/>
        <v>4.835070457389283E-5</v>
      </c>
    </row>
    <row r="105" spans="1:10" hidden="1" x14ac:dyDescent="0.3">
      <c r="A105" t="s">
        <v>933</v>
      </c>
      <c r="B105" t="s">
        <v>168</v>
      </c>
      <c r="C105" t="s">
        <v>168</v>
      </c>
      <c r="D105" s="7">
        <v>47.165561070140363</v>
      </c>
      <c r="E105" s="7">
        <v>117479</v>
      </c>
      <c r="F105" s="7">
        <v>17913957.325980391</v>
      </c>
      <c r="G105" s="7">
        <v>132</v>
      </c>
      <c r="H105" s="7">
        <v>544856.79082452157</v>
      </c>
      <c r="I105">
        <f t="shared" si="2"/>
        <v>4.014807843967038E-4</v>
      </c>
      <c r="J105">
        <f t="shared" si="3"/>
        <v>7.3685561262648557E-6</v>
      </c>
    </row>
    <row r="106" spans="1:10" hidden="1" x14ac:dyDescent="0.3">
      <c r="A106" t="s">
        <v>280</v>
      </c>
      <c r="B106" t="s">
        <v>323</v>
      </c>
      <c r="C106" t="s">
        <v>323</v>
      </c>
      <c r="D106" s="7">
        <v>5.3935477050384089</v>
      </c>
      <c r="E106" s="7">
        <v>64424</v>
      </c>
      <c r="F106" s="7">
        <v>9358460.5775735285</v>
      </c>
      <c r="G106" s="7">
        <v>15</v>
      </c>
      <c r="H106" s="7">
        <v>522324.0155931965</v>
      </c>
      <c r="I106">
        <f t="shared" si="2"/>
        <v>8.3719540932547008E-5</v>
      </c>
      <c r="J106">
        <f t="shared" si="3"/>
        <v>1.6028277167663419E-6</v>
      </c>
    </row>
    <row r="107" spans="1:10" hidden="1" x14ac:dyDescent="0.3">
      <c r="A107" t="s">
        <v>867</v>
      </c>
      <c r="B107" t="s">
        <v>885</v>
      </c>
      <c r="C107" t="s">
        <v>886</v>
      </c>
      <c r="D107" s="7">
        <v>0.65366090933568088</v>
      </c>
      <c r="E107" s="7">
        <v>3121</v>
      </c>
      <c r="F107" s="7">
        <v>991357.21875</v>
      </c>
      <c r="G107" s="7">
        <v>4</v>
      </c>
      <c r="H107" s="7">
        <v>519073.58305400232</v>
      </c>
      <c r="I107">
        <f t="shared" si="2"/>
        <v>2.0943957364167923E-4</v>
      </c>
      <c r="J107">
        <f t="shared" si="3"/>
        <v>4.0348725205668958E-6</v>
      </c>
    </row>
    <row r="108" spans="1:10" hidden="1" x14ac:dyDescent="0.3">
      <c r="A108" t="s">
        <v>933</v>
      </c>
      <c r="B108" t="s">
        <v>933</v>
      </c>
      <c r="C108" t="s">
        <v>1000</v>
      </c>
      <c r="D108" s="7">
        <v>4.0301949292020716</v>
      </c>
      <c r="E108" s="7">
        <v>8296</v>
      </c>
      <c r="F108" s="7">
        <v>1985058.609375</v>
      </c>
      <c r="G108" s="7">
        <v>19</v>
      </c>
      <c r="H108" s="7">
        <v>507547.9077851114</v>
      </c>
      <c r="I108">
        <f t="shared" si="2"/>
        <v>4.8579977449398162E-4</v>
      </c>
      <c r="J108">
        <f t="shared" si="3"/>
        <v>9.5715058035400739E-6</v>
      </c>
    </row>
    <row r="109" spans="1:10" hidden="1" x14ac:dyDescent="0.3">
      <c r="A109" t="s">
        <v>453</v>
      </c>
      <c r="B109" t="s">
        <v>461</v>
      </c>
      <c r="C109" t="s">
        <v>464</v>
      </c>
      <c r="D109" s="7">
        <v>12.250827865651081</v>
      </c>
      <c r="E109" s="7">
        <v>8352</v>
      </c>
      <c r="F109" s="7">
        <v>931938.80686274497</v>
      </c>
      <c r="G109" s="7">
        <v>27</v>
      </c>
      <c r="H109" s="7">
        <v>506289.10813979967</v>
      </c>
      <c r="I109">
        <f t="shared" si="2"/>
        <v>1.4668136812321696E-3</v>
      </c>
      <c r="J109">
        <f t="shared" si="3"/>
        <v>2.8971859312192516E-5</v>
      </c>
    </row>
    <row r="110" spans="1:10" hidden="1" x14ac:dyDescent="0.3">
      <c r="A110" t="s">
        <v>667</v>
      </c>
      <c r="B110" t="s">
        <v>691</v>
      </c>
      <c r="C110" t="s">
        <v>691</v>
      </c>
      <c r="D110" s="7">
        <v>1.701509381623592</v>
      </c>
      <c r="E110" s="7">
        <v>7038</v>
      </c>
      <c r="F110" s="7">
        <v>2233977.9375</v>
      </c>
      <c r="G110" s="7">
        <v>11</v>
      </c>
      <c r="H110" s="7">
        <v>490988.45475165627</v>
      </c>
      <c r="I110">
        <f t="shared" si="2"/>
        <v>2.4176035544523899E-4</v>
      </c>
      <c r="J110">
        <f t="shared" si="3"/>
        <v>4.9239519403266264E-6</v>
      </c>
    </row>
    <row r="111" spans="1:10" hidden="1" x14ac:dyDescent="0.3">
      <c r="A111" t="s">
        <v>149</v>
      </c>
      <c r="B111" t="s">
        <v>165</v>
      </c>
      <c r="C111" t="s">
        <v>169</v>
      </c>
      <c r="D111" s="7">
        <v>1.8306409724817241</v>
      </c>
      <c r="E111" s="7">
        <v>3125</v>
      </c>
      <c r="F111" s="7">
        <v>248312.96875</v>
      </c>
      <c r="G111" s="7">
        <v>3</v>
      </c>
      <c r="H111" s="7">
        <v>484876.68756514561</v>
      </c>
      <c r="I111">
        <f t="shared" si="2"/>
        <v>5.8580511119415166E-4</v>
      </c>
      <c r="J111">
        <f t="shared" si="3"/>
        <v>1.208152765883276E-5</v>
      </c>
    </row>
    <row r="112" spans="1:10" hidden="1" x14ac:dyDescent="0.3">
      <c r="A112" t="s">
        <v>492</v>
      </c>
      <c r="B112" t="s">
        <v>511</v>
      </c>
      <c r="C112" t="s">
        <v>511</v>
      </c>
      <c r="D112" s="7">
        <v>7.3970698246191766</v>
      </c>
      <c r="E112" s="7">
        <v>29459</v>
      </c>
      <c r="F112" s="7">
        <v>6936724.421875</v>
      </c>
      <c r="G112" s="7">
        <v>36</v>
      </c>
      <c r="H112" s="7">
        <v>483830.96377593023</v>
      </c>
      <c r="I112">
        <f t="shared" si="2"/>
        <v>2.5109711207505945E-4</v>
      </c>
      <c r="J112">
        <f t="shared" si="3"/>
        <v>5.1897693796907654E-6</v>
      </c>
    </row>
    <row r="113" spans="1:10" hidden="1" x14ac:dyDescent="0.3">
      <c r="A113" t="s">
        <v>645</v>
      </c>
      <c r="B113" t="s">
        <v>765</v>
      </c>
      <c r="C113" t="s">
        <v>782</v>
      </c>
      <c r="D113" s="7">
        <v>20.597490019697421</v>
      </c>
      <c r="E113" s="7">
        <v>23111</v>
      </c>
      <c r="F113" s="7">
        <v>4290670.4570465675</v>
      </c>
      <c r="G113" s="7">
        <v>80</v>
      </c>
      <c r="H113" s="7">
        <v>478003.12576709827</v>
      </c>
      <c r="I113">
        <f t="shared" si="2"/>
        <v>8.9124183374572369E-4</v>
      </c>
      <c r="J113">
        <f t="shared" si="3"/>
        <v>1.864510472218066E-5</v>
      </c>
    </row>
    <row r="114" spans="1:10" hidden="1" x14ac:dyDescent="0.3">
      <c r="A114" t="s">
        <v>579</v>
      </c>
      <c r="B114" t="s">
        <v>590</v>
      </c>
      <c r="C114" t="s">
        <v>459</v>
      </c>
      <c r="D114" s="7">
        <v>4.138718510443363</v>
      </c>
      <c r="E114" s="7">
        <v>7203</v>
      </c>
      <c r="F114" s="7">
        <v>744876.390625</v>
      </c>
      <c r="G114" s="7">
        <v>9</v>
      </c>
      <c r="H114" s="7">
        <v>475547.79734862462</v>
      </c>
      <c r="I114">
        <f t="shared" si="2"/>
        <v>5.7458260592022255E-4</v>
      </c>
      <c r="J114">
        <f t="shared" si="3"/>
        <v>1.2082541631435534E-5</v>
      </c>
    </row>
    <row r="115" spans="1:10" hidden="1" x14ac:dyDescent="0.3">
      <c r="A115" t="s">
        <v>13</v>
      </c>
      <c r="B115" t="s">
        <v>14</v>
      </c>
      <c r="C115" t="s">
        <v>18</v>
      </c>
      <c r="D115" s="7">
        <v>1.252252192760732</v>
      </c>
      <c r="E115" s="7">
        <v>3349</v>
      </c>
      <c r="F115" s="7">
        <v>991172.77892156865</v>
      </c>
      <c r="G115" s="7">
        <v>8</v>
      </c>
      <c r="H115" s="7">
        <v>463271.97887775529</v>
      </c>
      <c r="I115">
        <f t="shared" si="2"/>
        <v>3.7391824209039471E-4</v>
      </c>
      <c r="J115">
        <f t="shared" si="3"/>
        <v>8.0712466788124317E-6</v>
      </c>
    </row>
    <row r="116" spans="1:10" hidden="1" x14ac:dyDescent="0.3">
      <c r="A116" t="s">
        <v>280</v>
      </c>
      <c r="B116" t="s">
        <v>294</v>
      </c>
      <c r="C116" t="s">
        <v>294</v>
      </c>
      <c r="D116" s="7">
        <v>1.8178741490300621</v>
      </c>
      <c r="E116" s="7">
        <v>6597</v>
      </c>
      <c r="F116" s="7">
        <v>991220.21875</v>
      </c>
      <c r="G116" s="7">
        <v>6</v>
      </c>
      <c r="H116" s="7">
        <v>455235.61509311001</v>
      </c>
      <c r="I116">
        <f t="shared" si="2"/>
        <v>2.7556073200395062E-4</v>
      </c>
      <c r="J116">
        <f t="shared" si="3"/>
        <v>6.0531452915341371E-6</v>
      </c>
    </row>
    <row r="117" spans="1:10" hidden="1" x14ac:dyDescent="0.3">
      <c r="A117" t="s">
        <v>723</v>
      </c>
      <c r="B117" t="s">
        <v>741</v>
      </c>
      <c r="C117" t="s">
        <v>742</v>
      </c>
      <c r="D117" s="7">
        <v>0.83308951827834321</v>
      </c>
      <c r="E117" s="7">
        <v>2362</v>
      </c>
      <c r="F117" s="7">
        <v>2454944.06317402</v>
      </c>
      <c r="G117" s="7">
        <v>20</v>
      </c>
      <c r="H117" s="7">
        <v>432935.6831054028</v>
      </c>
      <c r="I117">
        <f t="shared" si="2"/>
        <v>3.5270513051581E-4</v>
      </c>
      <c r="J117">
        <f t="shared" si="3"/>
        <v>8.1468251354541307E-6</v>
      </c>
    </row>
    <row r="118" spans="1:10" hidden="1" x14ac:dyDescent="0.3">
      <c r="A118" t="s">
        <v>90</v>
      </c>
      <c r="B118" t="s">
        <v>102</v>
      </c>
      <c r="C118" t="s">
        <v>106</v>
      </c>
      <c r="D118" s="7">
        <v>2.594486943992083</v>
      </c>
      <c r="E118" s="7">
        <v>1233</v>
      </c>
      <c r="F118" s="7">
        <v>141145.16035539209</v>
      </c>
      <c r="G118" s="7">
        <v>7</v>
      </c>
      <c r="H118" s="7">
        <v>424283.71654470381</v>
      </c>
      <c r="I118">
        <f t="shared" si="2"/>
        <v>2.1042067672279669E-3</v>
      </c>
      <c r="J118">
        <f t="shared" si="3"/>
        <v>4.9594332404841702E-5</v>
      </c>
    </row>
    <row r="119" spans="1:10" hidden="1" x14ac:dyDescent="0.3">
      <c r="A119" t="s">
        <v>280</v>
      </c>
      <c r="B119" t="s">
        <v>283</v>
      </c>
      <c r="C119" t="s">
        <v>283</v>
      </c>
      <c r="D119" s="7">
        <v>2.13268852940076</v>
      </c>
      <c r="E119" s="7">
        <v>25063</v>
      </c>
      <c r="F119" s="7">
        <v>4461500.9375</v>
      </c>
      <c r="G119" s="7">
        <v>9</v>
      </c>
      <c r="H119" s="7">
        <v>421825.52737399482</v>
      </c>
      <c r="I119">
        <f t="shared" si="2"/>
        <v>8.5093106547530625E-5</v>
      </c>
      <c r="J119">
        <f t="shared" si="3"/>
        <v>2.0172583455833915E-6</v>
      </c>
    </row>
    <row r="120" spans="1:10" hidden="1" x14ac:dyDescent="0.3">
      <c r="A120" t="s">
        <v>13</v>
      </c>
      <c r="B120" t="s">
        <v>14</v>
      </c>
      <c r="C120" t="s">
        <v>31</v>
      </c>
      <c r="D120" s="7">
        <v>8.8457011833304868</v>
      </c>
      <c r="E120" s="7">
        <v>27971</v>
      </c>
      <c r="F120" s="7">
        <v>5027592.009681372</v>
      </c>
      <c r="G120" s="7">
        <v>38</v>
      </c>
      <c r="H120" s="7">
        <v>418408.69574824133</v>
      </c>
      <c r="I120">
        <f t="shared" si="2"/>
        <v>3.1624543932396007E-4</v>
      </c>
      <c r="J120">
        <f t="shared" si="3"/>
        <v>7.5582903160847941E-6</v>
      </c>
    </row>
    <row r="121" spans="1:10" hidden="1" x14ac:dyDescent="0.3">
      <c r="A121" t="s">
        <v>915</v>
      </c>
      <c r="B121" t="s">
        <v>915</v>
      </c>
      <c r="C121" t="s">
        <v>944</v>
      </c>
      <c r="D121" s="7">
        <v>0.7252912147539925</v>
      </c>
      <c r="E121" s="7">
        <v>629</v>
      </c>
      <c r="F121" s="7">
        <v>552126.33566176472</v>
      </c>
      <c r="G121" s="7">
        <v>16</v>
      </c>
      <c r="H121" s="7">
        <v>397905.78367427661</v>
      </c>
      <c r="I121">
        <f t="shared" si="2"/>
        <v>1.1530861919777306E-3</v>
      </c>
      <c r="J121">
        <f t="shared" si="3"/>
        <v>2.8978874881638824E-5</v>
      </c>
    </row>
    <row r="122" spans="1:10" hidden="1" x14ac:dyDescent="0.3">
      <c r="A122" t="s">
        <v>399</v>
      </c>
      <c r="B122" t="s">
        <v>400</v>
      </c>
      <c r="C122" t="s">
        <v>403</v>
      </c>
      <c r="D122" s="7">
        <v>8.302824638953167</v>
      </c>
      <c r="E122" s="7">
        <v>35200</v>
      </c>
      <c r="F122" s="7">
        <v>4673154.3247549012</v>
      </c>
      <c r="G122" s="7">
        <v>28</v>
      </c>
      <c r="H122" s="7">
        <v>393672.69550736138</v>
      </c>
      <c r="I122">
        <f t="shared" si="2"/>
        <v>2.3587569997026044E-4</v>
      </c>
      <c r="J122">
        <f t="shared" si="3"/>
        <v>5.9916703053602989E-6</v>
      </c>
    </row>
    <row r="123" spans="1:10" hidden="1" x14ac:dyDescent="0.3">
      <c r="A123" t="s">
        <v>667</v>
      </c>
      <c r="B123" t="s">
        <v>691</v>
      </c>
      <c r="C123" t="s">
        <v>693</v>
      </c>
      <c r="D123" s="7">
        <v>0.64456444435579485</v>
      </c>
      <c r="E123" s="7">
        <v>2636</v>
      </c>
      <c r="F123" s="7">
        <v>954871.5431985294</v>
      </c>
      <c r="G123" s="7">
        <v>6</v>
      </c>
      <c r="H123" s="7">
        <v>389147.85386502312</v>
      </c>
      <c r="I123">
        <f t="shared" si="2"/>
        <v>2.4452368905758531E-4</v>
      </c>
      <c r="J123">
        <f t="shared" si="3"/>
        <v>6.2835677141469982E-6</v>
      </c>
    </row>
    <row r="124" spans="1:10" hidden="1" x14ac:dyDescent="0.3">
      <c r="A124" t="s">
        <v>399</v>
      </c>
      <c r="B124" t="s">
        <v>428</v>
      </c>
      <c r="C124" t="s">
        <v>428</v>
      </c>
      <c r="D124" s="7">
        <v>1.9116473402348779</v>
      </c>
      <c r="E124" s="7">
        <v>18892</v>
      </c>
      <c r="F124" s="7">
        <v>2234049.65625</v>
      </c>
      <c r="G124" s="7">
        <v>6</v>
      </c>
      <c r="H124" s="7">
        <v>376765.74593504798</v>
      </c>
      <c r="I124">
        <f t="shared" si="2"/>
        <v>1.0118819289831029E-4</v>
      </c>
      <c r="J124">
        <f t="shared" si="3"/>
        <v>2.6857057466087823E-6</v>
      </c>
    </row>
    <row r="125" spans="1:10" hidden="1" x14ac:dyDescent="0.3">
      <c r="A125" t="s">
        <v>117</v>
      </c>
      <c r="B125" t="s">
        <v>118</v>
      </c>
      <c r="C125" t="s">
        <v>118</v>
      </c>
      <c r="D125" s="7">
        <v>16.28929995304031</v>
      </c>
      <c r="E125" s="7">
        <v>43166</v>
      </c>
      <c r="F125" s="7">
        <v>14311956.00520833</v>
      </c>
      <c r="G125" s="7">
        <v>145</v>
      </c>
      <c r="H125" s="7">
        <v>372470.26200946001</v>
      </c>
      <c r="I125">
        <f t="shared" si="2"/>
        <v>3.7736412808785411E-4</v>
      </c>
      <c r="J125">
        <f t="shared" si="3"/>
        <v>1.0131389444408044E-5</v>
      </c>
    </row>
    <row r="126" spans="1:10" hidden="1" x14ac:dyDescent="0.3">
      <c r="A126" t="s">
        <v>184</v>
      </c>
      <c r="B126" t="s">
        <v>217</v>
      </c>
      <c r="C126" t="s">
        <v>218</v>
      </c>
      <c r="D126" s="7">
        <v>9.9184972171023364</v>
      </c>
      <c r="E126" s="7">
        <v>2227</v>
      </c>
      <c r="F126" s="7">
        <v>852984.04301470588</v>
      </c>
      <c r="G126" s="7">
        <v>103</v>
      </c>
      <c r="H126" s="7">
        <v>368832.63465038792</v>
      </c>
      <c r="I126">
        <f t="shared" si="2"/>
        <v>4.4537481890895092E-3</v>
      </c>
      <c r="J126">
        <f t="shared" si="3"/>
        <v>1.2075255198909298E-4</v>
      </c>
    </row>
    <row r="127" spans="1:10" hidden="1" x14ac:dyDescent="0.3">
      <c r="A127" t="s">
        <v>823</v>
      </c>
      <c r="B127" t="s">
        <v>850</v>
      </c>
      <c r="C127" t="s">
        <v>160</v>
      </c>
      <c r="D127" s="7">
        <v>10.66496326637197</v>
      </c>
      <c r="E127" s="7">
        <v>8205</v>
      </c>
      <c r="F127" s="7">
        <v>4326591.290808823</v>
      </c>
      <c r="G127" s="7">
        <v>154</v>
      </c>
      <c r="H127" s="7">
        <v>365179.11302959872</v>
      </c>
      <c r="I127">
        <f t="shared" si="2"/>
        <v>1.2998127076626412E-3</v>
      </c>
      <c r="J127">
        <f t="shared" si="3"/>
        <v>3.5593840427486016E-5</v>
      </c>
    </row>
    <row r="128" spans="1:10" hidden="1" x14ac:dyDescent="0.3">
      <c r="A128" t="s">
        <v>399</v>
      </c>
      <c r="B128" t="s">
        <v>435</v>
      </c>
      <c r="C128" t="s">
        <v>436</v>
      </c>
      <c r="D128" s="7">
        <v>3.0232377690873218</v>
      </c>
      <c r="E128" s="7">
        <v>32017</v>
      </c>
      <c r="F128" s="7">
        <v>2233833.328125</v>
      </c>
      <c r="G128" s="7">
        <v>6</v>
      </c>
      <c r="H128" s="7">
        <v>351553.30436088808</v>
      </c>
      <c r="I128">
        <f t="shared" si="2"/>
        <v>9.4426016462732985E-5</v>
      </c>
      <c r="J128">
        <f t="shared" si="3"/>
        <v>2.6859658348083588E-6</v>
      </c>
    </row>
    <row r="129" spans="1:10" hidden="1" x14ac:dyDescent="0.3">
      <c r="A129" t="s">
        <v>453</v>
      </c>
      <c r="B129" t="s">
        <v>466</v>
      </c>
      <c r="C129" t="s">
        <v>466</v>
      </c>
      <c r="D129" s="7">
        <v>7.4661543572232807</v>
      </c>
      <c r="E129" s="7">
        <v>22428</v>
      </c>
      <c r="F129" s="7">
        <v>5540038.8656249996</v>
      </c>
      <c r="G129" s="7">
        <v>54</v>
      </c>
      <c r="H129" s="7">
        <v>341527.33451383858</v>
      </c>
      <c r="I129">
        <f t="shared" si="2"/>
        <v>3.3289434444548247E-4</v>
      </c>
      <c r="J129">
        <f t="shared" si="3"/>
        <v>9.7472240375533881E-6</v>
      </c>
    </row>
    <row r="130" spans="1:10" hidden="1" x14ac:dyDescent="0.3">
      <c r="A130" t="s">
        <v>341</v>
      </c>
      <c r="B130" t="s">
        <v>95</v>
      </c>
      <c r="C130" t="s">
        <v>171</v>
      </c>
      <c r="D130" s="7">
        <v>0.92601184524596925</v>
      </c>
      <c r="E130" s="7">
        <v>2073</v>
      </c>
      <c r="F130" s="7">
        <v>75945.425367647069</v>
      </c>
      <c r="G130" s="7">
        <v>1</v>
      </c>
      <c r="H130" s="7">
        <v>339249.22085231502</v>
      </c>
      <c r="I130">
        <f t="shared" si="2"/>
        <v>4.4670132428652643E-4</v>
      </c>
      <c r="J130">
        <f t="shared" si="3"/>
        <v>1.3167350043258857E-5</v>
      </c>
    </row>
    <row r="131" spans="1:10" hidden="1" x14ac:dyDescent="0.3">
      <c r="A131" t="s">
        <v>184</v>
      </c>
      <c r="B131" t="s">
        <v>204</v>
      </c>
      <c r="C131" t="s">
        <v>207</v>
      </c>
      <c r="D131" s="7">
        <v>3.6138756181169271</v>
      </c>
      <c r="E131" s="7">
        <v>3730</v>
      </c>
      <c r="F131" s="7">
        <v>7627040.3794730389</v>
      </c>
      <c r="G131" s="7">
        <v>233</v>
      </c>
      <c r="H131" s="7">
        <v>317149.83794280101</v>
      </c>
      <c r="I131">
        <f t="shared" ref="I131:I194" si="4">D131/E131</f>
        <v>9.6886745794019498E-4</v>
      </c>
      <c r="J131">
        <f t="shared" ref="J131:J194" si="5">G131/F131</f>
        <v>3.0549202365190342E-5</v>
      </c>
    </row>
    <row r="132" spans="1:10" hidden="1" x14ac:dyDescent="0.3">
      <c r="A132" t="s">
        <v>149</v>
      </c>
      <c r="B132" t="s">
        <v>90</v>
      </c>
      <c r="C132" t="s">
        <v>90</v>
      </c>
      <c r="D132" s="7">
        <v>1.817560973041862</v>
      </c>
      <c r="E132" s="7">
        <v>6158</v>
      </c>
      <c r="F132" s="7">
        <v>2234852.875</v>
      </c>
      <c r="G132" s="7">
        <v>21</v>
      </c>
      <c r="H132" s="7">
        <v>314107.96378620161</v>
      </c>
      <c r="I132">
        <f t="shared" si="4"/>
        <v>2.9515442887980873E-4</v>
      </c>
      <c r="J132">
        <f t="shared" si="5"/>
        <v>9.3965917107630638E-6</v>
      </c>
    </row>
    <row r="133" spans="1:10" hidden="1" x14ac:dyDescent="0.3">
      <c r="A133" t="s">
        <v>399</v>
      </c>
      <c r="B133" t="s">
        <v>435</v>
      </c>
      <c r="C133" t="s">
        <v>437</v>
      </c>
      <c r="D133" s="7">
        <v>1.804389975547088</v>
      </c>
      <c r="E133" s="7">
        <v>11037</v>
      </c>
      <c r="F133" s="7">
        <v>744636.03125</v>
      </c>
      <c r="G133" s="7">
        <v>4</v>
      </c>
      <c r="H133" s="7">
        <v>304343.07108332613</v>
      </c>
      <c r="I133">
        <f t="shared" si="4"/>
        <v>1.6348554639368379E-4</v>
      </c>
      <c r="J133">
        <f t="shared" si="5"/>
        <v>5.3717518789485787E-6</v>
      </c>
    </row>
    <row r="134" spans="1:10" hidden="1" x14ac:dyDescent="0.3">
      <c r="A134" t="s">
        <v>823</v>
      </c>
      <c r="B134" t="s">
        <v>850</v>
      </c>
      <c r="C134" t="s">
        <v>852</v>
      </c>
      <c r="D134" s="7">
        <v>9.8972878462424241</v>
      </c>
      <c r="E134" s="7">
        <v>2750</v>
      </c>
      <c r="F134" s="7">
        <v>1439907.361642157</v>
      </c>
      <c r="G134" s="7">
        <v>173</v>
      </c>
      <c r="H134" s="7">
        <v>299551.81566150108</v>
      </c>
      <c r="I134">
        <f t="shared" si="4"/>
        <v>3.5990137622699723E-3</v>
      </c>
      <c r="J134">
        <f t="shared" si="5"/>
        <v>1.201466181843118E-4</v>
      </c>
    </row>
    <row r="135" spans="1:10" hidden="1" x14ac:dyDescent="0.3">
      <c r="A135" t="s">
        <v>952</v>
      </c>
      <c r="B135" t="s">
        <v>977</v>
      </c>
      <c r="C135" t="s">
        <v>981</v>
      </c>
      <c r="D135" s="7">
        <v>0.51564568319505044</v>
      </c>
      <c r="E135" s="7">
        <v>5728</v>
      </c>
      <c r="F135" s="7">
        <v>993223.75</v>
      </c>
      <c r="G135" s="7">
        <v>3</v>
      </c>
      <c r="H135" s="7">
        <v>298039.76904928999</v>
      </c>
      <c r="I135">
        <f t="shared" si="4"/>
        <v>9.0021941898577238E-5</v>
      </c>
      <c r="J135">
        <f t="shared" si="5"/>
        <v>3.0204674425072901E-6</v>
      </c>
    </row>
    <row r="136" spans="1:10" hidden="1" x14ac:dyDescent="0.3">
      <c r="A136" t="s">
        <v>225</v>
      </c>
      <c r="B136" t="s">
        <v>254</v>
      </c>
      <c r="C136" t="s">
        <v>254</v>
      </c>
      <c r="D136" s="7">
        <v>1.7681200540719451</v>
      </c>
      <c r="E136" s="7">
        <v>7146</v>
      </c>
      <c r="F136" s="7">
        <v>1488800.40625</v>
      </c>
      <c r="G136" s="7">
        <v>13</v>
      </c>
      <c r="H136" s="7">
        <v>283362.16654837388</v>
      </c>
      <c r="I136">
        <f t="shared" si="4"/>
        <v>2.474279392767905E-4</v>
      </c>
      <c r="J136">
        <f t="shared" si="5"/>
        <v>8.7318622062607334E-6</v>
      </c>
    </row>
    <row r="137" spans="1:10" hidden="1" x14ac:dyDescent="0.3">
      <c r="A137" t="s">
        <v>149</v>
      </c>
      <c r="B137" t="s">
        <v>174</v>
      </c>
      <c r="C137" t="s">
        <v>175</v>
      </c>
      <c r="D137" s="7">
        <v>2.9095682783581438</v>
      </c>
      <c r="E137" s="7">
        <v>21554</v>
      </c>
      <c r="F137" s="7">
        <v>3724699.53125</v>
      </c>
      <c r="G137" s="7">
        <v>18</v>
      </c>
      <c r="H137" s="7">
        <v>279331.17860413762</v>
      </c>
      <c r="I137">
        <f t="shared" si="4"/>
        <v>1.3498971320210373E-4</v>
      </c>
      <c r="J137">
        <f t="shared" si="5"/>
        <v>4.8326045762835652E-6</v>
      </c>
    </row>
    <row r="138" spans="1:10" hidden="1" x14ac:dyDescent="0.3">
      <c r="A138" t="s">
        <v>149</v>
      </c>
      <c r="B138" t="s">
        <v>170</v>
      </c>
      <c r="C138" t="s">
        <v>170</v>
      </c>
      <c r="D138" s="7">
        <v>3.3159357355696901</v>
      </c>
      <c r="E138" s="7">
        <v>7025</v>
      </c>
      <c r="F138" s="7">
        <v>2101440.7673406862</v>
      </c>
      <c r="G138" s="7">
        <v>36</v>
      </c>
      <c r="H138" s="7">
        <v>275533.51271680387</v>
      </c>
      <c r="I138">
        <f t="shared" si="4"/>
        <v>4.7201932178927975E-4</v>
      </c>
      <c r="J138">
        <f t="shared" si="5"/>
        <v>1.7131103840512709E-5</v>
      </c>
    </row>
    <row r="139" spans="1:10" hidden="1" x14ac:dyDescent="0.3">
      <c r="A139" t="s">
        <v>645</v>
      </c>
      <c r="B139" t="s">
        <v>765</v>
      </c>
      <c r="C139" t="s">
        <v>790</v>
      </c>
      <c r="D139" s="7">
        <v>18.882092878835369</v>
      </c>
      <c r="E139" s="7">
        <v>18632</v>
      </c>
      <c r="F139" s="7">
        <v>1867797.3920955879</v>
      </c>
      <c r="G139" s="7">
        <v>72</v>
      </c>
      <c r="H139" s="7">
        <v>262898.38745464332</v>
      </c>
      <c r="I139">
        <f t="shared" si="4"/>
        <v>1.0134227607790558E-3</v>
      </c>
      <c r="J139">
        <f t="shared" si="5"/>
        <v>3.8548078236269037E-5</v>
      </c>
    </row>
    <row r="140" spans="1:10" hidden="1" x14ac:dyDescent="0.3">
      <c r="A140" t="s">
        <v>915</v>
      </c>
      <c r="B140" t="s">
        <v>928</v>
      </c>
      <c r="C140" t="s">
        <v>929</v>
      </c>
      <c r="D140" s="7">
        <v>0.54351599534291506</v>
      </c>
      <c r="E140" s="7">
        <v>3235</v>
      </c>
      <c r="F140" s="7">
        <v>1241629.46875</v>
      </c>
      <c r="G140" s="7">
        <v>8</v>
      </c>
      <c r="H140" s="7">
        <v>260759.4577104912</v>
      </c>
      <c r="I140">
        <f t="shared" si="4"/>
        <v>1.6801112684479601E-4</v>
      </c>
      <c r="J140">
        <f t="shared" si="5"/>
        <v>6.4431460442493622E-6</v>
      </c>
    </row>
    <row r="141" spans="1:10" hidden="1" x14ac:dyDescent="0.3">
      <c r="A141" t="s">
        <v>341</v>
      </c>
      <c r="B141" t="s">
        <v>393</v>
      </c>
      <c r="C141" t="s">
        <v>398</v>
      </c>
      <c r="D141" s="7">
        <v>1.293401308282895</v>
      </c>
      <c r="E141" s="7">
        <v>6464</v>
      </c>
      <c r="F141" s="7">
        <v>248284.515625</v>
      </c>
      <c r="G141" s="7">
        <v>2</v>
      </c>
      <c r="H141" s="7">
        <v>248399.9979391706</v>
      </c>
      <c r="I141">
        <f t="shared" si="4"/>
        <v>2.0009302417742805E-4</v>
      </c>
      <c r="J141">
        <f t="shared" si="5"/>
        <v>8.0552747921691912E-6</v>
      </c>
    </row>
    <row r="142" spans="1:10" hidden="1" x14ac:dyDescent="0.3">
      <c r="A142" t="s">
        <v>184</v>
      </c>
      <c r="B142" t="s">
        <v>185</v>
      </c>
      <c r="C142" t="s">
        <v>191</v>
      </c>
      <c r="D142" s="7">
        <v>9.1064468513855896</v>
      </c>
      <c r="E142" s="7">
        <v>3385</v>
      </c>
      <c r="F142" s="7">
        <v>6443013.4837622549</v>
      </c>
      <c r="G142" s="7">
        <v>700</v>
      </c>
      <c r="H142" s="7">
        <v>247617.4714186186</v>
      </c>
      <c r="I142">
        <f t="shared" si="4"/>
        <v>2.6902354066131728E-3</v>
      </c>
      <c r="J142">
        <f t="shared" si="5"/>
        <v>1.0864481376054027E-4</v>
      </c>
    </row>
    <row r="143" spans="1:10" hidden="1" x14ac:dyDescent="0.3">
      <c r="A143" t="s">
        <v>399</v>
      </c>
      <c r="B143" t="s">
        <v>416</v>
      </c>
      <c r="C143" t="s">
        <v>418</v>
      </c>
      <c r="D143" s="7">
        <v>1.5178901316596469</v>
      </c>
      <c r="E143" s="7">
        <v>10571</v>
      </c>
      <c r="F143" s="7">
        <v>170392.29932598039</v>
      </c>
      <c r="G143" s="7">
        <v>1</v>
      </c>
      <c r="H143" s="7">
        <v>244666.34155491661</v>
      </c>
      <c r="I143">
        <f t="shared" si="4"/>
        <v>1.4359002286062312E-4</v>
      </c>
      <c r="J143">
        <f t="shared" si="5"/>
        <v>5.8688098227190597E-6</v>
      </c>
    </row>
    <row r="144" spans="1:10" hidden="1" x14ac:dyDescent="0.3">
      <c r="A144" t="s">
        <v>280</v>
      </c>
      <c r="B144" t="s">
        <v>329</v>
      </c>
      <c r="C144" t="s">
        <v>334</v>
      </c>
      <c r="D144" s="7">
        <v>1.5158755142226441</v>
      </c>
      <c r="E144" s="7">
        <v>2422</v>
      </c>
      <c r="F144" s="7">
        <v>506386.50821078429</v>
      </c>
      <c r="G144" s="7">
        <v>13</v>
      </c>
      <c r="H144" s="7">
        <v>243796.8965665476</v>
      </c>
      <c r="I144">
        <f t="shared" si="4"/>
        <v>6.2587758638424612E-4</v>
      </c>
      <c r="J144">
        <f t="shared" si="5"/>
        <v>2.5672089973196378E-5</v>
      </c>
    </row>
    <row r="145" spans="1:10" hidden="1" x14ac:dyDescent="0.3">
      <c r="A145" t="s">
        <v>645</v>
      </c>
      <c r="B145" t="s">
        <v>765</v>
      </c>
      <c r="C145" t="s">
        <v>788</v>
      </c>
      <c r="D145" s="7">
        <v>16.183488412157629</v>
      </c>
      <c r="E145" s="7">
        <v>38625</v>
      </c>
      <c r="F145" s="7">
        <v>18210596.126286771</v>
      </c>
      <c r="G145" s="7">
        <v>315</v>
      </c>
      <c r="H145" s="7">
        <v>242224.0479895162</v>
      </c>
      <c r="I145">
        <f t="shared" si="4"/>
        <v>4.1898999125327194E-4</v>
      </c>
      <c r="J145">
        <f t="shared" si="5"/>
        <v>1.7297621550417089E-5</v>
      </c>
    </row>
    <row r="146" spans="1:10" hidden="1" x14ac:dyDescent="0.3">
      <c r="A146" t="s">
        <v>117</v>
      </c>
      <c r="B146" t="s">
        <v>145</v>
      </c>
      <c r="C146" t="s">
        <v>145</v>
      </c>
      <c r="D146" s="7">
        <v>4.4082035689426071</v>
      </c>
      <c r="E146" s="7">
        <v>9714</v>
      </c>
      <c r="F146" s="7">
        <v>1481752.5919730391</v>
      </c>
      <c r="G146" s="7">
        <v>28</v>
      </c>
      <c r="H146" s="7">
        <v>240149.23469166411</v>
      </c>
      <c r="I146">
        <f t="shared" si="4"/>
        <v>4.5379900853846069E-4</v>
      </c>
      <c r="J146">
        <f t="shared" si="5"/>
        <v>1.8896541940727354E-5</v>
      </c>
    </row>
    <row r="147" spans="1:10" hidden="1" x14ac:dyDescent="0.3">
      <c r="A147" t="s">
        <v>749</v>
      </c>
      <c r="B147" t="s">
        <v>759</v>
      </c>
      <c r="C147" t="s">
        <v>761</v>
      </c>
      <c r="D147" s="7">
        <v>5.1647824438831744</v>
      </c>
      <c r="E147" s="7">
        <v>9945</v>
      </c>
      <c r="F147" s="7">
        <v>5461355.96875</v>
      </c>
      <c r="G147" s="7">
        <v>123</v>
      </c>
      <c r="H147" s="7">
        <v>230591.1409271039</v>
      </c>
      <c r="I147">
        <f t="shared" si="4"/>
        <v>5.193345846036374E-4</v>
      </c>
      <c r="J147">
        <f t="shared" si="5"/>
        <v>2.2521879310524479E-5</v>
      </c>
    </row>
    <row r="148" spans="1:10" hidden="1" x14ac:dyDescent="0.3">
      <c r="A148" t="s">
        <v>280</v>
      </c>
      <c r="B148" t="s">
        <v>303</v>
      </c>
      <c r="C148" t="s">
        <v>303</v>
      </c>
      <c r="D148" s="7">
        <v>1.6036495929100569</v>
      </c>
      <c r="E148" s="7">
        <v>6938</v>
      </c>
      <c r="F148" s="7">
        <v>1486804.125</v>
      </c>
      <c r="G148" s="7">
        <v>15</v>
      </c>
      <c r="H148" s="7">
        <v>229106.6426245069</v>
      </c>
      <c r="I148">
        <f t="shared" si="4"/>
        <v>2.3114003933555159E-4</v>
      </c>
      <c r="J148">
        <f t="shared" si="5"/>
        <v>1.0088753284835015E-5</v>
      </c>
    </row>
    <row r="149" spans="1:10" hidden="1" x14ac:dyDescent="0.3">
      <c r="A149" t="s">
        <v>823</v>
      </c>
      <c r="B149" t="s">
        <v>865</v>
      </c>
      <c r="C149" t="s">
        <v>866</v>
      </c>
      <c r="D149" s="7">
        <v>5.1701432897421844</v>
      </c>
      <c r="E149" s="7">
        <v>1293</v>
      </c>
      <c r="F149" s="7">
        <v>744767.65625</v>
      </c>
      <c r="G149" s="7">
        <v>131</v>
      </c>
      <c r="H149" s="7">
        <v>227328.33285382541</v>
      </c>
      <c r="I149">
        <f t="shared" si="4"/>
        <v>3.9985640291896243E-3</v>
      </c>
      <c r="J149">
        <f t="shared" si="5"/>
        <v>1.758937823100451E-4</v>
      </c>
    </row>
    <row r="150" spans="1:10" hidden="1" x14ac:dyDescent="0.3">
      <c r="A150" t="s">
        <v>453</v>
      </c>
      <c r="B150" t="s">
        <v>474</v>
      </c>
      <c r="C150" t="s">
        <v>476</v>
      </c>
      <c r="D150" s="7">
        <v>5.7744348028492869</v>
      </c>
      <c r="E150" s="7">
        <v>9229</v>
      </c>
      <c r="F150" s="7">
        <v>1337058.510110294</v>
      </c>
      <c r="G150" s="7">
        <v>37</v>
      </c>
      <c r="H150" s="7">
        <v>226101.54226620251</v>
      </c>
      <c r="I150">
        <f t="shared" si="4"/>
        <v>6.2568369301650088E-4</v>
      </c>
      <c r="J150">
        <f t="shared" si="5"/>
        <v>2.7672685765223445E-5</v>
      </c>
    </row>
    <row r="151" spans="1:10" hidden="1" x14ac:dyDescent="0.3">
      <c r="A151" t="s">
        <v>13</v>
      </c>
      <c r="B151" t="s">
        <v>69</v>
      </c>
      <c r="C151" t="s">
        <v>69</v>
      </c>
      <c r="D151" s="7">
        <v>1.8850651658675519</v>
      </c>
      <c r="E151" s="7">
        <v>11140</v>
      </c>
      <c r="F151" s="7">
        <v>1735887.140625</v>
      </c>
      <c r="G151" s="7">
        <v>13</v>
      </c>
      <c r="H151" s="7">
        <v>225953.62385510409</v>
      </c>
      <c r="I151">
        <f t="shared" si="4"/>
        <v>1.6921590357877486E-4</v>
      </c>
      <c r="J151">
        <f t="shared" si="5"/>
        <v>7.4889661290534106E-6</v>
      </c>
    </row>
    <row r="152" spans="1:10" hidden="1" x14ac:dyDescent="0.3">
      <c r="A152" t="s">
        <v>399</v>
      </c>
      <c r="B152" t="s">
        <v>409</v>
      </c>
      <c r="C152" t="s">
        <v>409</v>
      </c>
      <c r="D152" s="7">
        <v>0.95885753906347859</v>
      </c>
      <c r="E152" s="7">
        <v>21331</v>
      </c>
      <c r="F152" s="7">
        <v>1489432.71875</v>
      </c>
      <c r="G152" s="7">
        <v>3</v>
      </c>
      <c r="H152" s="7">
        <v>223173.43948576419</v>
      </c>
      <c r="I152">
        <f t="shared" si="4"/>
        <v>4.4951363699005141E-5</v>
      </c>
      <c r="J152">
        <f t="shared" si="5"/>
        <v>2.0141896725068166E-6</v>
      </c>
    </row>
    <row r="153" spans="1:10" hidden="1" x14ac:dyDescent="0.3">
      <c r="A153" t="s">
        <v>915</v>
      </c>
      <c r="B153" t="s">
        <v>916</v>
      </c>
      <c r="C153" t="s">
        <v>917</v>
      </c>
      <c r="D153" s="7">
        <v>9.1473590497282693</v>
      </c>
      <c r="E153" s="7">
        <v>68944</v>
      </c>
      <c r="F153" s="7">
        <v>19704434.839644611</v>
      </c>
      <c r="G153" s="7">
        <v>119</v>
      </c>
      <c r="H153" s="7">
        <v>219693.02616348729</v>
      </c>
      <c r="I153">
        <f t="shared" si="4"/>
        <v>1.3267810178881802E-4</v>
      </c>
      <c r="J153">
        <f t="shared" si="5"/>
        <v>6.0392495886548492E-6</v>
      </c>
    </row>
    <row r="154" spans="1:10" hidden="1" x14ac:dyDescent="0.3">
      <c r="A154" t="s">
        <v>915</v>
      </c>
      <c r="B154" t="s">
        <v>916</v>
      </c>
      <c r="C154" t="s">
        <v>922</v>
      </c>
      <c r="D154" s="7">
        <v>1.3534565905597979</v>
      </c>
      <c r="E154" s="7">
        <v>9088</v>
      </c>
      <c r="F154" s="7">
        <v>1738283.34375</v>
      </c>
      <c r="G154" s="7">
        <v>12</v>
      </c>
      <c r="H154" s="7">
        <v>215732.3804154527</v>
      </c>
      <c r="I154">
        <f t="shared" si="4"/>
        <v>1.4892788188378058E-4</v>
      </c>
      <c r="J154">
        <f t="shared" si="5"/>
        <v>6.90336247145554E-6</v>
      </c>
    </row>
    <row r="155" spans="1:10" hidden="1" x14ac:dyDescent="0.3">
      <c r="A155" t="s">
        <v>13</v>
      </c>
      <c r="B155" t="s">
        <v>88</v>
      </c>
      <c r="C155" t="s">
        <v>88</v>
      </c>
      <c r="D155" s="7">
        <v>3.104288539987714</v>
      </c>
      <c r="E155" s="7">
        <v>3755</v>
      </c>
      <c r="F155" s="7">
        <v>2902601.3778799018</v>
      </c>
      <c r="G155" s="7">
        <v>112</v>
      </c>
      <c r="H155" s="7">
        <v>214250.33749061069</v>
      </c>
      <c r="I155">
        <f t="shared" si="4"/>
        <v>8.2670799999672809E-4</v>
      </c>
      <c r="J155">
        <f t="shared" si="5"/>
        <v>3.8586076907951537E-5</v>
      </c>
    </row>
    <row r="156" spans="1:10" hidden="1" x14ac:dyDescent="0.3">
      <c r="A156" t="s">
        <v>225</v>
      </c>
      <c r="B156" t="s">
        <v>259</v>
      </c>
      <c r="C156" t="s">
        <v>261</v>
      </c>
      <c r="D156" s="7">
        <v>0.78775994027479324</v>
      </c>
      <c r="E156" s="7">
        <v>10442</v>
      </c>
      <c r="F156" s="7">
        <v>3967734.6639705878</v>
      </c>
      <c r="G156" s="7">
        <v>14</v>
      </c>
      <c r="H156" s="7">
        <v>213808.41258623809</v>
      </c>
      <c r="I156">
        <f t="shared" si="4"/>
        <v>7.5441480585595975E-5</v>
      </c>
      <c r="J156">
        <f t="shared" si="5"/>
        <v>3.5284617510158637E-6</v>
      </c>
    </row>
    <row r="157" spans="1:10" hidden="1" x14ac:dyDescent="0.3">
      <c r="A157" t="s">
        <v>453</v>
      </c>
      <c r="B157" t="s">
        <v>461</v>
      </c>
      <c r="C157" t="s">
        <v>317</v>
      </c>
      <c r="D157" s="7">
        <v>10.978722373292779</v>
      </c>
      <c r="E157" s="7">
        <v>12809</v>
      </c>
      <c r="F157" s="7">
        <v>1375027.440073529</v>
      </c>
      <c r="G157" s="7">
        <v>57</v>
      </c>
      <c r="H157" s="7">
        <v>206763.12461532341</v>
      </c>
      <c r="I157">
        <f t="shared" si="4"/>
        <v>8.5711002992370827E-4</v>
      </c>
      <c r="J157">
        <f t="shared" si="5"/>
        <v>4.1453718186854474E-5</v>
      </c>
    </row>
    <row r="158" spans="1:10" hidden="1" x14ac:dyDescent="0.3">
      <c r="A158" t="s">
        <v>13</v>
      </c>
      <c r="B158" t="s">
        <v>14</v>
      </c>
      <c r="C158" t="s">
        <v>34</v>
      </c>
      <c r="D158" s="7">
        <v>11.128568658698359</v>
      </c>
      <c r="E158" s="7">
        <v>36409</v>
      </c>
      <c r="F158" s="7">
        <v>4724842.6190563729</v>
      </c>
      <c r="G158" s="7">
        <v>72</v>
      </c>
      <c r="H158" s="7">
        <v>200578.97577107401</v>
      </c>
      <c r="I158">
        <f t="shared" si="4"/>
        <v>3.0565433433212555E-4</v>
      </c>
      <c r="J158">
        <f t="shared" si="5"/>
        <v>1.5238602807553315E-5</v>
      </c>
    </row>
    <row r="159" spans="1:10" hidden="1" x14ac:dyDescent="0.3">
      <c r="A159" t="s">
        <v>280</v>
      </c>
      <c r="B159" t="s">
        <v>329</v>
      </c>
      <c r="C159" t="s">
        <v>329</v>
      </c>
      <c r="D159" s="7">
        <v>10.028362483574419</v>
      </c>
      <c r="E159" s="7">
        <v>12149</v>
      </c>
      <c r="F159" s="7">
        <v>1239120.78125</v>
      </c>
      <c r="G159" s="7">
        <v>53</v>
      </c>
      <c r="H159" s="7">
        <v>192986.6477915711</v>
      </c>
      <c r="I159">
        <f t="shared" si="4"/>
        <v>8.2544756634903439E-4</v>
      </c>
      <c r="J159">
        <f t="shared" si="5"/>
        <v>4.2772263044878214E-5</v>
      </c>
    </row>
    <row r="160" spans="1:10" hidden="1" x14ac:dyDescent="0.3">
      <c r="A160" t="s">
        <v>645</v>
      </c>
      <c r="B160" t="s">
        <v>802</v>
      </c>
      <c r="C160" t="s">
        <v>805</v>
      </c>
      <c r="D160" s="7">
        <v>3.838609854703217</v>
      </c>
      <c r="E160" s="7">
        <v>13123</v>
      </c>
      <c r="F160" s="7">
        <v>3871791.2958333329</v>
      </c>
      <c r="G160" s="7">
        <v>59</v>
      </c>
      <c r="H160" s="7">
        <v>191955.59386017779</v>
      </c>
      <c r="I160">
        <f t="shared" si="4"/>
        <v>2.9251008570473346E-4</v>
      </c>
      <c r="J160">
        <f t="shared" si="5"/>
        <v>1.5238424670124509E-5</v>
      </c>
    </row>
    <row r="161" spans="1:12" hidden="1" x14ac:dyDescent="0.3">
      <c r="A161" t="s">
        <v>492</v>
      </c>
      <c r="B161" t="s">
        <v>492</v>
      </c>
      <c r="C161" t="s">
        <v>499</v>
      </c>
      <c r="D161" s="7">
        <v>0.73610117423772048</v>
      </c>
      <c r="E161" s="7">
        <v>4906</v>
      </c>
      <c r="F161" s="7">
        <v>495612.59375</v>
      </c>
      <c r="G161" s="7">
        <v>4</v>
      </c>
      <c r="H161" s="7">
        <v>185905.53007866759</v>
      </c>
      <c r="I161">
        <f t="shared" si="4"/>
        <v>1.5004100575575225E-4</v>
      </c>
      <c r="J161">
        <f t="shared" si="5"/>
        <v>8.0708199316212397E-6</v>
      </c>
    </row>
    <row r="162" spans="1:12" hidden="1" x14ac:dyDescent="0.3">
      <c r="A162" t="s">
        <v>13</v>
      </c>
      <c r="B162" t="s">
        <v>39</v>
      </c>
      <c r="C162" t="s">
        <v>46</v>
      </c>
      <c r="D162" s="7">
        <v>1.9050266378261851</v>
      </c>
      <c r="E162" s="7">
        <v>2794</v>
      </c>
      <c r="F162" s="7">
        <v>731412.09785539214</v>
      </c>
      <c r="G162" s="7">
        <v>27</v>
      </c>
      <c r="H162" s="7">
        <v>184702.60739187861</v>
      </c>
      <c r="I162">
        <f t="shared" si="4"/>
        <v>6.8182771575740341E-4</v>
      </c>
      <c r="J162">
        <f t="shared" si="5"/>
        <v>3.6914893914344557E-5</v>
      </c>
    </row>
    <row r="163" spans="1:12" hidden="1" x14ac:dyDescent="0.3">
      <c r="A163" t="s">
        <v>399</v>
      </c>
      <c r="B163" t="s">
        <v>422</v>
      </c>
      <c r="C163" t="s">
        <v>424</v>
      </c>
      <c r="D163" s="7">
        <v>1.437556904973502</v>
      </c>
      <c r="E163" s="7">
        <v>9875</v>
      </c>
      <c r="F163" s="7">
        <v>496173.71875</v>
      </c>
      <c r="G163" s="7">
        <v>4</v>
      </c>
      <c r="H163" s="7">
        <v>180576.69758365641</v>
      </c>
      <c r="I163">
        <f t="shared" si="4"/>
        <v>1.4557538278212677E-4</v>
      </c>
      <c r="J163">
        <f t="shared" si="5"/>
        <v>8.0616926065272381E-6</v>
      </c>
    </row>
    <row r="164" spans="1:12" hidden="1" x14ac:dyDescent="0.3">
      <c r="A164" t="s">
        <v>117</v>
      </c>
      <c r="B164" t="s">
        <v>117</v>
      </c>
      <c r="C164" t="s">
        <v>134</v>
      </c>
      <c r="D164" s="7">
        <v>0.82012366333892606</v>
      </c>
      <c r="E164" s="7">
        <v>3372</v>
      </c>
      <c r="F164" s="7">
        <v>496183.765625</v>
      </c>
      <c r="G164" s="7">
        <v>7</v>
      </c>
      <c r="H164" s="7">
        <v>172399.61343572201</v>
      </c>
      <c r="I164">
        <f t="shared" si="4"/>
        <v>2.4321579577073728E-4</v>
      </c>
      <c r="J164">
        <f t="shared" si="5"/>
        <v>1.4107676399252407E-5</v>
      </c>
    </row>
    <row r="165" spans="1:12" hidden="1" x14ac:dyDescent="0.3">
      <c r="A165" t="s">
        <v>184</v>
      </c>
      <c r="B165" t="s">
        <v>217</v>
      </c>
      <c r="C165" t="s">
        <v>1004</v>
      </c>
      <c r="D165" s="7">
        <v>1.2718281283910571</v>
      </c>
      <c r="E165" s="7">
        <v>4182</v>
      </c>
      <c r="F165" s="7">
        <v>3814125.3053308828</v>
      </c>
      <c r="G165" s="7">
        <v>68</v>
      </c>
      <c r="H165" s="7">
        <v>170580.91570765269</v>
      </c>
      <c r="I165">
        <f t="shared" si="4"/>
        <v>3.041195907200041E-4</v>
      </c>
      <c r="J165">
        <f t="shared" si="5"/>
        <v>1.782846512802255E-5</v>
      </c>
    </row>
    <row r="166" spans="1:12" x14ac:dyDescent="0.3">
      <c r="A166" t="s">
        <v>225</v>
      </c>
      <c r="B166" t="s">
        <v>247</v>
      </c>
      <c r="C166" t="s">
        <v>252</v>
      </c>
      <c r="D166" s="2">
        <v>1.5988315580280781</v>
      </c>
      <c r="E166" s="2">
        <v>3335</v>
      </c>
      <c r="F166" s="2">
        <v>603493.37665441202</v>
      </c>
      <c r="G166" s="2">
        <v>17</v>
      </c>
      <c r="H166" s="2">
        <v>170188.59787565019</v>
      </c>
      <c r="I166">
        <f>D166/E166</f>
        <v>4.7940976252715983E-4</v>
      </c>
      <c r="J166">
        <f>G166/F166</f>
        <v>2.8169323239706375E-5</v>
      </c>
      <c r="K166">
        <f>F166/G166</f>
        <v>35499.610391435999</v>
      </c>
      <c r="L166">
        <f>K166*I166</f>
        <v>17.018859787565027</v>
      </c>
    </row>
    <row r="167" spans="1:12" hidden="1" x14ac:dyDescent="0.3">
      <c r="A167" t="s">
        <v>867</v>
      </c>
      <c r="B167" t="s">
        <v>888</v>
      </c>
      <c r="C167" t="s">
        <v>889</v>
      </c>
      <c r="D167" s="7">
        <v>0.67661452825967716</v>
      </c>
      <c r="E167" s="7">
        <v>3000</v>
      </c>
      <c r="F167" s="7">
        <v>603502.99675245094</v>
      </c>
      <c r="G167" s="7">
        <v>8</v>
      </c>
      <c r="H167" s="7">
        <v>170141.2064379004</v>
      </c>
      <c r="I167">
        <f t="shared" si="4"/>
        <v>2.2553817608655905E-4</v>
      </c>
      <c r="J167">
        <f t="shared" si="5"/>
        <v>1.3255940804021386E-5</v>
      </c>
    </row>
    <row r="168" spans="1:12" hidden="1" x14ac:dyDescent="0.3">
      <c r="A168" t="s">
        <v>149</v>
      </c>
      <c r="B168" t="s">
        <v>90</v>
      </c>
      <c r="C168" t="s">
        <v>161</v>
      </c>
      <c r="D168" s="7">
        <v>1.8304713096813721</v>
      </c>
      <c r="E168" s="7">
        <v>2657</v>
      </c>
      <c r="F168" s="7">
        <v>217157.7006127451</v>
      </c>
      <c r="G168" s="7">
        <v>9</v>
      </c>
      <c r="H168" s="7">
        <v>166227.9683218362</v>
      </c>
      <c r="I168">
        <f t="shared" si="4"/>
        <v>6.8892409096024546E-4</v>
      </c>
      <c r="J168">
        <f t="shared" si="5"/>
        <v>4.1444535351981826E-5</v>
      </c>
    </row>
    <row r="169" spans="1:12" hidden="1" x14ac:dyDescent="0.3">
      <c r="A169" t="s">
        <v>605</v>
      </c>
      <c r="B169" t="s">
        <v>628</v>
      </c>
      <c r="C169" t="s">
        <v>632</v>
      </c>
      <c r="D169" s="7">
        <v>0.92518029033714677</v>
      </c>
      <c r="E169" s="7">
        <v>1003</v>
      </c>
      <c r="F169" s="7">
        <v>993078.515625</v>
      </c>
      <c r="G169" s="7">
        <v>56</v>
      </c>
      <c r="H169" s="7">
        <v>163576.53279688081</v>
      </c>
      <c r="I169">
        <f t="shared" si="4"/>
        <v>9.2241305118359596E-4</v>
      </c>
      <c r="J169">
        <f t="shared" si="5"/>
        <v>5.6390304612275352E-5</v>
      </c>
    </row>
    <row r="170" spans="1:12" hidden="1" x14ac:dyDescent="0.3">
      <c r="A170" t="s">
        <v>749</v>
      </c>
      <c r="B170" t="s">
        <v>759</v>
      </c>
      <c r="C170" t="s">
        <v>759</v>
      </c>
      <c r="D170" s="7">
        <v>0.79779016942915981</v>
      </c>
      <c r="E170" s="7">
        <v>2002</v>
      </c>
      <c r="F170" s="7">
        <v>859620.42941176472</v>
      </c>
      <c r="G170" s="7">
        <v>21</v>
      </c>
      <c r="H170" s="7">
        <v>163121.81343065959</v>
      </c>
      <c r="I170">
        <f t="shared" si="4"/>
        <v>3.9849658812645344E-4</v>
      </c>
      <c r="J170">
        <f t="shared" si="5"/>
        <v>2.4429386833407655E-5</v>
      </c>
    </row>
    <row r="171" spans="1:12" hidden="1" x14ac:dyDescent="0.3">
      <c r="A171" t="s">
        <v>749</v>
      </c>
      <c r="B171" t="s">
        <v>763</v>
      </c>
      <c r="C171" t="s">
        <v>763</v>
      </c>
      <c r="D171" s="7">
        <v>0.51533368708746219</v>
      </c>
      <c r="E171" s="7">
        <v>5967</v>
      </c>
      <c r="F171" s="7">
        <v>1489621.5</v>
      </c>
      <c r="G171" s="7">
        <v>8</v>
      </c>
      <c r="H171" s="7">
        <v>160811.9951315058</v>
      </c>
      <c r="I171">
        <f t="shared" si="4"/>
        <v>8.6363949570548385E-5</v>
      </c>
      <c r="J171">
        <f t="shared" si="5"/>
        <v>5.3704917658613276E-6</v>
      </c>
    </row>
    <row r="172" spans="1:12" hidden="1" x14ac:dyDescent="0.3">
      <c r="A172" t="s">
        <v>645</v>
      </c>
      <c r="B172" t="s">
        <v>765</v>
      </c>
      <c r="C172" t="s">
        <v>138</v>
      </c>
      <c r="D172" s="7">
        <v>6.5166491842014747</v>
      </c>
      <c r="E172" s="7">
        <v>52356</v>
      </c>
      <c r="F172" s="7">
        <v>57340996.450551473</v>
      </c>
      <c r="G172" s="7">
        <v>444</v>
      </c>
      <c r="H172" s="7">
        <v>160745.9902634639</v>
      </c>
      <c r="I172">
        <f t="shared" si="4"/>
        <v>1.2446804920546785E-4</v>
      </c>
      <c r="J172">
        <f t="shared" si="5"/>
        <v>7.7431511045136335E-6</v>
      </c>
    </row>
    <row r="173" spans="1:12" hidden="1" x14ac:dyDescent="0.3">
      <c r="A173" t="s">
        <v>13</v>
      </c>
      <c r="B173" t="s">
        <v>14</v>
      </c>
      <c r="C173" t="s">
        <v>30</v>
      </c>
      <c r="D173" s="7">
        <v>7.3988976459034141</v>
      </c>
      <c r="E173" s="7">
        <v>5271</v>
      </c>
      <c r="F173" s="7">
        <v>102130.48995098039</v>
      </c>
      <c r="G173" s="7">
        <v>9</v>
      </c>
      <c r="H173" s="7">
        <v>159289.41201822789</v>
      </c>
      <c r="I173">
        <f t="shared" si="4"/>
        <v>1.4036990411503347E-3</v>
      </c>
      <c r="J173">
        <f t="shared" si="5"/>
        <v>8.812255776232673E-5</v>
      </c>
    </row>
    <row r="174" spans="1:12" hidden="1" x14ac:dyDescent="0.3">
      <c r="A174" t="s">
        <v>149</v>
      </c>
      <c r="B174" t="s">
        <v>170</v>
      </c>
      <c r="C174" t="s">
        <v>171</v>
      </c>
      <c r="D174" s="7">
        <v>0.7941511402866589</v>
      </c>
      <c r="E174" s="7">
        <v>2809</v>
      </c>
      <c r="F174" s="7">
        <v>649509.52751225489</v>
      </c>
      <c r="G174" s="7">
        <v>12</v>
      </c>
      <c r="H174" s="7">
        <v>153022.64504002209</v>
      </c>
      <c r="I174">
        <f t="shared" si="4"/>
        <v>2.8271667507535024E-4</v>
      </c>
      <c r="J174">
        <f t="shared" si="5"/>
        <v>1.8475479560649839E-5</v>
      </c>
    </row>
    <row r="175" spans="1:12" hidden="1" x14ac:dyDescent="0.3">
      <c r="A175" t="s">
        <v>280</v>
      </c>
      <c r="B175" t="s">
        <v>329</v>
      </c>
      <c r="C175" t="s">
        <v>335</v>
      </c>
      <c r="D175" s="7">
        <v>4.0383612816169494</v>
      </c>
      <c r="E175" s="7">
        <v>1011</v>
      </c>
      <c r="F175" s="7">
        <v>96218.330514705885</v>
      </c>
      <c r="G175" s="7">
        <v>26</v>
      </c>
      <c r="H175" s="7">
        <v>147821.7988786468</v>
      </c>
      <c r="I175">
        <f t="shared" si="4"/>
        <v>3.9944226326577145E-3</v>
      </c>
      <c r="J175">
        <f t="shared" si="5"/>
        <v>2.7021878119186648E-4</v>
      </c>
    </row>
    <row r="176" spans="1:12" hidden="1" x14ac:dyDescent="0.3">
      <c r="A176" t="s">
        <v>605</v>
      </c>
      <c r="B176" t="s">
        <v>661</v>
      </c>
      <c r="C176" t="s">
        <v>662</v>
      </c>
      <c r="D176" s="7">
        <v>0.94042103350561157</v>
      </c>
      <c r="E176" s="7">
        <v>6596</v>
      </c>
      <c r="F176" s="7">
        <v>3608842.4644607841</v>
      </c>
      <c r="G176" s="7">
        <v>35</v>
      </c>
      <c r="H176" s="7">
        <v>147008.2023818396</v>
      </c>
      <c r="I176">
        <f t="shared" si="4"/>
        <v>1.4257444413365853E-4</v>
      </c>
      <c r="J176">
        <f t="shared" si="5"/>
        <v>9.6984006214384681E-6</v>
      </c>
    </row>
    <row r="177" spans="1:10" hidden="1" x14ac:dyDescent="0.3">
      <c r="A177" t="s">
        <v>13</v>
      </c>
      <c r="B177" t="s">
        <v>39</v>
      </c>
      <c r="C177" t="s">
        <v>45</v>
      </c>
      <c r="D177" s="7">
        <v>2.153131758478279</v>
      </c>
      <c r="E177" s="7">
        <v>3183</v>
      </c>
      <c r="F177" s="7">
        <v>250925.4317401961</v>
      </c>
      <c r="G177" s="7">
        <v>12</v>
      </c>
      <c r="H177" s="7">
        <v>141448.19250436951</v>
      </c>
      <c r="I177">
        <f t="shared" si="4"/>
        <v>6.764473008100154E-4</v>
      </c>
      <c r="J177">
        <f t="shared" si="5"/>
        <v>4.7822972413671467E-5</v>
      </c>
    </row>
    <row r="178" spans="1:10" hidden="1" x14ac:dyDescent="0.3">
      <c r="A178" t="s">
        <v>933</v>
      </c>
      <c r="B178" t="s">
        <v>933</v>
      </c>
      <c r="C178" t="s">
        <v>933</v>
      </c>
      <c r="D178" s="7">
        <v>4.2419589232432164</v>
      </c>
      <c r="E178" s="7">
        <v>75980</v>
      </c>
      <c r="F178" s="7">
        <v>24223062.226286761</v>
      </c>
      <c r="G178" s="7">
        <v>96</v>
      </c>
      <c r="H178" s="7">
        <v>140872.09759020031</v>
      </c>
      <c r="I178">
        <f t="shared" si="4"/>
        <v>5.5829941079800164E-5</v>
      </c>
      <c r="J178">
        <f t="shared" si="5"/>
        <v>3.9631653134185989E-6</v>
      </c>
    </row>
    <row r="179" spans="1:10" hidden="1" x14ac:dyDescent="0.3">
      <c r="A179" t="s">
        <v>90</v>
      </c>
      <c r="B179" t="s">
        <v>102</v>
      </c>
      <c r="C179" t="s">
        <v>104</v>
      </c>
      <c r="D179" s="7">
        <v>1.939486299550194</v>
      </c>
      <c r="E179" s="7">
        <v>2873</v>
      </c>
      <c r="F179" s="7">
        <v>40883.757352941167</v>
      </c>
      <c r="G179" s="7">
        <v>2</v>
      </c>
      <c r="H179" s="7">
        <v>137997.71538490069</v>
      </c>
      <c r="I179">
        <f t="shared" si="4"/>
        <v>6.7507354665861258E-4</v>
      </c>
      <c r="J179">
        <f t="shared" si="5"/>
        <v>4.891918281224513E-5</v>
      </c>
    </row>
    <row r="180" spans="1:10" hidden="1" x14ac:dyDescent="0.3">
      <c r="A180" t="s">
        <v>823</v>
      </c>
      <c r="B180" t="s">
        <v>824</v>
      </c>
      <c r="C180" t="s">
        <v>397</v>
      </c>
      <c r="D180" s="7">
        <v>13.36331437080068</v>
      </c>
      <c r="E180" s="7">
        <v>6487</v>
      </c>
      <c r="F180" s="7">
        <v>5745079.1718137264</v>
      </c>
      <c r="G180" s="7">
        <v>864</v>
      </c>
      <c r="H180" s="7">
        <v>136978.54943877429</v>
      </c>
      <c r="I180">
        <f t="shared" si="4"/>
        <v>2.0600145476800803E-3</v>
      </c>
      <c r="J180">
        <f t="shared" si="5"/>
        <v>1.5038957239073774E-4</v>
      </c>
    </row>
    <row r="181" spans="1:10" hidden="1" x14ac:dyDescent="0.3">
      <c r="A181" t="s">
        <v>823</v>
      </c>
      <c r="B181" t="s">
        <v>850</v>
      </c>
      <c r="C181" t="s">
        <v>856</v>
      </c>
      <c r="D181" s="7">
        <v>14.19498901039873</v>
      </c>
      <c r="E181" s="7">
        <v>6583</v>
      </c>
      <c r="F181" s="7">
        <v>5324504.5558823533</v>
      </c>
      <c r="G181" s="7">
        <v>843</v>
      </c>
      <c r="H181" s="7">
        <v>136195.52367364871</v>
      </c>
      <c r="I181">
        <f t="shared" si="4"/>
        <v>2.1563100425943688E-3</v>
      </c>
      <c r="J181">
        <f t="shared" si="5"/>
        <v>1.5832458985666164E-4</v>
      </c>
    </row>
    <row r="182" spans="1:10" hidden="1" x14ac:dyDescent="0.3">
      <c r="A182" t="s">
        <v>823</v>
      </c>
      <c r="B182" t="s">
        <v>824</v>
      </c>
      <c r="C182" t="s">
        <v>838</v>
      </c>
      <c r="D182" s="7">
        <v>8.5011116666974278</v>
      </c>
      <c r="E182" s="7">
        <v>6432</v>
      </c>
      <c r="F182" s="7">
        <v>1650299.4102328429</v>
      </c>
      <c r="G182" s="7">
        <v>161</v>
      </c>
      <c r="H182" s="7">
        <v>135477.30649812179</v>
      </c>
      <c r="I182">
        <f t="shared" si="4"/>
        <v>1.321690246688033E-3</v>
      </c>
      <c r="J182">
        <f t="shared" si="5"/>
        <v>9.7558054618273354E-5</v>
      </c>
    </row>
    <row r="183" spans="1:10" hidden="1" x14ac:dyDescent="0.3">
      <c r="A183" t="s">
        <v>492</v>
      </c>
      <c r="B183" t="s">
        <v>543</v>
      </c>
      <c r="C183" t="s">
        <v>544</v>
      </c>
      <c r="D183" s="7">
        <v>1.007591329415048</v>
      </c>
      <c r="E183" s="7">
        <v>9413</v>
      </c>
      <c r="F183" s="7">
        <v>1734124.1875</v>
      </c>
      <c r="G183" s="7">
        <v>14</v>
      </c>
      <c r="H183" s="7">
        <v>132589.31382540221</v>
      </c>
      <c r="I183">
        <f t="shared" si="4"/>
        <v>1.0704252941836269E-4</v>
      </c>
      <c r="J183">
        <f t="shared" si="5"/>
        <v>8.073239564337718E-6</v>
      </c>
    </row>
    <row r="184" spans="1:10" hidden="1" x14ac:dyDescent="0.3">
      <c r="A184" t="s">
        <v>399</v>
      </c>
      <c r="B184" t="s">
        <v>434</v>
      </c>
      <c r="C184" t="s">
        <v>434</v>
      </c>
      <c r="D184" s="7">
        <v>2.1710890531756011</v>
      </c>
      <c r="E184" s="7">
        <v>45829</v>
      </c>
      <c r="F184" s="7">
        <v>2233966.078125</v>
      </c>
      <c r="G184" s="7">
        <v>8</v>
      </c>
      <c r="H184" s="7">
        <v>132289.03361907351</v>
      </c>
      <c r="I184">
        <f t="shared" si="4"/>
        <v>4.7373694673145845E-5</v>
      </c>
      <c r="J184">
        <f t="shared" si="5"/>
        <v>3.5810749672235471E-6</v>
      </c>
    </row>
    <row r="185" spans="1:10" hidden="1" x14ac:dyDescent="0.3">
      <c r="A185" t="s">
        <v>823</v>
      </c>
      <c r="B185" t="s">
        <v>824</v>
      </c>
      <c r="C185" t="s">
        <v>825</v>
      </c>
      <c r="D185" s="7">
        <v>9.8510331513224365</v>
      </c>
      <c r="E185" s="7">
        <v>5533</v>
      </c>
      <c r="F185" s="7">
        <v>5883512.7572916681</v>
      </c>
      <c r="G185" s="7">
        <v>814</v>
      </c>
      <c r="H185" s="7">
        <v>128686.6232098335</v>
      </c>
      <c r="I185">
        <f t="shared" si="4"/>
        <v>1.7804144499046514E-3</v>
      </c>
      <c r="J185">
        <f t="shared" si="5"/>
        <v>1.3835272116834927E-4</v>
      </c>
    </row>
    <row r="186" spans="1:10" hidden="1" x14ac:dyDescent="0.3">
      <c r="A186" t="s">
        <v>823</v>
      </c>
      <c r="B186" t="s">
        <v>824</v>
      </c>
      <c r="C186" t="s">
        <v>827</v>
      </c>
      <c r="D186" s="7">
        <v>5.338210639583445</v>
      </c>
      <c r="E186" s="7">
        <v>4116</v>
      </c>
      <c r="F186" s="7">
        <v>4082386.286825981</v>
      </c>
      <c r="G186" s="7">
        <v>417</v>
      </c>
      <c r="H186" s="7">
        <v>126969.1996328535</v>
      </c>
      <c r="I186">
        <f t="shared" si="4"/>
        <v>1.2969413604430138E-3</v>
      </c>
      <c r="J186">
        <f t="shared" si="5"/>
        <v>1.0214613970894307E-4</v>
      </c>
    </row>
    <row r="187" spans="1:10" hidden="1" x14ac:dyDescent="0.3">
      <c r="A187" t="s">
        <v>605</v>
      </c>
      <c r="B187" t="s">
        <v>620</v>
      </c>
      <c r="C187" t="s">
        <v>624</v>
      </c>
      <c r="D187" s="7">
        <v>1.1259569595567831</v>
      </c>
      <c r="E187" s="7">
        <v>12549</v>
      </c>
      <c r="F187" s="7">
        <v>1241568.609375</v>
      </c>
      <c r="G187" s="7">
        <v>9</v>
      </c>
      <c r="H187" s="7">
        <v>123777.2656956303</v>
      </c>
      <c r="I187">
        <f t="shared" si="4"/>
        <v>8.9724835409736475E-5</v>
      </c>
      <c r="J187">
        <f t="shared" si="5"/>
        <v>7.2488946096426833E-6</v>
      </c>
    </row>
    <row r="188" spans="1:10" hidden="1" x14ac:dyDescent="0.3">
      <c r="A188" t="s">
        <v>399</v>
      </c>
      <c r="B188" t="s">
        <v>427</v>
      </c>
      <c r="C188" t="s">
        <v>427</v>
      </c>
      <c r="D188" s="7">
        <v>2.5249725091008481</v>
      </c>
      <c r="E188" s="7">
        <v>46278</v>
      </c>
      <c r="F188" s="7">
        <v>6451971.875</v>
      </c>
      <c r="G188" s="7">
        <v>30</v>
      </c>
      <c r="H188" s="7">
        <v>117341.94515656721</v>
      </c>
      <c r="I188">
        <f t="shared" si="4"/>
        <v>5.4560968691405165E-5</v>
      </c>
      <c r="J188">
        <f t="shared" si="5"/>
        <v>4.6497412854887874E-6</v>
      </c>
    </row>
    <row r="189" spans="1:10" hidden="1" x14ac:dyDescent="0.3">
      <c r="A189" t="s">
        <v>225</v>
      </c>
      <c r="B189" t="s">
        <v>253</v>
      </c>
      <c r="C189" t="s">
        <v>253</v>
      </c>
      <c r="D189" s="7">
        <v>1.9583491269941959</v>
      </c>
      <c r="E189" s="7">
        <v>14062</v>
      </c>
      <c r="F189" s="7">
        <v>5509436.9285539212</v>
      </c>
      <c r="G189" s="7">
        <v>67</v>
      </c>
      <c r="H189" s="7">
        <v>114518.4438983771</v>
      </c>
      <c r="I189">
        <f t="shared" si="4"/>
        <v>1.3926533402035244E-4</v>
      </c>
      <c r="J189">
        <f t="shared" si="5"/>
        <v>1.2160952356629609E-5</v>
      </c>
    </row>
    <row r="190" spans="1:10" hidden="1" x14ac:dyDescent="0.3">
      <c r="A190" t="s">
        <v>184</v>
      </c>
      <c r="B190" t="s">
        <v>211</v>
      </c>
      <c r="C190" t="s">
        <v>214</v>
      </c>
      <c r="D190" s="7">
        <v>2.1752577208042192</v>
      </c>
      <c r="E190" s="7">
        <v>7590</v>
      </c>
      <c r="F190" s="7">
        <v>1111916.7229779409</v>
      </c>
      <c r="G190" s="7">
        <v>28</v>
      </c>
      <c r="H190" s="7">
        <v>113810.7207109492</v>
      </c>
      <c r="I190">
        <f t="shared" si="4"/>
        <v>2.8659522013230822E-4</v>
      </c>
      <c r="J190">
        <f t="shared" si="5"/>
        <v>2.5181741960863993E-5</v>
      </c>
    </row>
    <row r="191" spans="1:10" hidden="1" x14ac:dyDescent="0.3">
      <c r="A191" t="s">
        <v>184</v>
      </c>
      <c r="B191" t="s">
        <v>211</v>
      </c>
      <c r="C191" t="s">
        <v>213</v>
      </c>
      <c r="D191" s="7">
        <v>0.80200736137056561</v>
      </c>
      <c r="E191" s="7">
        <v>6229</v>
      </c>
      <c r="F191" s="7">
        <v>3567507.7468137252</v>
      </c>
      <c r="G191" s="7">
        <v>42</v>
      </c>
      <c r="H191" s="7">
        <v>109364.32029490051</v>
      </c>
      <c r="I191">
        <f t="shared" si="4"/>
        <v>1.2875379055555717E-4</v>
      </c>
      <c r="J191">
        <f t="shared" si="5"/>
        <v>1.1772924680405186E-5</v>
      </c>
    </row>
    <row r="192" spans="1:10" hidden="1" x14ac:dyDescent="0.3">
      <c r="A192" t="s">
        <v>867</v>
      </c>
      <c r="B192" t="s">
        <v>888</v>
      </c>
      <c r="C192" t="s">
        <v>890</v>
      </c>
      <c r="D192" s="7">
        <v>0.95480554471251444</v>
      </c>
      <c r="E192" s="7">
        <v>4334</v>
      </c>
      <c r="F192" s="7">
        <v>991225.1875</v>
      </c>
      <c r="G192" s="7">
        <v>20</v>
      </c>
      <c r="H192" s="7">
        <v>109186.35268616769</v>
      </c>
      <c r="I192">
        <f t="shared" si="4"/>
        <v>2.2030584788013715E-4</v>
      </c>
      <c r="J192">
        <f t="shared" si="5"/>
        <v>2.0177049829053098E-5</v>
      </c>
    </row>
    <row r="193" spans="1:10" hidden="1" x14ac:dyDescent="0.3">
      <c r="A193" t="s">
        <v>823</v>
      </c>
      <c r="B193" t="s">
        <v>824</v>
      </c>
      <c r="C193" t="s">
        <v>828</v>
      </c>
      <c r="D193" s="7">
        <v>22.061761723525851</v>
      </c>
      <c r="E193" s="7">
        <v>16532</v>
      </c>
      <c r="F193" s="7">
        <v>9716365.3017156832</v>
      </c>
      <c r="G193" s="7">
        <v>1209</v>
      </c>
      <c r="H193" s="7">
        <v>107248.7716156899</v>
      </c>
      <c r="I193">
        <f t="shared" si="4"/>
        <v>1.3344883694365987E-3</v>
      </c>
      <c r="J193">
        <f t="shared" si="5"/>
        <v>1.2442924514031176E-4</v>
      </c>
    </row>
    <row r="194" spans="1:10" hidden="1" x14ac:dyDescent="0.3">
      <c r="A194" t="s">
        <v>90</v>
      </c>
      <c r="B194" t="s">
        <v>91</v>
      </c>
      <c r="C194" t="s">
        <v>97</v>
      </c>
      <c r="D194" s="7">
        <v>2.2816317558860431</v>
      </c>
      <c r="E194" s="7">
        <v>1984</v>
      </c>
      <c r="F194" s="7">
        <v>525669.01629901957</v>
      </c>
      <c r="G194" s="7">
        <v>57</v>
      </c>
      <c r="H194" s="7">
        <v>106057.5057188403</v>
      </c>
      <c r="I194">
        <f t="shared" si="4"/>
        <v>1.1500160059909491E-3</v>
      </c>
      <c r="J194">
        <f t="shared" si="5"/>
        <v>1.0843325026327276E-4</v>
      </c>
    </row>
    <row r="195" spans="1:10" hidden="1" x14ac:dyDescent="0.3">
      <c r="A195" t="s">
        <v>823</v>
      </c>
      <c r="B195" t="s">
        <v>824</v>
      </c>
      <c r="C195" t="s">
        <v>832</v>
      </c>
      <c r="D195" s="7">
        <v>17.529422483712949</v>
      </c>
      <c r="E195" s="7">
        <v>10875</v>
      </c>
      <c r="F195" s="7">
        <v>10035801.80085784</v>
      </c>
      <c r="G195" s="7">
        <v>1563</v>
      </c>
      <c r="H195" s="7">
        <v>103497.8767504545</v>
      </c>
      <c r="I195">
        <f t="shared" ref="I195:I258" si="6">D195/E195</f>
        <v>1.61190091804257E-3</v>
      </c>
      <c r="J195">
        <f t="shared" ref="J195:J258" si="7">G195/F195</f>
        <v>1.5574241411048969E-4</v>
      </c>
    </row>
    <row r="196" spans="1:10" hidden="1" x14ac:dyDescent="0.3">
      <c r="A196" t="s">
        <v>399</v>
      </c>
      <c r="B196" t="s">
        <v>422</v>
      </c>
      <c r="C196" t="s">
        <v>426</v>
      </c>
      <c r="D196" s="7">
        <v>1.0751381583574739</v>
      </c>
      <c r="E196" s="7">
        <v>9935</v>
      </c>
      <c r="F196" s="7">
        <v>442740.72028186283</v>
      </c>
      <c r="G196" s="7">
        <v>5</v>
      </c>
      <c r="H196" s="7">
        <v>95824.346780815977</v>
      </c>
      <c r="I196">
        <f t="shared" si="6"/>
        <v>1.0821722781655501E-4</v>
      </c>
      <c r="J196">
        <f t="shared" si="7"/>
        <v>1.1293291470495058E-5</v>
      </c>
    </row>
    <row r="197" spans="1:10" hidden="1" x14ac:dyDescent="0.3">
      <c r="A197" t="s">
        <v>667</v>
      </c>
      <c r="B197" t="s">
        <v>691</v>
      </c>
      <c r="C197" t="s">
        <v>692</v>
      </c>
      <c r="D197" s="7">
        <v>0.52484877405899777</v>
      </c>
      <c r="E197" s="7">
        <v>1022</v>
      </c>
      <c r="F197" s="7">
        <v>36987.842524509811</v>
      </c>
      <c r="G197" s="7">
        <v>2</v>
      </c>
      <c r="H197" s="7">
        <v>94975.654618768283</v>
      </c>
      <c r="I197">
        <f t="shared" si="6"/>
        <v>5.1355065954892154E-4</v>
      </c>
      <c r="J197">
        <f t="shared" si="7"/>
        <v>5.4071820995634172E-5</v>
      </c>
    </row>
    <row r="198" spans="1:10" hidden="1" x14ac:dyDescent="0.3">
      <c r="A198" t="s">
        <v>117</v>
      </c>
      <c r="B198" t="s">
        <v>142</v>
      </c>
      <c r="C198" t="s">
        <v>142</v>
      </c>
      <c r="D198" s="7">
        <v>3.4592324114335979</v>
      </c>
      <c r="E198" s="7">
        <v>48693</v>
      </c>
      <c r="F198" s="7">
        <v>7443280.515625</v>
      </c>
      <c r="G198" s="7">
        <v>56</v>
      </c>
      <c r="H198" s="7">
        <v>94425.559874557293</v>
      </c>
      <c r="I198">
        <f t="shared" si="6"/>
        <v>7.1041677683313776E-5</v>
      </c>
      <c r="J198">
        <f t="shared" si="7"/>
        <v>7.5235643588125298E-6</v>
      </c>
    </row>
    <row r="199" spans="1:10" hidden="1" x14ac:dyDescent="0.3">
      <c r="A199" t="s">
        <v>823</v>
      </c>
      <c r="B199" t="s">
        <v>857</v>
      </c>
      <c r="C199" t="s">
        <v>266</v>
      </c>
      <c r="D199" s="7">
        <v>4.8170942469660849</v>
      </c>
      <c r="E199" s="7">
        <v>12807</v>
      </c>
      <c r="F199" s="7">
        <v>786721.13186274515</v>
      </c>
      <c r="G199" s="7">
        <v>32</v>
      </c>
      <c r="H199" s="7">
        <v>92471.642418762101</v>
      </c>
      <c r="I199">
        <f t="shared" si="6"/>
        <v>3.7612979206419028E-4</v>
      </c>
      <c r="J199">
        <f t="shared" si="7"/>
        <v>4.0675149940656306E-5</v>
      </c>
    </row>
    <row r="200" spans="1:10" hidden="1" x14ac:dyDescent="0.3">
      <c r="A200" t="s">
        <v>723</v>
      </c>
      <c r="B200" t="s">
        <v>724</v>
      </c>
      <c r="C200" t="s">
        <v>728</v>
      </c>
      <c r="D200" s="7">
        <v>0.81331189495001899</v>
      </c>
      <c r="E200" s="7">
        <v>5104</v>
      </c>
      <c r="F200" s="7">
        <v>1489720.6875</v>
      </c>
      <c r="G200" s="7">
        <v>26</v>
      </c>
      <c r="H200" s="7">
        <v>91301.509773395694</v>
      </c>
      <c r="I200">
        <f t="shared" si="6"/>
        <v>1.5934794180055232E-4</v>
      </c>
      <c r="J200">
        <f t="shared" si="7"/>
        <v>1.7452936122967011E-5</v>
      </c>
    </row>
    <row r="201" spans="1:10" hidden="1" x14ac:dyDescent="0.3">
      <c r="A201" t="s">
        <v>915</v>
      </c>
      <c r="B201" t="s">
        <v>935</v>
      </c>
      <c r="C201" t="s">
        <v>935</v>
      </c>
      <c r="D201" s="7">
        <v>20.710219305651201</v>
      </c>
      <c r="E201" s="7">
        <v>32229</v>
      </c>
      <c r="F201" s="7">
        <v>6953101.75</v>
      </c>
      <c r="G201" s="7">
        <v>490</v>
      </c>
      <c r="H201" s="7">
        <v>91184.363744534276</v>
      </c>
      <c r="I201">
        <f t="shared" si="6"/>
        <v>6.4259577727050798E-4</v>
      </c>
      <c r="J201">
        <f t="shared" si="7"/>
        <v>7.0472145758545816E-5</v>
      </c>
    </row>
    <row r="202" spans="1:10" hidden="1" x14ac:dyDescent="0.3">
      <c r="A202" t="s">
        <v>492</v>
      </c>
      <c r="B202" t="s">
        <v>492</v>
      </c>
      <c r="C202" t="s">
        <v>498</v>
      </c>
      <c r="D202" s="7">
        <v>1.3229422189762621</v>
      </c>
      <c r="E202" s="7">
        <v>9088</v>
      </c>
      <c r="F202" s="7">
        <v>743010.6875</v>
      </c>
      <c r="G202" s="7">
        <v>12</v>
      </c>
      <c r="H202" s="7">
        <v>90133.528429827638</v>
      </c>
      <c r="I202">
        <f t="shared" si="6"/>
        <v>1.4557022655988799E-4</v>
      </c>
      <c r="J202">
        <f t="shared" si="7"/>
        <v>1.6150507929268513E-5</v>
      </c>
    </row>
    <row r="203" spans="1:10" hidden="1" x14ac:dyDescent="0.3">
      <c r="A203" t="s">
        <v>225</v>
      </c>
      <c r="B203" t="s">
        <v>262</v>
      </c>
      <c r="C203" t="s">
        <v>266</v>
      </c>
      <c r="D203" s="7">
        <v>1.719116731010945</v>
      </c>
      <c r="E203" s="7">
        <v>13770</v>
      </c>
      <c r="F203" s="7">
        <v>11978390.730759799</v>
      </c>
      <c r="G203" s="7">
        <v>167</v>
      </c>
      <c r="H203" s="7">
        <v>89547.492882799095</v>
      </c>
      <c r="I203">
        <f t="shared" si="6"/>
        <v>1.2484507850478904E-4</v>
      </c>
      <c r="J203">
        <f t="shared" si="7"/>
        <v>1.3941772626531031E-5</v>
      </c>
    </row>
    <row r="204" spans="1:10" hidden="1" x14ac:dyDescent="0.3">
      <c r="A204" t="s">
        <v>280</v>
      </c>
      <c r="B204" t="s">
        <v>319</v>
      </c>
      <c r="C204" t="s">
        <v>319</v>
      </c>
      <c r="D204" s="7">
        <v>5.8955254151152756</v>
      </c>
      <c r="E204" s="7">
        <v>11938</v>
      </c>
      <c r="F204" s="7">
        <v>991269.6875</v>
      </c>
      <c r="G204" s="7">
        <v>57</v>
      </c>
      <c r="H204" s="7">
        <v>85883.139435175704</v>
      </c>
      <c r="I204">
        <f t="shared" si="6"/>
        <v>4.9384531873976172E-4</v>
      </c>
      <c r="J204">
        <f t="shared" si="7"/>
        <v>5.7502010521228616E-5</v>
      </c>
    </row>
    <row r="205" spans="1:10" hidden="1" x14ac:dyDescent="0.3">
      <c r="A205" t="s">
        <v>280</v>
      </c>
      <c r="B205" t="s">
        <v>283</v>
      </c>
      <c r="C205" t="s">
        <v>285</v>
      </c>
      <c r="D205" s="7">
        <v>0.86068795019469813</v>
      </c>
      <c r="E205" s="7">
        <v>3550</v>
      </c>
      <c r="F205" s="7">
        <v>991328.25</v>
      </c>
      <c r="G205" s="7">
        <v>28</v>
      </c>
      <c r="H205" s="7">
        <v>85837.452662233132</v>
      </c>
      <c r="I205">
        <f t="shared" si="6"/>
        <v>2.4244730991399948E-4</v>
      </c>
      <c r="J205">
        <f t="shared" si="7"/>
        <v>2.8244932997723004E-5</v>
      </c>
    </row>
    <row r="206" spans="1:10" hidden="1" x14ac:dyDescent="0.3">
      <c r="A206" t="s">
        <v>823</v>
      </c>
      <c r="B206" t="s">
        <v>824</v>
      </c>
      <c r="C206" t="s">
        <v>836</v>
      </c>
      <c r="D206" s="7">
        <v>23.32528865840391</v>
      </c>
      <c r="E206" s="7">
        <v>10131</v>
      </c>
      <c r="F206" s="7">
        <v>5039269.777144609</v>
      </c>
      <c r="G206" s="7">
        <v>1359</v>
      </c>
      <c r="H206" s="7">
        <v>85373.456272839598</v>
      </c>
      <c r="I206">
        <f t="shared" si="6"/>
        <v>2.3023678470441133E-3</v>
      </c>
      <c r="J206">
        <f t="shared" si="7"/>
        <v>2.6968193014068943E-4</v>
      </c>
    </row>
    <row r="207" spans="1:10" hidden="1" x14ac:dyDescent="0.3">
      <c r="A207" t="s">
        <v>579</v>
      </c>
      <c r="B207" t="s">
        <v>599</v>
      </c>
      <c r="C207" t="s">
        <v>601</v>
      </c>
      <c r="D207" s="7">
        <v>1.2713710423530249</v>
      </c>
      <c r="E207" s="7">
        <v>15570</v>
      </c>
      <c r="F207" s="7">
        <v>1241570.890625</v>
      </c>
      <c r="G207" s="7">
        <v>12</v>
      </c>
      <c r="H207" s="7">
        <v>84483.904804596459</v>
      </c>
      <c r="I207">
        <f t="shared" si="6"/>
        <v>8.1655172919269415E-5</v>
      </c>
      <c r="J207">
        <f t="shared" si="7"/>
        <v>9.6651750541278111E-6</v>
      </c>
    </row>
    <row r="208" spans="1:10" hidden="1" x14ac:dyDescent="0.3">
      <c r="A208" t="s">
        <v>645</v>
      </c>
      <c r="B208" t="s">
        <v>765</v>
      </c>
      <c r="C208" t="s">
        <v>775</v>
      </c>
      <c r="D208" s="7">
        <v>8.9033807144219992</v>
      </c>
      <c r="E208" s="7">
        <v>4542</v>
      </c>
      <c r="F208" s="7">
        <v>85696.276470588229</v>
      </c>
      <c r="G208" s="7">
        <v>20</v>
      </c>
      <c r="H208" s="7">
        <v>83992.357466535774</v>
      </c>
      <c r="I208">
        <f t="shared" si="6"/>
        <v>1.9602335346591807E-3</v>
      </c>
      <c r="J208">
        <f t="shared" si="7"/>
        <v>2.3338236879946807E-4</v>
      </c>
    </row>
    <row r="209" spans="1:10" hidden="1" x14ac:dyDescent="0.3">
      <c r="A209" t="s">
        <v>645</v>
      </c>
      <c r="B209" t="s">
        <v>765</v>
      </c>
      <c r="C209" t="s">
        <v>770</v>
      </c>
      <c r="D209" s="7">
        <v>30.717545014308151</v>
      </c>
      <c r="E209" s="7">
        <v>133855</v>
      </c>
      <c r="F209" s="7">
        <v>28580557.175306369</v>
      </c>
      <c r="G209" s="7">
        <v>785</v>
      </c>
      <c r="H209" s="7">
        <v>83551.247613122687</v>
      </c>
      <c r="I209">
        <f t="shared" si="6"/>
        <v>2.2948373250388966E-4</v>
      </c>
      <c r="J209">
        <f t="shared" si="7"/>
        <v>2.7466224510075011E-5</v>
      </c>
    </row>
    <row r="210" spans="1:10" hidden="1" x14ac:dyDescent="0.3">
      <c r="A210" t="s">
        <v>823</v>
      </c>
      <c r="B210" t="s">
        <v>824</v>
      </c>
      <c r="C210" t="s">
        <v>288</v>
      </c>
      <c r="D210" s="7">
        <v>19.5293425197682</v>
      </c>
      <c r="E210" s="7">
        <v>14903</v>
      </c>
      <c r="F210" s="7">
        <v>9206544.3256740198</v>
      </c>
      <c r="G210" s="7">
        <v>1444</v>
      </c>
      <c r="H210" s="7">
        <v>83549.407851063967</v>
      </c>
      <c r="I210">
        <f t="shared" si="6"/>
        <v>1.3104302838199155E-3</v>
      </c>
      <c r="J210">
        <f t="shared" si="7"/>
        <v>1.5684495169084883E-4</v>
      </c>
    </row>
    <row r="211" spans="1:10" hidden="1" x14ac:dyDescent="0.3">
      <c r="A211" t="s">
        <v>867</v>
      </c>
      <c r="B211" t="s">
        <v>888</v>
      </c>
      <c r="C211" t="s">
        <v>888</v>
      </c>
      <c r="D211" s="7">
        <v>1.7328974862001709</v>
      </c>
      <c r="E211" s="7">
        <v>17156</v>
      </c>
      <c r="F211" s="7">
        <v>1625718.057291667</v>
      </c>
      <c r="G211" s="7">
        <v>20</v>
      </c>
      <c r="H211" s="7">
        <v>82105.465573296635</v>
      </c>
      <c r="I211">
        <f t="shared" si="6"/>
        <v>1.0100824703894677E-4</v>
      </c>
      <c r="J211">
        <f t="shared" si="7"/>
        <v>1.230225616938684E-5</v>
      </c>
    </row>
    <row r="212" spans="1:10" hidden="1" x14ac:dyDescent="0.3">
      <c r="A212" t="s">
        <v>823</v>
      </c>
      <c r="B212" t="s">
        <v>844</v>
      </c>
      <c r="C212" t="s">
        <v>844</v>
      </c>
      <c r="D212" s="7">
        <v>14.465367507216589</v>
      </c>
      <c r="E212" s="7">
        <v>10927</v>
      </c>
      <c r="F212" s="7">
        <v>3613874.9346813732</v>
      </c>
      <c r="G212" s="7">
        <v>585</v>
      </c>
      <c r="H212" s="7">
        <v>81779.750551694509</v>
      </c>
      <c r="I212">
        <f t="shared" si="6"/>
        <v>1.3238187523763696E-3</v>
      </c>
      <c r="J212">
        <f t="shared" si="7"/>
        <v>1.6187610544734528E-4</v>
      </c>
    </row>
    <row r="213" spans="1:10" hidden="1" x14ac:dyDescent="0.3">
      <c r="A213" t="s">
        <v>225</v>
      </c>
      <c r="B213" t="s">
        <v>259</v>
      </c>
      <c r="C213" t="s">
        <v>259</v>
      </c>
      <c r="D213" s="7">
        <v>1.2858811518155251</v>
      </c>
      <c r="E213" s="7">
        <v>20296</v>
      </c>
      <c r="F213" s="7">
        <v>8245770.0241421573</v>
      </c>
      <c r="G213" s="7">
        <v>64</v>
      </c>
      <c r="H213" s="7">
        <v>81628.463245912426</v>
      </c>
      <c r="I213">
        <f t="shared" si="6"/>
        <v>6.3356383120591507E-5</v>
      </c>
      <c r="J213">
        <f t="shared" si="7"/>
        <v>7.761555295941957E-6</v>
      </c>
    </row>
    <row r="214" spans="1:10" hidden="1" x14ac:dyDescent="0.3">
      <c r="A214" t="s">
        <v>117</v>
      </c>
      <c r="B214" t="s">
        <v>126</v>
      </c>
      <c r="C214" t="s">
        <v>127</v>
      </c>
      <c r="D214" s="7">
        <v>1.4945792341256059</v>
      </c>
      <c r="E214" s="7">
        <v>2333</v>
      </c>
      <c r="F214" s="7">
        <v>47666.002022058827</v>
      </c>
      <c r="G214" s="7">
        <v>4</v>
      </c>
      <c r="H214" s="7">
        <v>76340.138015386052</v>
      </c>
      <c r="I214">
        <f t="shared" si="6"/>
        <v>6.4062547540746071E-4</v>
      </c>
      <c r="J214">
        <f t="shared" si="7"/>
        <v>8.3917254024134101E-5</v>
      </c>
    </row>
    <row r="215" spans="1:10" hidden="1" x14ac:dyDescent="0.3">
      <c r="A215" t="s">
        <v>823</v>
      </c>
      <c r="B215" t="s">
        <v>824</v>
      </c>
      <c r="C215" t="s">
        <v>835</v>
      </c>
      <c r="D215" s="7">
        <v>12.2768105077899</v>
      </c>
      <c r="E215" s="7">
        <v>10725</v>
      </c>
      <c r="F215" s="7">
        <v>4711304.5744485306</v>
      </c>
      <c r="G215" s="7">
        <v>722</v>
      </c>
      <c r="H215" s="7">
        <v>74695.121044222309</v>
      </c>
      <c r="I215">
        <f t="shared" si="6"/>
        <v>1.1446909564372866E-3</v>
      </c>
      <c r="J215">
        <f t="shared" si="7"/>
        <v>1.5324842378387557E-4</v>
      </c>
    </row>
    <row r="216" spans="1:10" hidden="1" x14ac:dyDescent="0.3">
      <c r="A216" t="s">
        <v>453</v>
      </c>
      <c r="B216" t="s">
        <v>474</v>
      </c>
      <c r="C216" t="s">
        <v>474</v>
      </c>
      <c r="D216" s="7">
        <v>8.9649537953749103</v>
      </c>
      <c r="E216" s="7">
        <v>58154</v>
      </c>
      <c r="F216" s="7">
        <v>12066614.977573531</v>
      </c>
      <c r="G216" s="7">
        <v>264</v>
      </c>
      <c r="H216" s="7">
        <v>70461.192995222184</v>
      </c>
      <c r="I216">
        <f t="shared" si="6"/>
        <v>1.5415885055842951E-4</v>
      </c>
      <c r="J216">
        <f t="shared" si="7"/>
        <v>2.1878546758196772E-5</v>
      </c>
    </row>
    <row r="217" spans="1:10" hidden="1" x14ac:dyDescent="0.3">
      <c r="A217" t="s">
        <v>225</v>
      </c>
      <c r="B217" t="s">
        <v>226</v>
      </c>
      <c r="C217" t="s">
        <v>44</v>
      </c>
      <c r="D217" s="7">
        <v>1.0324493441852609</v>
      </c>
      <c r="E217" s="7">
        <v>6603</v>
      </c>
      <c r="F217" s="7">
        <v>1001672.359865196</v>
      </c>
      <c r="G217" s="7">
        <v>24</v>
      </c>
      <c r="H217" s="7">
        <v>65259.223776523577</v>
      </c>
      <c r="I217">
        <f t="shared" si="6"/>
        <v>1.5636064579513265E-4</v>
      </c>
      <c r="J217">
        <f t="shared" si="7"/>
        <v>2.3959930374069515E-5</v>
      </c>
    </row>
    <row r="218" spans="1:10" hidden="1" x14ac:dyDescent="0.3">
      <c r="A218" t="s">
        <v>399</v>
      </c>
      <c r="B218" t="s">
        <v>366</v>
      </c>
      <c r="C218" t="s">
        <v>366</v>
      </c>
      <c r="D218" s="7">
        <v>17.075037376022092</v>
      </c>
      <c r="E218" s="7">
        <v>192051</v>
      </c>
      <c r="F218" s="7">
        <v>16764321.89601716</v>
      </c>
      <c r="G218" s="7">
        <v>233</v>
      </c>
      <c r="H218" s="7">
        <v>63969.824663696032</v>
      </c>
      <c r="I218">
        <f t="shared" si="6"/>
        <v>8.8908869914877258E-5</v>
      </c>
      <c r="J218">
        <f t="shared" si="7"/>
        <v>1.3898563952971802E-5</v>
      </c>
    </row>
    <row r="219" spans="1:10" hidden="1" x14ac:dyDescent="0.3">
      <c r="A219" t="s">
        <v>823</v>
      </c>
      <c r="B219" t="s">
        <v>824</v>
      </c>
      <c r="C219" t="s">
        <v>829</v>
      </c>
      <c r="D219" s="7">
        <v>16.517442296054959</v>
      </c>
      <c r="E219" s="7">
        <v>23289</v>
      </c>
      <c r="F219" s="7">
        <v>19771185.55306372</v>
      </c>
      <c r="G219" s="7">
        <v>2206</v>
      </c>
      <c r="H219" s="7">
        <v>63565.162455990321</v>
      </c>
      <c r="I219">
        <f t="shared" si="6"/>
        <v>7.0923793619541236E-4</v>
      </c>
      <c r="J219">
        <f t="shared" si="7"/>
        <v>1.1157651593928624E-4</v>
      </c>
    </row>
    <row r="220" spans="1:10" hidden="1" x14ac:dyDescent="0.3">
      <c r="A220" t="s">
        <v>90</v>
      </c>
      <c r="B220" t="s">
        <v>109</v>
      </c>
      <c r="C220" t="s">
        <v>109</v>
      </c>
      <c r="D220" s="7">
        <v>2.4767195462691221</v>
      </c>
      <c r="E220" s="7">
        <v>14701</v>
      </c>
      <c r="F220" s="7">
        <v>3404012.213480392</v>
      </c>
      <c r="G220" s="7">
        <v>92</v>
      </c>
      <c r="H220" s="7">
        <v>62335.182647037509</v>
      </c>
      <c r="I220">
        <f t="shared" si="6"/>
        <v>1.6847286213652962E-4</v>
      </c>
      <c r="J220">
        <f t="shared" si="7"/>
        <v>2.702693005497054E-5</v>
      </c>
    </row>
    <row r="221" spans="1:10" hidden="1" x14ac:dyDescent="0.3">
      <c r="A221" t="s">
        <v>645</v>
      </c>
      <c r="B221" t="s">
        <v>765</v>
      </c>
      <c r="C221" t="s">
        <v>767</v>
      </c>
      <c r="D221" s="7">
        <v>19.955117457670589</v>
      </c>
      <c r="E221" s="7">
        <v>36292</v>
      </c>
      <c r="F221" s="7">
        <v>6415500.2468137257</v>
      </c>
      <c r="G221" s="7">
        <v>569</v>
      </c>
      <c r="H221" s="7">
        <v>61995.711108163741</v>
      </c>
      <c r="I221">
        <f t="shared" si="6"/>
        <v>5.4984893248293258E-4</v>
      </c>
      <c r="J221">
        <f t="shared" si="7"/>
        <v>8.8691446981487571E-5</v>
      </c>
    </row>
    <row r="222" spans="1:10" hidden="1" x14ac:dyDescent="0.3">
      <c r="A222" t="s">
        <v>605</v>
      </c>
      <c r="B222" t="s">
        <v>628</v>
      </c>
      <c r="C222" t="s">
        <v>633</v>
      </c>
      <c r="D222" s="7">
        <v>0.73371817703079756</v>
      </c>
      <c r="E222" s="7">
        <v>4269</v>
      </c>
      <c r="F222" s="7">
        <v>744686.46875</v>
      </c>
      <c r="G222" s="7">
        <v>21</v>
      </c>
      <c r="H222" s="7">
        <v>60947.695826027288</v>
      </c>
      <c r="I222">
        <f t="shared" si="6"/>
        <v>1.7187120567598913E-4</v>
      </c>
      <c r="J222">
        <f t="shared" si="7"/>
        <v>2.8199787267854798E-5</v>
      </c>
    </row>
    <row r="223" spans="1:10" hidden="1" x14ac:dyDescent="0.3">
      <c r="A223" t="s">
        <v>723</v>
      </c>
      <c r="B223" t="s">
        <v>724</v>
      </c>
      <c r="C223" t="s">
        <v>724</v>
      </c>
      <c r="D223" s="7">
        <v>8.2928221442633063</v>
      </c>
      <c r="E223" s="7">
        <v>41463</v>
      </c>
      <c r="F223" s="7">
        <v>9616115.0240808818</v>
      </c>
      <c r="G223" s="7">
        <v>316</v>
      </c>
      <c r="H223" s="7">
        <v>60863.117867081899</v>
      </c>
      <c r="I223">
        <f t="shared" si="6"/>
        <v>2.0000535765051506E-4</v>
      </c>
      <c r="J223">
        <f t="shared" si="7"/>
        <v>3.2861503757875816E-5</v>
      </c>
    </row>
    <row r="224" spans="1:10" hidden="1" x14ac:dyDescent="0.3">
      <c r="A224" t="s">
        <v>492</v>
      </c>
      <c r="B224" t="s">
        <v>527</v>
      </c>
      <c r="C224" t="s">
        <v>527</v>
      </c>
      <c r="D224" s="7">
        <v>1.295565168900267</v>
      </c>
      <c r="E224" s="7">
        <v>3020</v>
      </c>
      <c r="F224" s="7">
        <v>743000.90625</v>
      </c>
      <c r="G224" s="7">
        <v>53</v>
      </c>
      <c r="H224" s="7">
        <v>60140.328289318531</v>
      </c>
      <c r="I224">
        <f t="shared" si="6"/>
        <v>4.2899508903982352E-4</v>
      </c>
      <c r="J224">
        <f t="shared" si="7"/>
        <v>7.1332349064681918E-5</v>
      </c>
    </row>
    <row r="225" spans="1:10" hidden="1" x14ac:dyDescent="0.3">
      <c r="A225" t="s">
        <v>749</v>
      </c>
      <c r="B225" t="s">
        <v>749</v>
      </c>
      <c r="C225" t="s">
        <v>750</v>
      </c>
      <c r="D225" s="7">
        <v>6.5129309553828003</v>
      </c>
      <c r="E225" s="7">
        <v>41345</v>
      </c>
      <c r="F225" s="7">
        <v>9768192.5518382359</v>
      </c>
      <c r="G225" s="7">
        <v>257</v>
      </c>
      <c r="H225" s="7">
        <v>59873.48899951858</v>
      </c>
      <c r="I225">
        <f t="shared" si="6"/>
        <v>1.5752644710080542E-4</v>
      </c>
      <c r="J225">
        <f t="shared" si="7"/>
        <v>2.6309882676466717E-5</v>
      </c>
    </row>
    <row r="226" spans="1:10" hidden="1" x14ac:dyDescent="0.3">
      <c r="A226" t="s">
        <v>749</v>
      </c>
      <c r="B226" t="s">
        <v>749</v>
      </c>
      <c r="C226" t="s">
        <v>32</v>
      </c>
      <c r="D226" s="7">
        <v>2.548711434804372</v>
      </c>
      <c r="E226" s="7">
        <v>14912</v>
      </c>
      <c r="F226" s="7">
        <v>1151655.5889705881</v>
      </c>
      <c r="G226" s="7">
        <v>33</v>
      </c>
      <c r="H226" s="7">
        <v>59647.66567022902</v>
      </c>
      <c r="I226">
        <f t="shared" si="6"/>
        <v>1.7091680759149491E-4</v>
      </c>
      <c r="J226">
        <f t="shared" si="7"/>
        <v>2.865440007936503E-5</v>
      </c>
    </row>
    <row r="227" spans="1:10" hidden="1" x14ac:dyDescent="0.3">
      <c r="A227" t="s">
        <v>13</v>
      </c>
      <c r="B227" t="s">
        <v>14</v>
      </c>
      <c r="C227" t="s">
        <v>33</v>
      </c>
      <c r="D227" s="7">
        <v>16.162808412996021</v>
      </c>
      <c r="E227" s="7">
        <v>14576</v>
      </c>
      <c r="F227" s="7">
        <v>5598236.4409313733</v>
      </c>
      <c r="G227" s="7">
        <v>1054</v>
      </c>
      <c r="H227" s="7">
        <v>58896.446346666977</v>
      </c>
      <c r="I227">
        <f t="shared" si="6"/>
        <v>1.1088644630211321E-3</v>
      </c>
      <c r="J227">
        <f t="shared" si="7"/>
        <v>1.8827357706682483E-4</v>
      </c>
    </row>
    <row r="228" spans="1:10" hidden="1" x14ac:dyDescent="0.3">
      <c r="A228" t="s">
        <v>579</v>
      </c>
      <c r="B228" t="s">
        <v>596</v>
      </c>
      <c r="C228" t="s">
        <v>596</v>
      </c>
      <c r="D228" s="7">
        <v>1.779192426735378</v>
      </c>
      <c r="E228" s="7">
        <v>66578</v>
      </c>
      <c r="F228" s="7">
        <v>3723552.546875</v>
      </c>
      <c r="G228" s="7">
        <v>17</v>
      </c>
      <c r="H228" s="7">
        <v>58532.994399768439</v>
      </c>
      <c r="I228">
        <f t="shared" si="6"/>
        <v>2.6723428561016822E-5</v>
      </c>
      <c r="J228">
        <f t="shared" si="7"/>
        <v>4.5655324548238987E-6</v>
      </c>
    </row>
    <row r="229" spans="1:10" hidden="1" x14ac:dyDescent="0.3">
      <c r="A229" t="s">
        <v>823</v>
      </c>
      <c r="B229" t="s">
        <v>850</v>
      </c>
      <c r="C229" t="s">
        <v>851</v>
      </c>
      <c r="D229" s="7">
        <v>10.046804602102879</v>
      </c>
      <c r="E229" s="7">
        <v>29400</v>
      </c>
      <c r="F229" s="7">
        <v>7192747.8152573537</v>
      </c>
      <c r="G229" s="7">
        <v>429</v>
      </c>
      <c r="H229" s="7">
        <v>57295.1904064927</v>
      </c>
      <c r="I229">
        <f t="shared" si="6"/>
        <v>3.4172804769057411E-4</v>
      </c>
      <c r="J229">
        <f t="shared" si="7"/>
        <v>5.9643409030690528E-5</v>
      </c>
    </row>
    <row r="230" spans="1:10" hidden="1" x14ac:dyDescent="0.3">
      <c r="A230" t="s">
        <v>399</v>
      </c>
      <c r="B230" t="s">
        <v>291</v>
      </c>
      <c r="C230" t="s">
        <v>291</v>
      </c>
      <c r="D230" s="7">
        <v>9.5699383778185521</v>
      </c>
      <c r="E230" s="7">
        <v>181650</v>
      </c>
      <c r="F230" s="7">
        <v>17061683.1875</v>
      </c>
      <c r="G230" s="7">
        <v>159</v>
      </c>
      <c r="H230" s="7">
        <v>56532.538635615812</v>
      </c>
      <c r="I230">
        <f t="shared" si="6"/>
        <v>5.2683393216727507E-5</v>
      </c>
      <c r="J230">
        <f t="shared" si="7"/>
        <v>9.3191274420386083E-6</v>
      </c>
    </row>
    <row r="231" spans="1:10" hidden="1" x14ac:dyDescent="0.3">
      <c r="A231" t="s">
        <v>280</v>
      </c>
      <c r="B231" t="s">
        <v>281</v>
      </c>
      <c r="C231" t="s">
        <v>281</v>
      </c>
      <c r="D231" s="7">
        <v>13.66215698296271</v>
      </c>
      <c r="E231" s="7">
        <v>316195</v>
      </c>
      <c r="F231" s="7">
        <v>32727454.640625</v>
      </c>
      <c r="G231" s="7">
        <v>254</v>
      </c>
      <c r="H231" s="7">
        <v>55672.764346556563</v>
      </c>
      <c r="I231">
        <f t="shared" si="6"/>
        <v>4.3208010825480192E-5</v>
      </c>
      <c r="J231">
        <f t="shared" si="7"/>
        <v>7.761067971497748E-6</v>
      </c>
    </row>
    <row r="232" spans="1:10" hidden="1" x14ac:dyDescent="0.3">
      <c r="A232" t="s">
        <v>645</v>
      </c>
      <c r="B232" t="s">
        <v>765</v>
      </c>
      <c r="C232" t="s">
        <v>381</v>
      </c>
      <c r="D232" s="7">
        <v>24.684079462905942</v>
      </c>
      <c r="E232" s="7">
        <v>262806</v>
      </c>
      <c r="F232" s="7">
        <v>58981829.970894612</v>
      </c>
      <c r="G232" s="7">
        <v>996</v>
      </c>
      <c r="H232" s="7">
        <v>55621.226864229982</v>
      </c>
      <c r="I232">
        <f t="shared" si="6"/>
        <v>9.3925098600891686E-5</v>
      </c>
      <c r="J232">
        <f t="shared" si="7"/>
        <v>1.6886556427487749E-5</v>
      </c>
    </row>
    <row r="233" spans="1:10" hidden="1" x14ac:dyDescent="0.3">
      <c r="A233" t="s">
        <v>184</v>
      </c>
      <c r="B233" t="s">
        <v>217</v>
      </c>
      <c r="C233" t="s">
        <v>217</v>
      </c>
      <c r="D233" s="7">
        <v>5.4092496864889803</v>
      </c>
      <c r="E233" s="7">
        <v>16925</v>
      </c>
      <c r="F233" s="7">
        <v>15310904.0944853</v>
      </c>
      <c r="G233" s="7">
        <v>891</v>
      </c>
      <c r="H233" s="7">
        <v>54920.120736634322</v>
      </c>
      <c r="I233">
        <f t="shared" si="6"/>
        <v>3.1960116316035332E-4</v>
      </c>
      <c r="J233">
        <f t="shared" si="7"/>
        <v>5.8193820201703271E-5</v>
      </c>
    </row>
    <row r="234" spans="1:10" hidden="1" x14ac:dyDescent="0.3">
      <c r="A234" t="s">
        <v>823</v>
      </c>
      <c r="B234" t="s">
        <v>824</v>
      </c>
      <c r="C234" t="s">
        <v>826</v>
      </c>
      <c r="D234" s="7">
        <v>6.3848381645317387</v>
      </c>
      <c r="E234" s="7">
        <v>8873</v>
      </c>
      <c r="F234" s="7">
        <v>6584581.3886642167</v>
      </c>
      <c r="G234" s="7">
        <v>890</v>
      </c>
      <c r="H234" s="7">
        <v>53237.490515740443</v>
      </c>
      <c r="I234">
        <f t="shared" si="6"/>
        <v>7.195805437317411E-4</v>
      </c>
      <c r="J234">
        <f t="shared" si="7"/>
        <v>1.3516424924630633E-4</v>
      </c>
    </row>
    <row r="235" spans="1:10" hidden="1" x14ac:dyDescent="0.3">
      <c r="A235" t="s">
        <v>605</v>
      </c>
      <c r="B235" t="s">
        <v>661</v>
      </c>
      <c r="C235" t="s">
        <v>661</v>
      </c>
      <c r="D235" s="7">
        <v>1.183393137174318</v>
      </c>
      <c r="E235" s="7">
        <v>14135</v>
      </c>
      <c r="F235" s="7">
        <v>4390385.5268382346</v>
      </c>
      <c r="G235" s="7">
        <v>70</v>
      </c>
      <c r="H235" s="7">
        <v>52509.496205061601</v>
      </c>
      <c r="I235">
        <f t="shared" si="6"/>
        <v>8.3720773765427522E-5</v>
      </c>
      <c r="J235">
        <f t="shared" si="7"/>
        <v>1.594393011094198E-5</v>
      </c>
    </row>
    <row r="236" spans="1:10" hidden="1" x14ac:dyDescent="0.3">
      <c r="A236" t="s">
        <v>399</v>
      </c>
      <c r="B236" t="s">
        <v>419</v>
      </c>
      <c r="C236" t="s">
        <v>419</v>
      </c>
      <c r="D236" s="7">
        <v>1.7360318561436161</v>
      </c>
      <c r="E236" s="7">
        <v>63436</v>
      </c>
      <c r="F236" s="7">
        <v>3245104.8569240202</v>
      </c>
      <c r="G236" s="7">
        <v>17</v>
      </c>
      <c r="H236" s="7">
        <v>52239.824929122369</v>
      </c>
      <c r="I236">
        <f t="shared" si="6"/>
        <v>2.7366666500782145E-5</v>
      </c>
      <c r="J236">
        <f t="shared" si="7"/>
        <v>5.238659688831754E-6</v>
      </c>
    </row>
    <row r="237" spans="1:10" hidden="1" x14ac:dyDescent="0.3">
      <c r="A237" t="s">
        <v>823</v>
      </c>
      <c r="B237" t="s">
        <v>857</v>
      </c>
      <c r="C237" t="s">
        <v>858</v>
      </c>
      <c r="D237" s="7">
        <v>7.4755490697838667</v>
      </c>
      <c r="E237" s="7">
        <v>16768</v>
      </c>
      <c r="F237" s="7">
        <v>5435777.9581495104</v>
      </c>
      <c r="G237" s="7">
        <v>473</v>
      </c>
      <c r="H237" s="7">
        <v>51234.487792357198</v>
      </c>
      <c r="I237">
        <f t="shared" si="6"/>
        <v>4.4582234433348443E-4</v>
      </c>
      <c r="J237">
        <f t="shared" si="7"/>
        <v>8.7016063504003442E-5</v>
      </c>
    </row>
    <row r="238" spans="1:10" hidden="1" x14ac:dyDescent="0.3">
      <c r="A238" t="s">
        <v>399</v>
      </c>
      <c r="B238" t="s">
        <v>408</v>
      </c>
      <c r="C238" t="s">
        <v>408</v>
      </c>
      <c r="D238" s="7">
        <v>1.1649539303418741</v>
      </c>
      <c r="E238" s="7">
        <v>60610</v>
      </c>
      <c r="F238" s="7">
        <v>4716902</v>
      </c>
      <c r="G238" s="7">
        <v>18</v>
      </c>
      <c r="H238" s="7">
        <v>50367.316760503811</v>
      </c>
      <c r="I238">
        <f t="shared" si="6"/>
        <v>1.9220490518757203E-5</v>
      </c>
      <c r="J238">
        <f t="shared" si="7"/>
        <v>3.816064018289971E-6</v>
      </c>
    </row>
    <row r="239" spans="1:10" hidden="1" x14ac:dyDescent="0.3">
      <c r="A239" t="s">
        <v>723</v>
      </c>
      <c r="B239" t="s">
        <v>748</v>
      </c>
      <c r="C239" t="s">
        <v>748</v>
      </c>
      <c r="D239" s="7">
        <v>0.72238651644642071</v>
      </c>
      <c r="E239" s="7">
        <v>4872</v>
      </c>
      <c r="F239" s="7">
        <v>496551.640625</v>
      </c>
      <c r="G239" s="7">
        <v>15</v>
      </c>
      <c r="H239" s="7">
        <v>49083.498892562769</v>
      </c>
      <c r="I239">
        <f t="shared" si="6"/>
        <v>1.4827309450870705E-4</v>
      </c>
      <c r="J239">
        <f t="shared" si="7"/>
        <v>3.0208338413945805E-5</v>
      </c>
    </row>
    <row r="240" spans="1:10" hidden="1" x14ac:dyDescent="0.3">
      <c r="A240" t="s">
        <v>492</v>
      </c>
      <c r="B240" t="s">
        <v>570</v>
      </c>
      <c r="C240" t="s">
        <v>570</v>
      </c>
      <c r="D240" s="7">
        <v>1.5969857871579149</v>
      </c>
      <c r="E240" s="7">
        <v>4607</v>
      </c>
      <c r="F240" s="7">
        <v>495407.046875</v>
      </c>
      <c r="G240" s="7">
        <v>35</v>
      </c>
      <c r="H240" s="7">
        <v>49065.584217634663</v>
      </c>
      <c r="I240">
        <f t="shared" si="6"/>
        <v>3.4664332258691448E-4</v>
      </c>
      <c r="J240">
        <f t="shared" si="7"/>
        <v>7.0648974859719999E-5</v>
      </c>
    </row>
    <row r="241" spans="1:10" hidden="1" x14ac:dyDescent="0.3">
      <c r="A241" t="s">
        <v>579</v>
      </c>
      <c r="B241" t="s">
        <v>588</v>
      </c>
      <c r="C241" t="s">
        <v>44</v>
      </c>
      <c r="D241" s="7">
        <v>2.4456131413908779</v>
      </c>
      <c r="E241" s="7">
        <v>21758</v>
      </c>
      <c r="F241" s="7">
        <v>3226974.71875</v>
      </c>
      <c r="G241" s="7">
        <v>77</v>
      </c>
      <c r="H241" s="7">
        <v>47105.717670712736</v>
      </c>
      <c r="I241">
        <f t="shared" si="6"/>
        <v>1.1240064074781129E-4</v>
      </c>
      <c r="J241">
        <f t="shared" si="7"/>
        <v>2.3861358303366781E-5</v>
      </c>
    </row>
    <row r="242" spans="1:10" hidden="1" x14ac:dyDescent="0.3">
      <c r="A242" t="s">
        <v>184</v>
      </c>
      <c r="B242" t="s">
        <v>211</v>
      </c>
      <c r="C242" t="s">
        <v>109</v>
      </c>
      <c r="D242" s="7">
        <v>3.1682736595729888</v>
      </c>
      <c r="E242" s="7">
        <v>40949</v>
      </c>
      <c r="F242" s="7">
        <v>21212444.372732852</v>
      </c>
      <c r="G242" s="7">
        <v>359</v>
      </c>
      <c r="H242" s="7">
        <v>45716.782130368389</v>
      </c>
      <c r="I242">
        <f t="shared" si="6"/>
        <v>7.7371209542918961E-5</v>
      </c>
      <c r="J242">
        <f t="shared" si="7"/>
        <v>1.6924027881551925E-5</v>
      </c>
    </row>
    <row r="243" spans="1:10" hidden="1" x14ac:dyDescent="0.3">
      <c r="A243" t="s">
        <v>225</v>
      </c>
      <c r="B243" t="s">
        <v>262</v>
      </c>
      <c r="C243" t="s">
        <v>267</v>
      </c>
      <c r="D243" s="7">
        <v>1.3838025137991761</v>
      </c>
      <c r="E243" s="7">
        <v>4683</v>
      </c>
      <c r="F243" s="7">
        <v>5034771.5400735289</v>
      </c>
      <c r="G243" s="7">
        <v>353</v>
      </c>
      <c r="H243" s="7">
        <v>42145.869748625453</v>
      </c>
      <c r="I243">
        <f t="shared" si="6"/>
        <v>2.9549487802672987E-4</v>
      </c>
      <c r="J243">
        <f t="shared" si="7"/>
        <v>7.0112416658898636E-5</v>
      </c>
    </row>
    <row r="244" spans="1:10" hidden="1" x14ac:dyDescent="0.3">
      <c r="A244" t="s">
        <v>645</v>
      </c>
      <c r="B244" t="s">
        <v>765</v>
      </c>
      <c r="C244" t="s">
        <v>783</v>
      </c>
      <c r="D244" s="7">
        <v>1.060275934851779</v>
      </c>
      <c r="E244" s="7">
        <v>3081</v>
      </c>
      <c r="F244" s="7">
        <v>1277663.090747549</v>
      </c>
      <c r="G244" s="7">
        <v>106</v>
      </c>
      <c r="H244" s="7">
        <v>41479.898953659103</v>
      </c>
      <c r="I244">
        <f t="shared" si="6"/>
        <v>3.441337016721126E-4</v>
      </c>
      <c r="J244">
        <f t="shared" si="7"/>
        <v>8.2963968175663879E-5</v>
      </c>
    </row>
    <row r="245" spans="1:10" hidden="1" x14ac:dyDescent="0.3">
      <c r="A245" t="s">
        <v>645</v>
      </c>
      <c r="B245" t="s">
        <v>810</v>
      </c>
      <c r="C245" t="s">
        <v>811</v>
      </c>
      <c r="D245" s="7">
        <v>7.0945757415788071</v>
      </c>
      <c r="E245" s="7">
        <v>22171</v>
      </c>
      <c r="F245" s="7">
        <v>7924045.1606617644</v>
      </c>
      <c r="G245" s="7">
        <v>629</v>
      </c>
      <c r="H245" s="7">
        <v>40312.287640822353</v>
      </c>
      <c r="I245">
        <f t="shared" si="6"/>
        <v>3.1999349337327173E-4</v>
      </c>
      <c r="J245">
        <f t="shared" si="7"/>
        <v>7.93786490670972E-5</v>
      </c>
    </row>
    <row r="246" spans="1:10" hidden="1" x14ac:dyDescent="0.3">
      <c r="A246" t="s">
        <v>915</v>
      </c>
      <c r="B246" t="s">
        <v>949</v>
      </c>
      <c r="C246" t="s">
        <v>951</v>
      </c>
      <c r="D246" s="7">
        <v>1.164271322655702</v>
      </c>
      <c r="E246" s="7">
        <v>1760</v>
      </c>
      <c r="F246" s="7">
        <v>496652.3125</v>
      </c>
      <c r="G246" s="7">
        <v>82</v>
      </c>
      <c r="H246" s="7">
        <v>40066.383368513591</v>
      </c>
      <c r="I246">
        <f t="shared" si="6"/>
        <v>6.6151779696346704E-4</v>
      </c>
      <c r="J246">
        <f t="shared" si="7"/>
        <v>1.6510544285445162E-4</v>
      </c>
    </row>
    <row r="247" spans="1:10" hidden="1" x14ac:dyDescent="0.3">
      <c r="A247" t="s">
        <v>645</v>
      </c>
      <c r="B247" t="s">
        <v>815</v>
      </c>
      <c r="C247" t="s">
        <v>816</v>
      </c>
      <c r="D247" s="7">
        <v>24.874504055072698</v>
      </c>
      <c r="E247" s="7">
        <v>107731</v>
      </c>
      <c r="F247" s="7">
        <v>21736483.12132353</v>
      </c>
      <c r="G247" s="7">
        <v>1265</v>
      </c>
      <c r="H247" s="7">
        <v>39674.59409086535</v>
      </c>
      <c r="I247">
        <f t="shared" si="6"/>
        <v>2.3089458052995607E-4</v>
      </c>
      <c r="J247">
        <f t="shared" si="7"/>
        <v>5.8197087032861941E-5</v>
      </c>
    </row>
    <row r="248" spans="1:10" hidden="1" x14ac:dyDescent="0.3">
      <c r="A248" t="s">
        <v>149</v>
      </c>
      <c r="B248" t="s">
        <v>170</v>
      </c>
      <c r="C248" t="s">
        <v>173</v>
      </c>
      <c r="D248" s="7">
        <v>1.506536115458937</v>
      </c>
      <c r="E248" s="7">
        <v>1447</v>
      </c>
      <c r="F248" s="7">
        <v>342769.78829656867</v>
      </c>
      <c r="G248" s="7">
        <v>90</v>
      </c>
      <c r="H248" s="7">
        <v>39652.542836289227</v>
      </c>
      <c r="I248">
        <f t="shared" si="6"/>
        <v>1.041144516557662E-3</v>
      </c>
      <c r="J248">
        <f t="shared" si="7"/>
        <v>2.6256689787995809E-4</v>
      </c>
    </row>
    <row r="249" spans="1:10" hidden="1" x14ac:dyDescent="0.3">
      <c r="A249" t="s">
        <v>579</v>
      </c>
      <c r="B249" t="s">
        <v>580</v>
      </c>
      <c r="C249" t="s">
        <v>580</v>
      </c>
      <c r="D249" s="7">
        <v>7.4932649972069836</v>
      </c>
      <c r="E249" s="7">
        <v>117331</v>
      </c>
      <c r="F249" s="7">
        <v>5216234.3754289215</v>
      </c>
      <c r="G249" s="7">
        <v>85</v>
      </c>
      <c r="H249" s="7">
        <v>39191.915543737618</v>
      </c>
      <c r="I249">
        <f t="shared" si="6"/>
        <v>6.3864323982638715E-5</v>
      </c>
      <c r="J249">
        <f t="shared" si="7"/>
        <v>1.6295280058808822E-5</v>
      </c>
    </row>
    <row r="250" spans="1:10" hidden="1" x14ac:dyDescent="0.3">
      <c r="A250" t="s">
        <v>667</v>
      </c>
      <c r="B250" t="s">
        <v>705</v>
      </c>
      <c r="C250" t="s">
        <v>705</v>
      </c>
      <c r="D250" s="7">
        <v>0.78168348780518115</v>
      </c>
      <c r="E250" s="7">
        <v>4278</v>
      </c>
      <c r="F250" s="7">
        <v>1489121.15625</v>
      </c>
      <c r="G250" s="7">
        <v>70</v>
      </c>
      <c r="H250" s="7">
        <v>38870.681198890808</v>
      </c>
      <c r="I250">
        <f t="shared" si="6"/>
        <v>1.8272171290443693E-4</v>
      </c>
      <c r="J250">
        <f t="shared" si="7"/>
        <v>4.700759216683112E-5</v>
      </c>
    </row>
    <row r="251" spans="1:10" hidden="1" x14ac:dyDescent="0.3">
      <c r="A251" t="s">
        <v>983</v>
      </c>
      <c r="B251" t="s">
        <v>993</v>
      </c>
      <c r="C251" t="s">
        <v>993</v>
      </c>
      <c r="D251" s="7">
        <v>7.1933306160609831</v>
      </c>
      <c r="E251" s="7">
        <v>38951</v>
      </c>
      <c r="F251" s="7">
        <v>2234937.65625</v>
      </c>
      <c r="G251" s="7">
        <v>109</v>
      </c>
      <c r="H251" s="7">
        <v>37866.077957958238</v>
      </c>
      <c r="I251">
        <f t="shared" si="6"/>
        <v>1.8467640409902141E-4</v>
      </c>
      <c r="J251">
        <f t="shared" si="7"/>
        <v>4.877093537494509E-5</v>
      </c>
    </row>
    <row r="252" spans="1:10" hidden="1" x14ac:dyDescent="0.3">
      <c r="A252" t="s">
        <v>280</v>
      </c>
      <c r="B252" t="s">
        <v>297</v>
      </c>
      <c r="C252" t="s">
        <v>297</v>
      </c>
      <c r="D252" s="7">
        <v>2.4262356064952111</v>
      </c>
      <c r="E252" s="7">
        <v>37180</v>
      </c>
      <c r="F252" s="7">
        <v>1239695.265625</v>
      </c>
      <c r="G252" s="7">
        <v>22</v>
      </c>
      <c r="H252" s="7">
        <v>36771.881200338823</v>
      </c>
      <c r="I252">
        <f t="shared" si="6"/>
        <v>6.5256471395782977E-5</v>
      </c>
      <c r="J252">
        <f t="shared" si="7"/>
        <v>1.7746296698897665E-5</v>
      </c>
    </row>
    <row r="253" spans="1:10" hidden="1" x14ac:dyDescent="0.3">
      <c r="A253" t="s">
        <v>90</v>
      </c>
      <c r="B253" t="s">
        <v>91</v>
      </c>
      <c r="C253" t="s">
        <v>98</v>
      </c>
      <c r="D253" s="7">
        <v>0.66417439465542216</v>
      </c>
      <c r="E253" s="7">
        <v>9855</v>
      </c>
      <c r="F253" s="7">
        <v>1737856.875</v>
      </c>
      <c r="G253" s="7">
        <v>32</v>
      </c>
      <c r="H253" s="7">
        <v>36600.711502755221</v>
      </c>
      <c r="I253">
        <f t="shared" si="6"/>
        <v>6.7394662065491852E-5</v>
      </c>
      <c r="J253">
        <f t="shared" si="7"/>
        <v>1.8413484136891307E-5</v>
      </c>
    </row>
    <row r="254" spans="1:10" hidden="1" x14ac:dyDescent="0.3">
      <c r="A254" t="s">
        <v>823</v>
      </c>
      <c r="B254" t="s">
        <v>824</v>
      </c>
      <c r="C254" t="s">
        <v>831</v>
      </c>
      <c r="D254" s="7">
        <v>3.3384631245613852</v>
      </c>
      <c r="E254" s="7">
        <v>4436</v>
      </c>
      <c r="F254" s="7">
        <v>4380201.3213848043</v>
      </c>
      <c r="G254" s="7">
        <v>911</v>
      </c>
      <c r="H254" s="7">
        <v>36185.180302064582</v>
      </c>
      <c r="I254">
        <f t="shared" si="6"/>
        <v>7.5258411284070904E-4</v>
      </c>
      <c r="J254">
        <f t="shared" si="7"/>
        <v>2.0798130797147622E-4</v>
      </c>
    </row>
    <row r="255" spans="1:10" hidden="1" x14ac:dyDescent="0.3">
      <c r="A255" t="s">
        <v>13</v>
      </c>
      <c r="B255" t="s">
        <v>48</v>
      </c>
      <c r="C255" t="s">
        <v>48</v>
      </c>
      <c r="D255" s="7">
        <v>1.308498413242646</v>
      </c>
      <c r="E255" s="7">
        <v>9514</v>
      </c>
      <c r="F255" s="7">
        <v>991661.71875</v>
      </c>
      <c r="G255" s="7">
        <v>38</v>
      </c>
      <c r="H255" s="7">
        <v>35891.36744348635</v>
      </c>
      <c r="I255">
        <f t="shared" si="6"/>
        <v>1.3753399340368363E-4</v>
      </c>
      <c r="J255">
        <f t="shared" si="7"/>
        <v>3.8319518926171114E-5</v>
      </c>
    </row>
    <row r="256" spans="1:10" hidden="1" x14ac:dyDescent="0.3">
      <c r="A256" t="s">
        <v>823</v>
      </c>
      <c r="B256" t="s">
        <v>847</v>
      </c>
      <c r="C256" t="s">
        <v>847</v>
      </c>
      <c r="D256" s="7">
        <v>3.875119563064239</v>
      </c>
      <c r="E256" s="7">
        <v>9161</v>
      </c>
      <c r="F256" s="7">
        <v>2234368.453125</v>
      </c>
      <c r="G256" s="7">
        <v>271</v>
      </c>
      <c r="H256" s="7">
        <v>34876.084701263579</v>
      </c>
      <c r="I256">
        <f t="shared" si="6"/>
        <v>4.2300180799740628E-4</v>
      </c>
      <c r="J256">
        <f t="shared" si="7"/>
        <v>1.2128706866630609E-4</v>
      </c>
    </row>
    <row r="257" spans="1:10" hidden="1" x14ac:dyDescent="0.3">
      <c r="A257" t="s">
        <v>184</v>
      </c>
      <c r="B257" t="s">
        <v>185</v>
      </c>
      <c r="C257" t="s">
        <v>194</v>
      </c>
      <c r="D257" s="7">
        <v>5.055854276777028</v>
      </c>
      <c r="E257" s="7">
        <v>16247</v>
      </c>
      <c r="F257" s="7">
        <v>3814158.490134804</v>
      </c>
      <c r="G257" s="7">
        <v>345</v>
      </c>
      <c r="H257" s="7">
        <v>34403.371707692677</v>
      </c>
      <c r="I257">
        <f t="shared" si="6"/>
        <v>3.1118694385283608E-4</v>
      </c>
      <c r="J257">
        <f t="shared" si="7"/>
        <v>9.0452455211898294E-5</v>
      </c>
    </row>
    <row r="258" spans="1:10" hidden="1" x14ac:dyDescent="0.3">
      <c r="A258" t="s">
        <v>579</v>
      </c>
      <c r="B258" t="s">
        <v>590</v>
      </c>
      <c r="C258" t="s">
        <v>424</v>
      </c>
      <c r="D258" s="7">
        <v>2.7332588626107972</v>
      </c>
      <c r="E258" s="7">
        <v>12608</v>
      </c>
      <c r="F258" s="7">
        <v>744840.53125</v>
      </c>
      <c r="G258" s="7">
        <v>47</v>
      </c>
      <c r="H258" s="7">
        <v>34355.795429966733</v>
      </c>
      <c r="I258">
        <f t="shared" si="6"/>
        <v>2.1678766359539952E-4</v>
      </c>
      <c r="J258">
        <f t="shared" si="7"/>
        <v>6.3100755165839396E-5</v>
      </c>
    </row>
    <row r="259" spans="1:10" hidden="1" x14ac:dyDescent="0.3">
      <c r="A259" t="s">
        <v>952</v>
      </c>
      <c r="B259" t="s">
        <v>977</v>
      </c>
      <c r="C259" t="s">
        <v>977</v>
      </c>
      <c r="D259" s="7">
        <v>1.7595791978011139</v>
      </c>
      <c r="E259" s="7">
        <v>8045</v>
      </c>
      <c r="F259" s="7">
        <v>1293154.0189950981</v>
      </c>
      <c r="G259" s="7">
        <v>84</v>
      </c>
      <c r="H259" s="7">
        <v>33670.823513224452</v>
      </c>
      <c r="I259">
        <f t="shared" ref="I259:I322" si="8">D259/E259</f>
        <v>2.1871711594793214E-4</v>
      </c>
      <c r="J259">
        <f t="shared" ref="J259:J322" si="9">G259/F259</f>
        <v>6.4957459642182356E-5</v>
      </c>
    </row>
    <row r="260" spans="1:10" hidden="1" x14ac:dyDescent="0.3">
      <c r="A260" t="s">
        <v>645</v>
      </c>
      <c r="B260" t="s">
        <v>765</v>
      </c>
      <c r="C260" t="s">
        <v>771</v>
      </c>
      <c r="D260" s="7">
        <v>40.580541240053918</v>
      </c>
      <c r="E260" s="7">
        <v>43794</v>
      </c>
      <c r="F260" s="7">
        <v>10110229.077083331</v>
      </c>
      <c r="G260" s="7">
        <v>2786</v>
      </c>
      <c r="H260" s="7">
        <v>33626.611388036777</v>
      </c>
      <c r="I260">
        <f t="shared" si="8"/>
        <v>9.2662331004370274E-4</v>
      </c>
      <c r="J260">
        <f t="shared" si="9"/>
        <v>2.755624999946811E-4</v>
      </c>
    </row>
    <row r="261" spans="1:10" hidden="1" x14ac:dyDescent="0.3">
      <c r="A261" t="s">
        <v>13</v>
      </c>
      <c r="B261" t="s">
        <v>14</v>
      </c>
      <c r="C261" t="s">
        <v>22</v>
      </c>
      <c r="D261" s="7">
        <v>8.2424059786776134</v>
      </c>
      <c r="E261" s="7">
        <v>7028</v>
      </c>
      <c r="F261" s="7">
        <v>4465453.3512254898</v>
      </c>
      <c r="G261" s="7">
        <v>1564</v>
      </c>
      <c r="H261" s="7">
        <v>33485.058123049421</v>
      </c>
      <c r="I261">
        <f t="shared" si="8"/>
        <v>1.1727953868351756E-3</v>
      </c>
      <c r="J261">
        <f t="shared" si="9"/>
        <v>3.5024439334267797E-4</v>
      </c>
    </row>
    <row r="262" spans="1:10" hidden="1" x14ac:dyDescent="0.3">
      <c r="A262" t="s">
        <v>867</v>
      </c>
      <c r="B262" t="s">
        <v>891</v>
      </c>
      <c r="C262" t="s">
        <v>891</v>
      </c>
      <c r="D262" s="7">
        <v>1.4439988554253049</v>
      </c>
      <c r="E262" s="7">
        <v>8735</v>
      </c>
      <c r="F262" s="7">
        <v>1487057.4375</v>
      </c>
      <c r="G262" s="7">
        <v>76</v>
      </c>
      <c r="H262" s="7">
        <v>32345.81444433596</v>
      </c>
      <c r="I262">
        <f t="shared" si="8"/>
        <v>1.6531183233260504E-4</v>
      </c>
      <c r="J262">
        <f t="shared" si="9"/>
        <v>5.1107642572145101E-5</v>
      </c>
    </row>
    <row r="263" spans="1:10" hidden="1" x14ac:dyDescent="0.3">
      <c r="A263" t="s">
        <v>823</v>
      </c>
      <c r="B263" t="s">
        <v>845</v>
      </c>
      <c r="C263" t="s">
        <v>845</v>
      </c>
      <c r="D263" s="7">
        <v>3.4401679237728748</v>
      </c>
      <c r="E263" s="7">
        <v>6097</v>
      </c>
      <c r="F263" s="7">
        <v>1006647.741727941</v>
      </c>
      <c r="G263" s="7">
        <v>176</v>
      </c>
      <c r="H263" s="7">
        <v>32272.179980754921</v>
      </c>
      <c r="I263">
        <f t="shared" si="8"/>
        <v>5.64239449528108E-4</v>
      </c>
      <c r="J263">
        <f t="shared" si="9"/>
        <v>1.7483772396676789E-4</v>
      </c>
    </row>
    <row r="264" spans="1:10" hidden="1" x14ac:dyDescent="0.3">
      <c r="A264" t="s">
        <v>225</v>
      </c>
      <c r="B264" t="s">
        <v>247</v>
      </c>
      <c r="C264" t="s">
        <v>250</v>
      </c>
      <c r="D264" s="7">
        <v>1.057762495207027</v>
      </c>
      <c r="E264" s="7">
        <v>9562</v>
      </c>
      <c r="F264" s="7">
        <v>230670.6584558824</v>
      </c>
      <c r="G264" s="7">
        <v>8</v>
      </c>
      <c r="H264" s="7">
        <v>31896.409127188621</v>
      </c>
      <c r="I264">
        <f t="shared" si="8"/>
        <v>1.106214699024291E-4</v>
      </c>
      <c r="J264">
        <f t="shared" si="9"/>
        <v>3.4681480746412591E-5</v>
      </c>
    </row>
    <row r="265" spans="1:10" hidden="1" x14ac:dyDescent="0.3">
      <c r="A265" t="s">
        <v>13</v>
      </c>
      <c r="B265" t="s">
        <v>39</v>
      </c>
      <c r="C265" t="s">
        <v>39</v>
      </c>
      <c r="D265" s="7">
        <v>7.8229034811895177</v>
      </c>
      <c r="E265" s="7">
        <v>23035</v>
      </c>
      <c r="F265" s="7">
        <v>6394056.7438112739</v>
      </c>
      <c r="G265" s="7">
        <v>682</v>
      </c>
      <c r="H265" s="7">
        <v>31839.912590037049</v>
      </c>
      <c r="I265">
        <f t="shared" si="8"/>
        <v>3.3960944133664068E-4</v>
      </c>
      <c r="J265">
        <f t="shared" si="9"/>
        <v>1.0666154951785486E-4</v>
      </c>
    </row>
    <row r="266" spans="1:10" hidden="1" x14ac:dyDescent="0.3">
      <c r="A266" t="s">
        <v>399</v>
      </c>
      <c r="B266" t="s">
        <v>432</v>
      </c>
      <c r="C266" t="s">
        <v>432</v>
      </c>
      <c r="D266" s="7">
        <v>14.83782306090151</v>
      </c>
      <c r="E266" s="7">
        <v>85730</v>
      </c>
      <c r="F266" s="7">
        <v>9460471.2720588222</v>
      </c>
      <c r="G266" s="7">
        <v>518</v>
      </c>
      <c r="H266" s="7">
        <v>31609.700115238011</v>
      </c>
      <c r="I266">
        <f t="shared" si="8"/>
        <v>1.7307620507292092E-4</v>
      </c>
      <c r="J266">
        <f t="shared" si="9"/>
        <v>5.4754143330036341E-5</v>
      </c>
    </row>
    <row r="267" spans="1:10" hidden="1" x14ac:dyDescent="0.3">
      <c r="A267" t="s">
        <v>399</v>
      </c>
      <c r="B267" t="s">
        <v>443</v>
      </c>
      <c r="C267" t="s">
        <v>444</v>
      </c>
      <c r="D267" s="7">
        <v>3.8667516500499501</v>
      </c>
      <c r="E267" s="7">
        <v>61401</v>
      </c>
      <c r="F267" s="7">
        <v>6777840.7346813735</v>
      </c>
      <c r="G267" s="7">
        <v>136</v>
      </c>
      <c r="H267" s="7">
        <v>31385.083358247859</v>
      </c>
      <c r="I267">
        <f t="shared" si="8"/>
        <v>6.2975385580852917E-5</v>
      </c>
      <c r="J267">
        <f t="shared" si="9"/>
        <v>2.0065387388656803E-5</v>
      </c>
    </row>
    <row r="268" spans="1:10" hidden="1" x14ac:dyDescent="0.3">
      <c r="A268" t="s">
        <v>492</v>
      </c>
      <c r="B268" t="s">
        <v>550</v>
      </c>
      <c r="C268" t="s">
        <v>550</v>
      </c>
      <c r="D268" s="7">
        <v>1.794384344855662</v>
      </c>
      <c r="E268" s="7">
        <v>10128</v>
      </c>
      <c r="F268" s="7">
        <v>1239215.125</v>
      </c>
      <c r="G268" s="7">
        <v>70</v>
      </c>
      <c r="H268" s="7">
        <v>31364.649912665769</v>
      </c>
      <c r="I268">
        <f t="shared" si="8"/>
        <v>1.7717065016347374E-4</v>
      </c>
      <c r="J268">
        <f t="shared" si="9"/>
        <v>5.6487367356817888E-5</v>
      </c>
    </row>
    <row r="269" spans="1:10" hidden="1" x14ac:dyDescent="0.3">
      <c r="A269" t="s">
        <v>645</v>
      </c>
      <c r="B269" t="s">
        <v>765</v>
      </c>
      <c r="C269" t="s">
        <v>769</v>
      </c>
      <c r="D269" s="7">
        <v>1.493780886381459</v>
      </c>
      <c r="E269" s="7">
        <v>5200</v>
      </c>
      <c r="F269" s="7">
        <v>2085941.8062499999</v>
      </c>
      <c r="G269" s="7">
        <v>195</v>
      </c>
      <c r="H269" s="7">
        <v>30729.191324262971</v>
      </c>
      <c r="I269">
        <f t="shared" si="8"/>
        <v>2.8726555507335748E-4</v>
      </c>
      <c r="J269">
        <f t="shared" si="9"/>
        <v>9.3482953079386758E-5</v>
      </c>
    </row>
    <row r="270" spans="1:10" hidden="1" x14ac:dyDescent="0.3">
      <c r="A270" t="s">
        <v>453</v>
      </c>
      <c r="B270" t="s">
        <v>454</v>
      </c>
      <c r="C270" t="s">
        <v>459</v>
      </c>
      <c r="D270" s="7">
        <v>5.1693349353218441</v>
      </c>
      <c r="E270" s="7">
        <v>9093</v>
      </c>
      <c r="F270" s="7">
        <v>498594.34950980393</v>
      </c>
      <c r="G270" s="7">
        <v>93</v>
      </c>
      <c r="H270" s="7">
        <v>30478.380385657641</v>
      </c>
      <c r="I270">
        <f t="shared" si="8"/>
        <v>5.6849608878498234E-4</v>
      </c>
      <c r="J270">
        <f t="shared" si="9"/>
        <v>1.8652437616157005E-4</v>
      </c>
    </row>
    <row r="271" spans="1:10" hidden="1" x14ac:dyDescent="0.3">
      <c r="A271" t="s">
        <v>645</v>
      </c>
      <c r="B271" t="s">
        <v>802</v>
      </c>
      <c r="C271" t="s">
        <v>804</v>
      </c>
      <c r="D271" s="7">
        <v>1.8428031940315639</v>
      </c>
      <c r="E271" s="7">
        <v>10806</v>
      </c>
      <c r="F271" s="7">
        <v>2867832.2000612752</v>
      </c>
      <c r="G271" s="7">
        <v>161</v>
      </c>
      <c r="H271" s="7">
        <v>30376.788247496981</v>
      </c>
      <c r="I271">
        <f t="shared" si="8"/>
        <v>1.7053518360462373E-4</v>
      </c>
      <c r="J271">
        <f t="shared" si="9"/>
        <v>5.613996523107594E-5</v>
      </c>
    </row>
    <row r="272" spans="1:10" hidden="1" x14ac:dyDescent="0.3">
      <c r="A272" t="s">
        <v>667</v>
      </c>
      <c r="B272" t="s">
        <v>677</v>
      </c>
      <c r="C272" t="s">
        <v>677</v>
      </c>
      <c r="D272" s="7">
        <v>1.091534916268587</v>
      </c>
      <c r="E272" s="7">
        <v>12908</v>
      </c>
      <c r="F272" s="7">
        <v>4462182.203125</v>
      </c>
      <c r="G272" s="7">
        <v>125</v>
      </c>
      <c r="H272" s="7">
        <v>30186.722512942211</v>
      </c>
      <c r="I272">
        <f t="shared" si="8"/>
        <v>8.4562667823720716E-5</v>
      </c>
      <c r="J272">
        <f t="shared" si="9"/>
        <v>2.8013199441398595E-5</v>
      </c>
    </row>
    <row r="273" spans="1:10" hidden="1" x14ac:dyDescent="0.3">
      <c r="A273" t="s">
        <v>225</v>
      </c>
      <c r="B273" t="s">
        <v>262</v>
      </c>
      <c r="C273" t="s">
        <v>262</v>
      </c>
      <c r="D273" s="7">
        <v>5.7204971307445938</v>
      </c>
      <c r="E273" s="7">
        <v>23831</v>
      </c>
      <c r="F273" s="7">
        <v>47702283.798651963</v>
      </c>
      <c r="G273" s="7">
        <v>4042</v>
      </c>
      <c r="H273" s="7">
        <v>28329.203760846071</v>
      </c>
      <c r="I273">
        <f t="shared" si="8"/>
        <v>2.4004435947902285E-4</v>
      </c>
      <c r="J273">
        <f t="shared" si="9"/>
        <v>8.4733888571478092E-5</v>
      </c>
    </row>
    <row r="274" spans="1:10" hidden="1" x14ac:dyDescent="0.3">
      <c r="A274" t="s">
        <v>605</v>
      </c>
      <c r="B274" t="s">
        <v>655</v>
      </c>
      <c r="C274" t="s">
        <v>649</v>
      </c>
      <c r="D274" s="7">
        <v>1.5050906770692269</v>
      </c>
      <c r="E274" s="7">
        <v>16402</v>
      </c>
      <c r="F274" s="7">
        <v>744797.625</v>
      </c>
      <c r="G274" s="7">
        <v>25</v>
      </c>
      <c r="H274" s="7">
        <v>27337.835914907999</v>
      </c>
      <c r="I274">
        <f t="shared" si="8"/>
        <v>9.1762631207732411E-5</v>
      </c>
      <c r="J274">
        <f t="shared" si="9"/>
        <v>3.3566165037113272E-5</v>
      </c>
    </row>
    <row r="275" spans="1:10" hidden="1" x14ac:dyDescent="0.3">
      <c r="A275" t="s">
        <v>645</v>
      </c>
      <c r="B275" t="s">
        <v>765</v>
      </c>
      <c r="C275" t="s">
        <v>793</v>
      </c>
      <c r="D275" s="7">
        <v>15.556064012463599</v>
      </c>
      <c r="E275" s="7">
        <v>82860</v>
      </c>
      <c r="F275" s="7">
        <v>10100487.615441181</v>
      </c>
      <c r="G275" s="7">
        <v>697</v>
      </c>
      <c r="H275" s="7">
        <v>27205.978780633039</v>
      </c>
      <c r="I275">
        <f t="shared" si="8"/>
        <v>1.8773912638744386E-4</v>
      </c>
      <c r="J275">
        <f t="shared" si="9"/>
        <v>6.9006569438732546E-5</v>
      </c>
    </row>
    <row r="276" spans="1:10" hidden="1" x14ac:dyDescent="0.3">
      <c r="A276" t="s">
        <v>645</v>
      </c>
      <c r="B276" t="s">
        <v>802</v>
      </c>
      <c r="C276" t="s">
        <v>806</v>
      </c>
      <c r="D276" s="7">
        <v>10.38890114063296</v>
      </c>
      <c r="E276" s="7">
        <v>26624</v>
      </c>
      <c r="F276" s="7">
        <v>496642.9375</v>
      </c>
      <c r="G276" s="7">
        <v>72</v>
      </c>
      <c r="H276" s="7">
        <v>26915.848586285221</v>
      </c>
      <c r="I276">
        <f t="shared" si="8"/>
        <v>3.9020812577497595E-4</v>
      </c>
      <c r="J276">
        <f t="shared" si="9"/>
        <v>1.4497336932330787E-4</v>
      </c>
    </row>
    <row r="277" spans="1:10" hidden="1" x14ac:dyDescent="0.3">
      <c r="A277" t="s">
        <v>117</v>
      </c>
      <c r="B277" t="s">
        <v>146</v>
      </c>
      <c r="C277" t="s">
        <v>146</v>
      </c>
      <c r="D277" s="7">
        <v>2.6870946216819269</v>
      </c>
      <c r="E277" s="7">
        <v>4465</v>
      </c>
      <c r="F277" s="7">
        <v>496085.65625</v>
      </c>
      <c r="G277" s="7">
        <v>112</v>
      </c>
      <c r="H277" s="7">
        <v>26656.316965344031</v>
      </c>
      <c r="I277">
        <f t="shared" si="8"/>
        <v>6.0181290519192095E-4</v>
      </c>
      <c r="J277">
        <f t="shared" si="9"/>
        <v>2.2576746291482803E-4</v>
      </c>
    </row>
    <row r="278" spans="1:10" hidden="1" x14ac:dyDescent="0.3">
      <c r="A278" t="s">
        <v>184</v>
      </c>
      <c r="B278" t="s">
        <v>185</v>
      </c>
      <c r="C278" t="s">
        <v>195</v>
      </c>
      <c r="D278" s="7">
        <v>0.84230297976118518</v>
      </c>
      <c r="E278" s="7">
        <v>11557</v>
      </c>
      <c r="F278" s="7">
        <v>1489831.4375</v>
      </c>
      <c r="G278" s="7">
        <v>41</v>
      </c>
      <c r="H278" s="7">
        <v>26483.568382125919</v>
      </c>
      <c r="I278">
        <f t="shared" si="8"/>
        <v>7.2882493706081616E-5</v>
      </c>
      <c r="J278">
        <f t="shared" si="9"/>
        <v>2.7519891826688614E-5</v>
      </c>
    </row>
    <row r="279" spans="1:10" hidden="1" x14ac:dyDescent="0.3">
      <c r="A279" t="s">
        <v>823</v>
      </c>
      <c r="B279" t="s">
        <v>824</v>
      </c>
      <c r="C279" t="s">
        <v>833</v>
      </c>
      <c r="D279" s="7">
        <v>0.98222621805106225</v>
      </c>
      <c r="E279" s="7">
        <v>11990</v>
      </c>
      <c r="F279" s="7">
        <v>3412277.5444240202</v>
      </c>
      <c r="G279" s="7">
        <v>106</v>
      </c>
      <c r="H279" s="7">
        <v>26371.256451132009</v>
      </c>
      <c r="I279">
        <f t="shared" si="8"/>
        <v>8.1920451880822544E-5</v>
      </c>
      <c r="J279">
        <f t="shared" si="9"/>
        <v>3.1064296095496069E-5</v>
      </c>
    </row>
    <row r="280" spans="1:10" hidden="1" x14ac:dyDescent="0.3">
      <c r="A280" t="s">
        <v>399</v>
      </c>
      <c r="B280" t="s">
        <v>407</v>
      </c>
      <c r="C280" t="s">
        <v>407</v>
      </c>
      <c r="D280" s="7">
        <v>1.1969348419292321</v>
      </c>
      <c r="E280" s="7">
        <v>26874</v>
      </c>
      <c r="F280" s="7">
        <v>744041.5</v>
      </c>
      <c r="G280" s="7">
        <v>13</v>
      </c>
      <c r="H280" s="7">
        <v>25491.301148702179</v>
      </c>
      <c r="I280">
        <f t="shared" si="8"/>
        <v>4.4538767653837611E-5</v>
      </c>
      <c r="J280">
        <f t="shared" si="9"/>
        <v>1.7472143690909714E-5</v>
      </c>
    </row>
    <row r="281" spans="1:10" hidden="1" x14ac:dyDescent="0.3">
      <c r="A281" t="s">
        <v>184</v>
      </c>
      <c r="B281" t="s">
        <v>211</v>
      </c>
      <c r="C281" t="s">
        <v>215</v>
      </c>
      <c r="D281" s="7">
        <v>2.57407011084051</v>
      </c>
      <c r="E281" s="7">
        <v>7996</v>
      </c>
      <c r="F281" s="7">
        <v>2405952.4161764709</v>
      </c>
      <c r="G281" s="7">
        <v>306</v>
      </c>
      <c r="H281" s="7">
        <v>25311.226702339569</v>
      </c>
      <c r="I281">
        <f t="shared" si="8"/>
        <v>3.2191972371692221E-4</v>
      </c>
      <c r="J281">
        <f t="shared" si="9"/>
        <v>1.2718456023593929E-4</v>
      </c>
    </row>
    <row r="282" spans="1:10" hidden="1" x14ac:dyDescent="0.3">
      <c r="A282" t="s">
        <v>280</v>
      </c>
      <c r="B282" t="s">
        <v>305</v>
      </c>
      <c r="C282" t="s">
        <v>305</v>
      </c>
      <c r="D282" s="7">
        <v>4.0481426706573123</v>
      </c>
      <c r="E282" s="7">
        <v>63864</v>
      </c>
      <c r="F282" s="7">
        <v>3470861.28125</v>
      </c>
      <c r="G282" s="7">
        <v>88</v>
      </c>
      <c r="H282" s="7">
        <v>25000.821448277231</v>
      </c>
      <c r="I282">
        <f t="shared" si="8"/>
        <v>6.3386926447721916E-5</v>
      </c>
      <c r="J282">
        <f t="shared" si="9"/>
        <v>2.5353937501157515E-5</v>
      </c>
    </row>
    <row r="283" spans="1:10" hidden="1" x14ac:dyDescent="0.3">
      <c r="A283" t="s">
        <v>13</v>
      </c>
      <c r="B283" t="s">
        <v>75</v>
      </c>
      <c r="C283" t="s">
        <v>76</v>
      </c>
      <c r="D283" s="7">
        <v>1.1924918408113261</v>
      </c>
      <c r="E283" s="7">
        <v>2570</v>
      </c>
      <c r="F283" s="7">
        <v>197334.59136029409</v>
      </c>
      <c r="G283" s="7">
        <v>37</v>
      </c>
      <c r="H283" s="7">
        <v>24747.070155325269</v>
      </c>
      <c r="I283">
        <f t="shared" si="8"/>
        <v>4.6400460731958211E-4</v>
      </c>
      <c r="J283">
        <f t="shared" si="9"/>
        <v>1.8749880466950312E-4</v>
      </c>
    </row>
    <row r="284" spans="1:10" hidden="1" x14ac:dyDescent="0.3">
      <c r="A284" t="s">
        <v>453</v>
      </c>
      <c r="B284" t="s">
        <v>481</v>
      </c>
      <c r="C284" t="s">
        <v>481</v>
      </c>
      <c r="D284" s="7">
        <v>3.040239485123875</v>
      </c>
      <c r="E284" s="7">
        <v>10556</v>
      </c>
      <c r="F284" s="7">
        <v>1470446.3416053921</v>
      </c>
      <c r="G284" s="7">
        <v>176</v>
      </c>
      <c r="H284" s="7">
        <v>24062.731603012631</v>
      </c>
      <c r="I284">
        <f t="shared" si="8"/>
        <v>2.8801056130389117E-4</v>
      </c>
      <c r="J284">
        <f t="shared" si="9"/>
        <v>1.1969154876324705E-4</v>
      </c>
    </row>
    <row r="285" spans="1:10" hidden="1" x14ac:dyDescent="0.3">
      <c r="A285" t="s">
        <v>823</v>
      </c>
      <c r="B285" t="s">
        <v>824</v>
      </c>
      <c r="C285" t="s">
        <v>323</v>
      </c>
      <c r="D285" s="7">
        <v>10.66770088783203</v>
      </c>
      <c r="E285" s="7">
        <v>29532</v>
      </c>
      <c r="F285" s="7">
        <v>16279414.07843137</v>
      </c>
      <c r="G285" s="7">
        <v>2496</v>
      </c>
      <c r="H285" s="7">
        <v>23559.830364621281</v>
      </c>
      <c r="I285">
        <f t="shared" si="8"/>
        <v>3.6122514180658369E-4</v>
      </c>
      <c r="J285">
        <f t="shared" si="9"/>
        <v>1.533224714338433E-4</v>
      </c>
    </row>
    <row r="286" spans="1:10" hidden="1" x14ac:dyDescent="0.3">
      <c r="A286" t="s">
        <v>492</v>
      </c>
      <c r="B286" t="s">
        <v>563</v>
      </c>
      <c r="C286" t="s">
        <v>563</v>
      </c>
      <c r="D286" s="7">
        <v>0.91736546644671924</v>
      </c>
      <c r="E286" s="7">
        <v>6131</v>
      </c>
      <c r="F286" s="7">
        <v>314619.38602941181</v>
      </c>
      <c r="G286" s="7">
        <v>20</v>
      </c>
      <c r="H286" s="7">
        <v>23537.8372058434</v>
      </c>
      <c r="I286">
        <f t="shared" si="8"/>
        <v>1.4962737994564008E-4</v>
      </c>
      <c r="J286">
        <f t="shared" si="9"/>
        <v>6.3568873655262689E-5</v>
      </c>
    </row>
    <row r="287" spans="1:10" hidden="1" x14ac:dyDescent="0.3">
      <c r="A287" t="s">
        <v>605</v>
      </c>
      <c r="B287" t="s">
        <v>661</v>
      </c>
      <c r="C287" t="s">
        <v>663</v>
      </c>
      <c r="D287" s="7">
        <v>1.302064579884374</v>
      </c>
      <c r="E287" s="7">
        <v>6063</v>
      </c>
      <c r="F287" s="7">
        <v>1909901.3946691181</v>
      </c>
      <c r="G287" s="7">
        <v>195</v>
      </c>
      <c r="H287" s="7">
        <v>21033.971987045628</v>
      </c>
      <c r="I287">
        <f t="shared" si="8"/>
        <v>2.1475582712920566E-4</v>
      </c>
      <c r="J287">
        <f t="shared" si="9"/>
        <v>1.0209951180949992E-4</v>
      </c>
    </row>
    <row r="288" spans="1:10" hidden="1" x14ac:dyDescent="0.3">
      <c r="A288" t="s">
        <v>184</v>
      </c>
      <c r="B288" t="s">
        <v>220</v>
      </c>
      <c r="C288" t="s">
        <v>221</v>
      </c>
      <c r="D288" s="7">
        <v>0.65783114777453444</v>
      </c>
      <c r="E288" s="7">
        <v>6362</v>
      </c>
      <c r="F288" s="7">
        <v>2123700.1075367639</v>
      </c>
      <c r="G288" s="7">
        <v>106</v>
      </c>
      <c r="H288" s="7">
        <v>20716.104453770498</v>
      </c>
      <c r="I288">
        <f t="shared" si="8"/>
        <v>1.0340005466434052E-4</v>
      </c>
      <c r="J288">
        <f t="shared" si="9"/>
        <v>4.9912885356938281E-5</v>
      </c>
    </row>
    <row r="289" spans="1:10" hidden="1" x14ac:dyDescent="0.3">
      <c r="A289" t="s">
        <v>823</v>
      </c>
      <c r="B289" t="s">
        <v>824</v>
      </c>
      <c r="C289" t="s">
        <v>837</v>
      </c>
      <c r="D289" s="7">
        <v>6.6142426169050399</v>
      </c>
      <c r="E289" s="7">
        <v>5807</v>
      </c>
      <c r="F289" s="7">
        <v>744835.6875</v>
      </c>
      <c r="G289" s="7">
        <v>410</v>
      </c>
      <c r="H289" s="7">
        <v>20692.116524019639</v>
      </c>
      <c r="I289">
        <f t="shared" si="8"/>
        <v>1.1390119884458481E-3</v>
      </c>
      <c r="J289">
        <f t="shared" si="9"/>
        <v>5.504569757876968E-4</v>
      </c>
    </row>
    <row r="290" spans="1:10" hidden="1" x14ac:dyDescent="0.3">
      <c r="A290" t="s">
        <v>645</v>
      </c>
      <c r="B290" t="s">
        <v>765</v>
      </c>
      <c r="C290" t="s">
        <v>794</v>
      </c>
      <c r="D290" s="7">
        <v>8.0614271444482171</v>
      </c>
      <c r="E290" s="7">
        <v>27831</v>
      </c>
      <c r="F290" s="7">
        <v>3579784.25502451</v>
      </c>
      <c r="G290" s="7">
        <v>502</v>
      </c>
      <c r="H290" s="7">
        <v>20655.525978957889</v>
      </c>
      <c r="I290">
        <f t="shared" si="8"/>
        <v>2.8965639554626914E-4</v>
      </c>
      <c r="J290">
        <f t="shared" si="9"/>
        <v>1.4023191461759276E-4</v>
      </c>
    </row>
    <row r="291" spans="1:10" hidden="1" x14ac:dyDescent="0.3">
      <c r="A291" t="s">
        <v>645</v>
      </c>
      <c r="B291" t="s">
        <v>765</v>
      </c>
      <c r="C291" t="s">
        <v>777</v>
      </c>
      <c r="D291" s="7">
        <v>7.2180076697126747</v>
      </c>
      <c r="E291" s="7">
        <v>11985</v>
      </c>
      <c r="F291" s="7">
        <v>496646.140625</v>
      </c>
      <c r="G291" s="7">
        <v>146</v>
      </c>
      <c r="H291" s="7">
        <v>20486.770861776131</v>
      </c>
      <c r="I291">
        <f t="shared" si="8"/>
        <v>6.0225345596267622E-4</v>
      </c>
      <c r="J291">
        <f t="shared" si="9"/>
        <v>2.9397188069611811E-4</v>
      </c>
    </row>
    <row r="292" spans="1:10" hidden="1" x14ac:dyDescent="0.3">
      <c r="A292" t="s">
        <v>13</v>
      </c>
      <c r="B292" t="s">
        <v>14</v>
      </c>
      <c r="C292" t="s">
        <v>14</v>
      </c>
      <c r="D292" s="7">
        <v>66.805288387192547</v>
      </c>
      <c r="E292" s="7">
        <v>378564</v>
      </c>
      <c r="F292" s="7">
        <v>59784170.367892161</v>
      </c>
      <c r="G292" s="7">
        <v>5319</v>
      </c>
      <c r="H292" s="7">
        <v>19834.796442500861</v>
      </c>
      <c r="I292">
        <f t="shared" si="8"/>
        <v>1.764702623260335E-4</v>
      </c>
      <c r="J292">
        <f t="shared" si="9"/>
        <v>8.8970039514952207E-5</v>
      </c>
    </row>
    <row r="293" spans="1:10" hidden="1" x14ac:dyDescent="0.3">
      <c r="A293" t="s">
        <v>453</v>
      </c>
      <c r="B293" t="s">
        <v>485</v>
      </c>
      <c r="C293" t="s">
        <v>486</v>
      </c>
      <c r="D293" s="7">
        <v>3.5079063733303739</v>
      </c>
      <c r="E293" s="7">
        <v>6864</v>
      </c>
      <c r="F293" s="7">
        <v>496639.671875</v>
      </c>
      <c r="G293" s="7">
        <v>128</v>
      </c>
      <c r="H293" s="7">
        <v>19829.061387071801</v>
      </c>
      <c r="I293">
        <f t="shared" si="8"/>
        <v>5.1105862082318962E-4</v>
      </c>
      <c r="J293">
        <f t="shared" si="9"/>
        <v>2.5773212904388456E-4</v>
      </c>
    </row>
    <row r="294" spans="1:10" hidden="1" x14ac:dyDescent="0.3">
      <c r="A294" t="s">
        <v>184</v>
      </c>
      <c r="B294" t="s">
        <v>185</v>
      </c>
      <c r="C294" t="s">
        <v>188</v>
      </c>
      <c r="D294" s="7">
        <v>6.9874430440091784</v>
      </c>
      <c r="E294" s="7">
        <v>15962</v>
      </c>
      <c r="F294" s="7">
        <v>3432409.760477941</v>
      </c>
      <c r="G294" s="7">
        <v>792</v>
      </c>
      <c r="H294" s="7">
        <v>18971.642012975892</v>
      </c>
      <c r="I294">
        <f t="shared" si="8"/>
        <v>4.3775485803841489E-4</v>
      </c>
      <c r="J294">
        <f t="shared" si="9"/>
        <v>2.3074168157875157E-4</v>
      </c>
    </row>
    <row r="295" spans="1:10" hidden="1" x14ac:dyDescent="0.3">
      <c r="A295" t="s">
        <v>645</v>
      </c>
      <c r="B295" t="s">
        <v>796</v>
      </c>
      <c r="C295" t="s">
        <v>798</v>
      </c>
      <c r="D295" s="7">
        <v>1.5799725852698761</v>
      </c>
      <c r="E295" s="7">
        <v>18891</v>
      </c>
      <c r="F295" s="7">
        <v>6643461.6333333338</v>
      </c>
      <c r="G295" s="7">
        <v>318</v>
      </c>
      <c r="H295" s="7">
        <v>17472.776214621019</v>
      </c>
      <c r="I295">
        <f t="shared" si="8"/>
        <v>8.3636259873478162E-5</v>
      </c>
      <c r="J295">
        <f t="shared" si="9"/>
        <v>4.7866611948874101E-5</v>
      </c>
    </row>
    <row r="296" spans="1:10" hidden="1" x14ac:dyDescent="0.3">
      <c r="A296" t="s">
        <v>184</v>
      </c>
      <c r="B296" t="s">
        <v>196</v>
      </c>
      <c r="C296" t="s">
        <v>196</v>
      </c>
      <c r="D296" s="7">
        <v>2.0569136281915621</v>
      </c>
      <c r="E296" s="7">
        <v>50228</v>
      </c>
      <c r="F296" s="7">
        <v>3724403.4375</v>
      </c>
      <c r="G296" s="7">
        <v>89</v>
      </c>
      <c r="H296" s="7">
        <v>17137.082292336268</v>
      </c>
      <c r="I296">
        <f t="shared" si="8"/>
        <v>4.0951533570748628E-5</v>
      </c>
      <c r="J296">
        <f t="shared" si="9"/>
        <v>2.3896444489306215E-5</v>
      </c>
    </row>
    <row r="297" spans="1:10" hidden="1" x14ac:dyDescent="0.3">
      <c r="A297" t="s">
        <v>399</v>
      </c>
      <c r="B297" t="s">
        <v>452</v>
      </c>
      <c r="C297" t="s">
        <v>452</v>
      </c>
      <c r="D297" s="7">
        <v>1.751745005150861</v>
      </c>
      <c r="E297" s="7">
        <v>15000</v>
      </c>
      <c r="F297" s="7">
        <v>1489179.984375</v>
      </c>
      <c r="G297" s="7">
        <v>102</v>
      </c>
      <c r="H297" s="7">
        <v>17050.088884964342</v>
      </c>
      <c r="I297">
        <f t="shared" si="8"/>
        <v>1.1678300034339073E-4</v>
      </c>
      <c r="J297">
        <f t="shared" si="9"/>
        <v>6.8494071280986754E-5</v>
      </c>
    </row>
    <row r="298" spans="1:10" hidden="1" x14ac:dyDescent="0.3">
      <c r="A298" t="s">
        <v>867</v>
      </c>
      <c r="B298" t="s">
        <v>874</v>
      </c>
      <c r="C298" t="s">
        <v>875</v>
      </c>
      <c r="D298" s="7">
        <v>0.74858129420357133</v>
      </c>
      <c r="E298" s="7">
        <v>8374</v>
      </c>
      <c r="F298" s="7">
        <v>742366.609375</v>
      </c>
      <c r="G298" s="7">
        <v>39</v>
      </c>
      <c r="H298" s="7">
        <v>17016.092460162239</v>
      </c>
      <c r="I298">
        <f t="shared" si="8"/>
        <v>8.939351495146541E-5</v>
      </c>
      <c r="J298">
        <f t="shared" si="9"/>
        <v>5.2534690417762975E-5</v>
      </c>
    </row>
    <row r="299" spans="1:10" hidden="1" x14ac:dyDescent="0.3">
      <c r="A299" t="s">
        <v>399</v>
      </c>
      <c r="B299" t="s">
        <v>415</v>
      </c>
      <c r="C299" t="s">
        <v>350</v>
      </c>
      <c r="D299" s="7">
        <v>15.882304036606159</v>
      </c>
      <c r="E299" s="7">
        <v>318397</v>
      </c>
      <c r="F299" s="7">
        <v>31655425.207414221</v>
      </c>
      <c r="G299" s="7">
        <v>947</v>
      </c>
      <c r="H299" s="7">
        <v>16674.111869649911</v>
      </c>
      <c r="I299">
        <f t="shared" si="8"/>
        <v>4.9882078149625024E-5</v>
      </c>
      <c r="J299">
        <f t="shared" si="9"/>
        <v>2.9915883100448671E-5</v>
      </c>
    </row>
    <row r="300" spans="1:10" hidden="1" x14ac:dyDescent="0.3">
      <c r="A300" t="s">
        <v>933</v>
      </c>
      <c r="B300" t="s">
        <v>933</v>
      </c>
      <c r="C300" t="s">
        <v>997</v>
      </c>
      <c r="D300" s="7">
        <v>1.0302968521028379</v>
      </c>
      <c r="E300" s="7">
        <v>41836</v>
      </c>
      <c r="F300" s="7">
        <v>8989954.5601715688</v>
      </c>
      <c r="G300" s="7">
        <v>133</v>
      </c>
      <c r="H300" s="7">
        <v>16646.313682953059</v>
      </c>
      <c r="I300">
        <f t="shared" si="8"/>
        <v>2.4627040159260876E-5</v>
      </c>
      <c r="J300">
        <f t="shared" si="9"/>
        <v>1.4794290572861556E-5</v>
      </c>
    </row>
    <row r="301" spans="1:10" hidden="1" x14ac:dyDescent="0.3">
      <c r="A301" t="s">
        <v>13</v>
      </c>
      <c r="B301" t="s">
        <v>14</v>
      </c>
      <c r="C301" t="s">
        <v>21</v>
      </c>
      <c r="D301" s="7">
        <v>0.77041289200961049</v>
      </c>
      <c r="E301" s="7">
        <v>7207</v>
      </c>
      <c r="F301" s="7">
        <v>496077.375</v>
      </c>
      <c r="G301" s="7">
        <v>32</v>
      </c>
      <c r="H301" s="7">
        <v>16571.753379279089</v>
      </c>
      <c r="I301">
        <f t="shared" si="8"/>
        <v>1.0689786207986826E-4</v>
      </c>
      <c r="J301">
        <f t="shared" si="9"/>
        <v>6.4506066215980922E-5</v>
      </c>
    </row>
    <row r="302" spans="1:10" hidden="1" x14ac:dyDescent="0.3">
      <c r="A302" t="s">
        <v>13</v>
      </c>
      <c r="B302" t="s">
        <v>14</v>
      </c>
      <c r="C302" t="s">
        <v>24</v>
      </c>
      <c r="D302" s="7">
        <v>10.8171784735146</v>
      </c>
      <c r="E302" s="7">
        <v>8892</v>
      </c>
      <c r="F302" s="7">
        <v>2152399.911458333</v>
      </c>
      <c r="G302" s="7">
        <v>1612</v>
      </c>
      <c r="H302" s="7">
        <v>16243.232819629469</v>
      </c>
      <c r="I302">
        <f t="shared" si="8"/>
        <v>1.216506800890081E-3</v>
      </c>
      <c r="J302">
        <f t="shared" si="9"/>
        <v>7.4893145619384853E-4</v>
      </c>
    </row>
    <row r="303" spans="1:10" hidden="1" x14ac:dyDescent="0.3">
      <c r="A303" t="s">
        <v>579</v>
      </c>
      <c r="B303" t="s">
        <v>588</v>
      </c>
      <c r="C303" t="s">
        <v>588</v>
      </c>
      <c r="D303" s="7">
        <v>1.51746163297514</v>
      </c>
      <c r="E303" s="7">
        <v>15688</v>
      </c>
      <c r="F303" s="7">
        <v>2234143.453125</v>
      </c>
      <c r="G303" s="7">
        <v>134</v>
      </c>
      <c r="H303" s="7">
        <v>16127.10434004021</v>
      </c>
      <c r="I303">
        <f t="shared" si="8"/>
        <v>9.6727539072867166E-5</v>
      </c>
      <c r="J303">
        <f t="shared" si="9"/>
        <v>5.9978243479651223E-5</v>
      </c>
    </row>
    <row r="304" spans="1:10" hidden="1" x14ac:dyDescent="0.3">
      <c r="A304" t="s">
        <v>492</v>
      </c>
      <c r="B304" t="s">
        <v>532</v>
      </c>
      <c r="C304" t="s">
        <v>532</v>
      </c>
      <c r="D304" s="7">
        <v>0.94507366674189164</v>
      </c>
      <c r="E304" s="7">
        <v>15961</v>
      </c>
      <c r="F304" s="7">
        <v>4442588.5762867648</v>
      </c>
      <c r="G304" s="7">
        <v>169</v>
      </c>
      <c r="H304" s="7">
        <v>15565.20896763143</v>
      </c>
      <c r="I304">
        <f t="shared" si="8"/>
        <v>5.9211432036958312E-5</v>
      </c>
      <c r="J304">
        <f t="shared" si="9"/>
        <v>3.8040884745004847E-5</v>
      </c>
    </row>
    <row r="305" spans="1:10" hidden="1" x14ac:dyDescent="0.3">
      <c r="A305" t="s">
        <v>184</v>
      </c>
      <c r="B305" t="s">
        <v>220</v>
      </c>
      <c r="C305" t="s">
        <v>220</v>
      </c>
      <c r="D305" s="7">
        <v>0.70213250571384811</v>
      </c>
      <c r="E305" s="7">
        <v>7920</v>
      </c>
      <c r="F305" s="7">
        <v>744924.421875</v>
      </c>
      <c r="G305" s="7">
        <v>43</v>
      </c>
      <c r="H305" s="7">
        <v>15358.105793356041</v>
      </c>
      <c r="I305">
        <f t="shared" si="8"/>
        <v>8.8653094155788899E-5</v>
      </c>
      <c r="J305">
        <f t="shared" si="9"/>
        <v>5.7723976738160285E-5</v>
      </c>
    </row>
    <row r="306" spans="1:10" hidden="1" x14ac:dyDescent="0.3">
      <c r="A306" t="s">
        <v>667</v>
      </c>
      <c r="B306" t="s">
        <v>707</v>
      </c>
      <c r="C306" t="s">
        <v>707</v>
      </c>
      <c r="D306" s="7">
        <v>1.114998263110573</v>
      </c>
      <c r="E306" s="7">
        <v>2668</v>
      </c>
      <c r="F306" s="7">
        <v>743906.9375</v>
      </c>
      <c r="G306" s="7">
        <v>210</v>
      </c>
      <c r="H306" s="7">
        <v>14804.293268158881</v>
      </c>
      <c r="I306">
        <f t="shared" si="8"/>
        <v>4.1791539097097943E-4</v>
      </c>
      <c r="J306">
        <f t="shared" si="9"/>
        <v>2.8229337490215303E-4</v>
      </c>
    </row>
    <row r="307" spans="1:10" hidden="1" x14ac:dyDescent="0.3">
      <c r="A307" t="s">
        <v>605</v>
      </c>
      <c r="B307" t="s">
        <v>636</v>
      </c>
      <c r="C307" t="s">
        <v>637</v>
      </c>
      <c r="D307" s="7">
        <v>2.5614508212117681</v>
      </c>
      <c r="E307" s="7">
        <v>4012</v>
      </c>
      <c r="F307" s="7">
        <v>2182033.1556372549</v>
      </c>
      <c r="G307" s="7">
        <v>952</v>
      </c>
      <c r="H307" s="7">
        <v>14633.54322122486</v>
      </c>
      <c r="I307">
        <f t="shared" si="8"/>
        <v>6.3844736321330209E-4</v>
      </c>
      <c r="J307">
        <f t="shared" si="9"/>
        <v>4.3629034579081442E-4</v>
      </c>
    </row>
    <row r="308" spans="1:10" hidden="1" x14ac:dyDescent="0.3">
      <c r="A308" t="s">
        <v>667</v>
      </c>
      <c r="B308" t="s">
        <v>668</v>
      </c>
      <c r="C308" t="s">
        <v>669</v>
      </c>
      <c r="D308" s="7">
        <v>7.5093485201931287</v>
      </c>
      <c r="E308" s="7">
        <v>23697</v>
      </c>
      <c r="F308" s="7">
        <v>496260.453125</v>
      </c>
      <c r="G308" s="7">
        <v>109</v>
      </c>
      <c r="H308" s="7">
        <v>14427.53253442676</v>
      </c>
      <c r="I308">
        <f t="shared" si="8"/>
        <v>3.1689026122264964E-4</v>
      </c>
      <c r="J308">
        <f t="shared" si="9"/>
        <v>2.1964272855839404E-4</v>
      </c>
    </row>
    <row r="309" spans="1:10" hidden="1" x14ac:dyDescent="0.3">
      <c r="A309" t="s">
        <v>225</v>
      </c>
      <c r="B309" t="s">
        <v>226</v>
      </c>
      <c r="C309" t="s">
        <v>226</v>
      </c>
      <c r="D309" s="7">
        <v>26.7511045047053</v>
      </c>
      <c r="E309" s="7">
        <v>197765</v>
      </c>
      <c r="F309" s="7">
        <v>61173051.714522026</v>
      </c>
      <c r="G309" s="7">
        <v>5754</v>
      </c>
      <c r="H309" s="7">
        <v>14380.784334163691</v>
      </c>
      <c r="I309">
        <f t="shared" si="8"/>
        <v>1.3526713273180442E-4</v>
      </c>
      <c r="J309">
        <f t="shared" si="9"/>
        <v>9.4061025872182265E-5</v>
      </c>
    </row>
    <row r="310" spans="1:10" hidden="1" x14ac:dyDescent="0.3">
      <c r="A310" t="s">
        <v>453</v>
      </c>
      <c r="B310" t="s">
        <v>454</v>
      </c>
      <c r="C310" t="s">
        <v>455</v>
      </c>
      <c r="D310" s="7">
        <v>10.64862767927748</v>
      </c>
      <c r="E310" s="7">
        <v>175989</v>
      </c>
      <c r="F310" s="7">
        <v>32341220.518075991</v>
      </c>
      <c r="G310" s="7">
        <v>1362</v>
      </c>
      <c r="H310" s="7">
        <v>14367.705483528411</v>
      </c>
      <c r="I310">
        <f t="shared" si="8"/>
        <v>6.0507348068785432E-5</v>
      </c>
      <c r="J310">
        <f t="shared" si="9"/>
        <v>4.2113438459712983E-5</v>
      </c>
    </row>
    <row r="311" spans="1:10" hidden="1" x14ac:dyDescent="0.3">
      <c r="A311" t="s">
        <v>823</v>
      </c>
      <c r="B311" t="s">
        <v>824</v>
      </c>
      <c r="C311" t="s">
        <v>830</v>
      </c>
      <c r="D311" s="7">
        <v>4.4754281741223263</v>
      </c>
      <c r="E311" s="7">
        <v>7878</v>
      </c>
      <c r="F311" s="7">
        <v>1560658.036335784</v>
      </c>
      <c r="G311" s="7">
        <v>619</v>
      </c>
      <c r="H311" s="7">
        <v>14323.05696194017</v>
      </c>
      <c r="I311">
        <f t="shared" si="8"/>
        <v>5.6809192360019378E-4</v>
      </c>
      <c r="J311">
        <f t="shared" si="9"/>
        <v>3.9662756708274739E-4</v>
      </c>
    </row>
    <row r="312" spans="1:10" hidden="1" x14ac:dyDescent="0.3">
      <c r="A312" t="s">
        <v>280</v>
      </c>
      <c r="B312" t="s">
        <v>323</v>
      </c>
      <c r="C312" t="s">
        <v>324</v>
      </c>
      <c r="D312" s="7">
        <v>3.85062534719453</v>
      </c>
      <c r="E312" s="7">
        <v>5291</v>
      </c>
      <c r="F312" s="7">
        <v>1944.165196078432</v>
      </c>
      <c r="G312" s="7">
        <v>1</v>
      </c>
      <c r="H312" s="7">
        <v>14149.030019189249</v>
      </c>
      <c r="I312">
        <f t="shared" si="8"/>
        <v>7.277689183886846E-4</v>
      </c>
      <c r="J312">
        <f t="shared" si="9"/>
        <v>5.143595832376261E-4</v>
      </c>
    </row>
    <row r="313" spans="1:10" hidden="1" x14ac:dyDescent="0.3">
      <c r="A313" t="s">
        <v>90</v>
      </c>
      <c r="B313" t="s">
        <v>91</v>
      </c>
      <c r="C313" t="s">
        <v>91</v>
      </c>
      <c r="D313" s="7">
        <v>2.0640041873349619</v>
      </c>
      <c r="E313" s="7">
        <v>65543</v>
      </c>
      <c r="F313" s="7">
        <v>8565660.0443627462</v>
      </c>
      <c r="G313" s="7">
        <v>191</v>
      </c>
      <c r="H313" s="7">
        <v>14122.504604788441</v>
      </c>
      <c r="I313">
        <f t="shared" si="8"/>
        <v>3.1490840933966435E-5</v>
      </c>
      <c r="J313">
        <f t="shared" si="9"/>
        <v>2.2298340000745347E-5</v>
      </c>
    </row>
    <row r="314" spans="1:10" hidden="1" x14ac:dyDescent="0.3">
      <c r="A314" t="s">
        <v>184</v>
      </c>
      <c r="B314" t="s">
        <v>204</v>
      </c>
      <c r="C314" t="s">
        <v>204</v>
      </c>
      <c r="D314" s="7">
        <v>2.057593178477251</v>
      </c>
      <c r="E314" s="7">
        <v>44607</v>
      </c>
      <c r="F314" s="7">
        <v>73412045.510968134</v>
      </c>
      <c r="G314" s="7">
        <v>2410</v>
      </c>
      <c r="H314" s="7">
        <v>14050.985249177949</v>
      </c>
      <c r="I314">
        <f t="shared" si="8"/>
        <v>4.6127136513938419E-5</v>
      </c>
      <c r="J314">
        <f t="shared" si="9"/>
        <v>3.2828400070121106E-5</v>
      </c>
    </row>
    <row r="315" spans="1:10" hidden="1" x14ac:dyDescent="0.3">
      <c r="A315" t="s">
        <v>823</v>
      </c>
      <c r="B315" t="s">
        <v>857</v>
      </c>
      <c r="C315" t="s">
        <v>861</v>
      </c>
      <c r="D315" s="7">
        <v>1.193110509562834</v>
      </c>
      <c r="E315" s="7">
        <v>2374</v>
      </c>
      <c r="F315" s="7">
        <v>147991.75888480389</v>
      </c>
      <c r="G315" s="7">
        <v>55</v>
      </c>
      <c r="H315" s="7">
        <v>13523.054518966719</v>
      </c>
      <c r="I315">
        <f t="shared" si="8"/>
        <v>5.0257392989167394E-4</v>
      </c>
      <c r="J315">
        <f t="shared" si="9"/>
        <v>3.7164231585903206E-4</v>
      </c>
    </row>
    <row r="316" spans="1:10" hidden="1" x14ac:dyDescent="0.3">
      <c r="A316" t="s">
        <v>823</v>
      </c>
      <c r="B316" t="s">
        <v>857</v>
      </c>
      <c r="C316" t="s">
        <v>862</v>
      </c>
      <c r="D316" s="7">
        <v>8.1256181078399443</v>
      </c>
      <c r="E316" s="7">
        <v>3418</v>
      </c>
      <c r="F316" s="7">
        <v>152860.6020833333</v>
      </c>
      <c r="G316" s="7">
        <v>284</v>
      </c>
      <c r="H316" s="7">
        <v>12795.62708881367</v>
      </c>
      <c r="I316">
        <f t="shared" si="8"/>
        <v>2.3773019625043723E-3</v>
      </c>
      <c r="J316">
        <f t="shared" si="9"/>
        <v>1.8579018800748599E-3</v>
      </c>
    </row>
    <row r="317" spans="1:10" hidden="1" x14ac:dyDescent="0.3">
      <c r="A317" t="s">
        <v>983</v>
      </c>
      <c r="B317" t="s">
        <v>984</v>
      </c>
      <c r="C317" t="s">
        <v>987</v>
      </c>
      <c r="D317" s="7">
        <v>1.4616461688726139</v>
      </c>
      <c r="E317" s="7">
        <v>12183</v>
      </c>
      <c r="F317" s="7">
        <v>496641.5625</v>
      </c>
      <c r="G317" s="7">
        <v>47</v>
      </c>
      <c r="H317" s="7">
        <v>12677.488113556101</v>
      </c>
      <c r="I317">
        <f t="shared" si="8"/>
        <v>1.1997424024235524E-4</v>
      </c>
      <c r="J317">
        <f t="shared" si="9"/>
        <v>9.4635655871028716E-5</v>
      </c>
    </row>
    <row r="318" spans="1:10" hidden="1" x14ac:dyDescent="0.3">
      <c r="A318" t="s">
        <v>492</v>
      </c>
      <c r="B318" t="s">
        <v>492</v>
      </c>
      <c r="C318" t="s">
        <v>492</v>
      </c>
      <c r="D318" s="7">
        <v>7.137780994102199</v>
      </c>
      <c r="E318" s="7">
        <v>224381</v>
      </c>
      <c r="F318" s="7">
        <v>28242327.796875</v>
      </c>
      <c r="G318" s="7">
        <v>718</v>
      </c>
      <c r="H318" s="7">
        <v>12512.762010218081</v>
      </c>
      <c r="I318">
        <f t="shared" si="8"/>
        <v>3.1810986643709579E-5</v>
      </c>
      <c r="J318">
        <f t="shared" si="9"/>
        <v>2.5422833597995642E-5</v>
      </c>
    </row>
    <row r="319" spans="1:10" hidden="1" x14ac:dyDescent="0.3">
      <c r="A319" t="s">
        <v>605</v>
      </c>
      <c r="B319" t="s">
        <v>628</v>
      </c>
      <c r="C319" t="s">
        <v>628</v>
      </c>
      <c r="D319" s="7">
        <v>2.1727678819841301</v>
      </c>
      <c r="E319" s="7">
        <v>57251</v>
      </c>
      <c r="F319" s="7">
        <v>7447765.609375</v>
      </c>
      <c r="G319" s="7">
        <v>226</v>
      </c>
      <c r="H319" s="7">
        <v>12506.846430317761</v>
      </c>
      <c r="I319">
        <f t="shared" si="8"/>
        <v>3.7951614504272936E-5</v>
      </c>
      <c r="J319">
        <f t="shared" si="9"/>
        <v>3.0344671389163845E-5</v>
      </c>
    </row>
    <row r="320" spans="1:10" hidden="1" x14ac:dyDescent="0.3">
      <c r="A320" t="s">
        <v>184</v>
      </c>
      <c r="B320" t="s">
        <v>185</v>
      </c>
      <c r="C320" t="s">
        <v>187</v>
      </c>
      <c r="D320" s="7">
        <v>5.3463921036745878</v>
      </c>
      <c r="E320" s="7">
        <v>7648</v>
      </c>
      <c r="F320" s="7">
        <v>3228755.4239583332</v>
      </c>
      <c r="G320" s="7">
        <v>1814</v>
      </c>
      <c r="H320" s="7">
        <v>12442.59007647641</v>
      </c>
      <c r="I320">
        <f t="shared" si="8"/>
        <v>6.9905754493653079E-4</v>
      </c>
      <c r="J320">
        <f t="shared" si="9"/>
        <v>5.6182638875015931E-4</v>
      </c>
    </row>
    <row r="321" spans="1:10" hidden="1" x14ac:dyDescent="0.3">
      <c r="A321" t="s">
        <v>645</v>
      </c>
      <c r="B321" t="s">
        <v>796</v>
      </c>
      <c r="C321" t="s">
        <v>796</v>
      </c>
      <c r="D321" s="7">
        <v>3.7388634666211189</v>
      </c>
      <c r="E321" s="7">
        <v>51654</v>
      </c>
      <c r="F321" s="7">
        <v>8707977.406740196</v>
      </c>
      <c r="G321" s="7">
        <v>517</v>
      </c>
      <c r="H321" s="7">
        <v>12191.64753146683</v>
      </c>
      <c r="I321">
        <f t="shared" si="8"/>
        <v>7.2382844825591807E-5</v>
      </c>
      <c r="J321">
        <f t="shared" si="9"/>
        <v>5.9370847655143067E-5</v>
      </c>
    </row>
    <row r="322" spans="1:10" hidden="1" x14ac:dyDescent="0.3">
      <c r="A322" t="s">
        <v>579</v>
      </c>
      <c r="B322" t="s">
        <v>596</v>
      </c>
      <c r="C322" t="s">
        <v>597</v>
      </c>
      <c r="D322" s="7">
        <v>1.5181792447094391</v>
      </c>
      <c r="E322" s="7">
        <v>18237</v>
      </c>
      <c r="F322" s="7">
        <v>496453.859375</v>
      </c>
      <c r="G322" s="7">
        <v>35</v>
      </c>
      <c r="H322" s="7">
        <v>11808.11294556629</v>
      </c>
      <c r="I322">
        <f t="shared" si="8"/>
        <v>8.3247203197315295E-5</v>
      </c>
      <c r="J322">
        <f t="shared" si="9"/>
        <v>7.0500005869754951E-5</v>
      </c>
    </row>
    <row r="323" spans="1:10" hidden="1" x14ac:dyDescent="0.3">
      <c r="A323" t="s">
        <v>184</v>
      </c>
      <c r="B323" t="s">
        <v>220</v>
      </c>
      <c r="C323" t="s">
        <v>222</v>
      </c>
      <c r="D323" s="7">
        <v>0.83285142787500288</v>
      </c>
      <c r="E323" s="7">
        <v>2036</v>
      </c>
      <c r="F323" s="7">
        <v>150928.25723039219</v>
      </c>
      <c r="G323" s="7">
        <v>53</v>
      </c>
      <c r="H323" s="7">
        <v>11648.887435687609</v>
      </c>
      <c r="I323">
        <f t="shared" ref="I323:I386" si="10">D323/E323</f>
        <v>4.0906258736493265E-4</v>
      </c>
      <c r="J323">
        <f t="shared" ref="J323:J386" si="11">G323/F323</f>
        <v>3.5116021991226883E-4</v>
      </c>
    </row>
    <row r="324" spans="1:10" hidden="1" x14ac:dyDescent="0.3">
      <c r="A324" t="s">
        <v>13</v>
      </c>
      <c r="B324" t="s">
        <v>48</v>
      </c>
      <c r="C324" t="s">
        <v>50</v>
      </c>
      <c r="D324" s="7">
        <v>0.87060322900523635</v>
      </c>
      <c r="E324" s="7">
        <v>1454</v>
      </c>
      <c r="F324" s="7">
        <v>1944.1741421568629</v>
      </c>
      <c r="G324" s="7">
        <v>1</v>
      </c>
      <c r="H324" s="7">
        <v>11641.019848075999</v>
      </c>
      <c r="I324">
        <f t="shared" si="10"/>
        <v>5.9876425653730149E-4</v>
      </c>
      <c r="J324">
        <f t="shared" si="11"/>
        <v>5.1435721642229123E-4</v>
      </c>
    </row>
    <row r="325" spans="1:10" hidden="1" x14ac:dyDescent="0.3">
      <c r="A325" t="s">
        <v>723</v>
      </c>
      <c r="B325" t="s">
        <v>732</v>
      </c>
      <c r="C325" t="s">
        <v>732</v>
      </c>
      <c r="D325" s="7">
        <v>0.79098112599467751</v>
      </c>
      <c r="E325" s="7">
        <v>16052</v>
      </c>
      <c r="F325" s="7">
        <v>1986366.109375</v>
      </c>
      <c r="G325" s="7">
        <v>88</v>
      </c>
      <c r="H325" s="7">
        <v>11122.78632676121</v>
      </c>
      <c r="I325">
        <f t="shared" si="10"/>
        <v>4.9276172813025013E-5</v>
      </c>
      <c r="J325">
        <f t="shared" si="11"/>
        <v>4.4302004340825548E-5</v>
      </c>
    </row>
    <row r="326" spans="1:10" hidden="1" x14ac:dyDescent="0.3">
      <c r="A326" t="s">
        <v>915</v>
      </c>
      <c r="B326" t="s">
        <v>949</v>
      </c>
      <c r="C326" t="s">
        <v>950</v>
      </c>
      <c r="D326" s="7">
        <v>0.90336429884032021</v>
      </c>
      <c r="E326" s="7">
        <v>7072</v>
      </c>
      <c r="F326" s="7">
        <v>496651.59375</v>
      </c>
      <c r="G326" s="7">
        <v>60</v>
      </c>
      <c r="H326" s="7">
        <v>10573.56049104205</v>
      </c>
      <c r="I326">
        <f t="shared" si="10"/>
        <v>1.2773816442877831E-4</v>
      </c>
      <c r="J326">
        <f t="shared" si="11"/>
        <v>1.2080903545877326E-4</v>
      </c>
    </row>
    <row r="327" spans="1:10" hidden="1" x14ac:dyDescent="0.3">
      <c r="A327" t="s">
        <v>823</v>
      </c>
      <c r="B327" t="s">
        <v>824</v>
      </c>
      <c r="C327" t="s">
        <v>824</v>
      </c>
      <c r="D327" s="7">
        <v>49.79970432839248</v>
      </c>
      <c r="E327" s="7">
        <v>197242</v>
      </c>
      <c r="F327" s="7">
        <v>46779558.402696073</v>
      </c>
      <c r="G327" s="7">
        <v>11678</v>
      </c>
      <c r="H327" s="7">
        <v>10113.81519169137</v>
      </c>
      <c r="I327">
        <f t="shared" si="10"/>
        <v>2.5248022392995652E-4</v>
      </c>
      <c r="J327">
        <f t="shared" si="11"/>
        <v>2.4963895339651077E-4</v>
      </c>
    </row>
    <row r="328" spans="1:10" hidden="1" x14ac:dyDescent="0.3">
      <c r="A328" t="s">
        <v>341</v>
      </c>
      <c r="B328" t="s">
        <v>341</v>
      </c>
      <c r="C328" t="s">
        <v>348</v>
      </c>
      <c r="D328" s="7">
        <v>5.5079910488289752</v>
      </c>
      <c r="E328" s="7">
        <v>6738</v>
      </c>
      <c r="F328" s="7">
        <v>1986337.265625</v>
      </c>
      <c r="G328" s="7">
        <v>1634</v>
      </c>
      <c r="H328" s="7">
        <v>9937.1800186758592</v>
      </c>
      <c r="I328">
        <f t="shared" si="10"/>
        <v>8.1745192176149826E-4</v>
      </c>
      <c r="J328">
        <f t="shared" si="11"/>
        <v>8.2261961665702462E-4</v>
      </c>
    </row>
    <row r="329" spans="1:10" hidden="1" x14ac:dyDescent="0.3">
      <c r="A329" t="s">
        <v>280</v>
      </c>
      <c r="B329" t="s">
        <v>339</v>
      </c>
      <c r="C329" t="s">
        <v>207</v>
      </c>
      <c r="D329" s="7">
        <v>1.018952407026809</v>
      </c>
      <c r="E329" s="7">
        <v>3445</v>
      </c>
      <c r="F329" s="7">
        <v>991195.25</v>
      </c>
      <c r="G329" s="7">
        <v>300</v>
      </c>
      <c r="H329" s="7">
        <v>9772.4314061058485</v>
      </c>
      <c r="I329">
        <f t="shared" si="10"/>
        <v>2.957771863648212E-4</v>
      </c>
      <c r="J329">
        <f t="shared" si="11"/>
        <v>3.0266488867859286E-4</v>
      </c>
    </row>
    <row r="330" spans="1:10" hidden="1" x14ac:dyDescent="0.3">
      <c r="A330" t="s">
        <v>645</v>
      </c>
      <c r="B330" t="s">
        <v>802</v>
      </c>
      <c r="C330" t="s">
        <v>803</v>
      </c>
      <c r="D330" s="7">
        <v>1.9380196765538229</v>
      </c>
      <c r="E330" s="7">
        <v>34357</v>
      </c>
      <c r="F330" s="7">
        <v>2940849.994240196</v>
      </c>
      <c r="G330" s="7">
        <v>172</v>
      </c>
      <c r="H330" s="7">
        <v>9644.6700117824003</v>
      </c>
      <c r="I330">
        <f t="shared" si="10"/>
        <v>5.6408291659743949E-5</v>
      </c>
      <c r="J330">
        <f t="shared" si="11"/>
        <v>5.8486492115160832E-5</v>
      </c>
    </row>
    <row r="331" spans="1:10" hidden="1" x14ac:dyDescent="0.3">
      <c r="A331" t="s">
        <v>645</v>
      </c>
      <c r="B331" t="s">
        <v>765</v>
      </c>
      <c r="C331" t="s">
        <v>786</v>
      </c>
      <c r="D331" s="7">
        <v>3.238849884199285</v>
      </c>
      <c r="E331" s="7">
        <v>24305</v>
      </c>
      <c r="F331" s="7">
        <v>5418343.115196079</v>
      </c>
      <c r="G331" s="7">
        <v>762</v>
      </c>
      <c r="H331" s="7">
        <v>9475.6001466516209</v>
      </c>
      <c r="I331">
        <f t="shared" si="10"/>
        <v>1.3325858400326209E-4</v>
      </c>
      <c r="J331">
        <f t="shared" si="11"/>
        <v>1.4063339729500034E-4</v>
      </c>
    </row>
    <row r="332" spans="1:10" hidden="1" x14ac:dyDescent="0.3">
      <c r="A332" t="s">
        <v>13</v>
      </c>
      <c r="B332" t="s">
        <v>14</v>
      </c>
      <c r="C332" t="s">
        <v>27</v>
      </c>
      <c r="D332" s="7">
        <v>2.1640428207633762</v>
      </c>
      <c r="E332" s="7">
        <v>11197</v>
      </c>
      <c r="F332" s="7">
        <v>3214508.7770220591</v>
      </c>
      <c r="G332" s="7">
        <v>662</v>
      </c>
      <c r="H332" s="7">
        <v>9384.7087348270725</v>
      </c>
      <c r="I332">
        <f t="shared" si="10"/>
        <v>1.9326987771397483E-4</v>
      </c>
      <c r="J332">
        <f t="shared" si="11"/>
        <v>2.0594126378876493E-4</v>
      </c>
    </row>
    <row r="333" spans="1:10" hidden="1" x14ac:dyDescent="0.3">
      <c r="A333" t="s">
        <v>645</v>
      </c>
      <c r="B333" t="s">
        <v>815</v>
      </c>
      <c r="C333" t="s">
        <v>817</v>
      </c>
      <c r="D333" s="7">
        <v>3.5039059611286971</v>
      </c>
      <c r="E333" s="7">
        <v>4593</v>
      </c>
      <c r="F333" s="7">
        <v>25319.07720588236</v>
      </c>
      <c r="G333" s="7">
        <v>21</v>
      </c>
      <c r="H333" s="7">
        <v>9197.8129816562378</v>
      </c>
      <c r="I333">
        <f t="shared" si="10"/>
        <v>7.6287959092721466E-4</v>
      </c>
      <c r="J333">
        <f t="shared" si="11"/>
        <v>8.2941411447337771E-4</v>
      </c>
    </row>
    <row r="334" spans="1:10" hidden="1" x14ac:dyDescent="0.3">
      <c r="A334" t="s">
        <v>823</v>
      </c>
      <c r="B334" t="s">
        <v>848</v>
      </c>
      <c r="C334" t="s">
        <v>848</v>
      </c>
      <c r="D334" s="7">
        <v>4.3358789573094354</v>
      </c>
      <c r="E334" s="7">
        <v>15117</v>
      </c>
      <c r="F334" s="7">
        <v>2336527.9207107839</v>
      </c>
      <c r="G334" s="7">
        <v>767</v>
      </c>
      <c r="H334" s="7">
        <v>8737.4991749067067</v>
      </c>
      <c r="I334">
        <f t="shared" si="10"/>
        <v>2.868213903095479E-4</v>
      </c>
      <c r="J334">
        <f t="shared" si="11"/>
        <v>3.2826485538707989E-4</v>
      </c>
    </row>
    <row r="335" spans="1:10" hidden="1" x14ac:dyDescent="0.3">
      <c r="A335" t="s">
        <v>823</v>
      </c>
      <c r="B335" t="s">
        <v>824</v>
      </c>
      <c r="C335" t="s">
        <v>834</v>
      </c>
      <c r="D335" s="7">
        <v>2.2791094880266121</v>
      </c>
      <c r="E335" s="7">
        <v>11279</v>
      </c>
      <c r="F335" s="7">
        <v>7931972.7018995089</v>
      </c>
      <c r="G335" s="7">
        <v>1893</v>
      </c>
      <c r="H335" s="7">
        <v>8466.9147955691806</v>
      </c>
      <c r="I335">
        <f t="shared" si="10"/>
        <v>2.0206662718562037E-4</v>
      </c>
      <c r="J335">
        <f t="shared" si="11"/>
        <v>2.3865437655208697E-4</v>
      </c>
    </row>
    <row r="336" spans="1:10" hidden="1" x14ac:dyDescent="0.3">
      <c r="A336" t="s">
        <v>399</v>
      </c>
      <c r="B336" t="s">
        <v>422</v>
      </c>
      <c r="C336" t="s">
        <v>422</v>
      </c>
      <c r="D336" s="7">
        <v>1.6705284114522021</v>
      </c>
      <c r="E336" s="7">
        <v>54495</v>
      </c>
      <c r="F336" s="7">
        <v>1488378.59375</v>
      </c>
      <c r="G336" s="7">
        <v>55</v>
      </c>
      <c r="H336" s="7">
        <v>8295.6025251912979</v>
      </c>
      <c r="I336">
        <f t="shared" si="10"/>
        <v>3.0654709816537336E-5</v>
      </c>
      <c r="J336">
        <f t="shared" si="11"/>
        <v>3.6952963601435835E-5</v>
      </c>
    </row>
    <row r="337" spans="1:10" hidden="1" x14ac:dyDescent="0.3">
      <c r="A337" t="s">
        <v>823</v>
      </c>
      <c r="B337" t="s">
        <v>865</v>
      </c>
      <c r="C337" t="s">
        <v>865</v>
      </c>
      <c r="D337" s="7">
        <v>6.813210583023027</v>
      </c>
      <c r="E337" s="7">
        <v>13277</v>
      </c>
      <c r="F337" s="7">
        <v>2116540.1432598042</v>
      </c>
      <c r="G337" s="7">
        <v>1321</v>
      </c>
      <c r="H337" s="7">
        <v>8221.9635929919568</v>
      </c>
      <c r="I337">
        <f t="shared" si="10"/>
        <v>5.1315889003713394E-4</v>
      </c>
      <c r="J337">
        <f t="shared" si="11"/>
        <v>6.2413179556587695E-4</v>
      </c>
    </row>
    <row r="338" spans="1:10" hidden="1" x14ac:dyDescent="0.3">
      <c r="A338" t="s">
        <v>867</v>
      </c>
      <c r="B338" t="s">
        <v>868</v>
      </c>
      <c r="C338" t="s">
        <v>868</v>
      </c>
      <c r="D338" s="7">
        <v>1.1850249453966</v>
      </c>
      <c r="E338" s="7">
        <v>18811</v>
      </c>
      <c r="F338" s="7">
        <v>1734026.71875</v>
      </c>
      <c r="G338" s="7">
        <v>135</v>
      </c>
      <c r="H338" s="7">
        <v>8091.6599928842443</v>
      </c>
      <c r="I338">
        <f t="shared" si="10"/>
        <v>6.2996382191090317E-5</v>
      </c>
      <c r="J338">
        <f t="shared" si="11"/>
        <v>7.7853471656605633E-5</v>
      </c>
    </row>
    <row r="339" spans="1:10" hidden="1" x14ac:dyDescent="0.3">
      <c r="A339" t="s">
        <v>13</v>
      </c>
      <c r="B339" t="s">
        <v>75</v>
      </c>
      <c r="C339" t="s">
        <v>77</v>
      </c>
      <c r="D339" s="7">
        <v>1.1682915738395609</v>
      </c>
      <c r="E339" s="7">
        <v>1010</v>
      </c>
      <c r="F339" s="7">
        <v>4860.4129901960787</v>
      </c>
      <c r="G339" s="7">
        <v>7</v>
      </c>
      <c r="H339" s="7">
        <v>8031.6542317205458</v>
      </c>
      <c r="I339">
        <f t="shared" si="10"/>
        <v>1.1567243305342187E-3</v>
      </c>
      <c r="J339">
        <f t="shared" si="11"/>
        <v>1.4402068330653535E-3</v>
      </c>
    </row>
    <row r="340" spans="1:10" hidden="1" x14ac:dyDescent="0.3">
      <c r="A340" t="s">
        <v>399</v>
      </c>
      <c r="B340" t="s">
        <v>416</v>
      </c>
      <c r="C340" t="s">
        <v>417</v>
      </c>
      <c r="D340" s="7">
        <v>3.5865226379132169</v>
      </c>
      <c r="E340" s="7">
        <v>53393</v>
      </c>
      <c r="F340" s="7">
        <v>5710582.28125</v>
      </c>
      <c r="G340" s="7">
        <v>479</v>
      </c>
      <c r="H340" s="7">
        <v>8008.1856598957665</v>
      </c>
      <c r="I340">
        <f t="shared" si="10"/>
        <v>6.7172150617369637E-5</v>
      </c>
      <c r="J340">
        <f t="shared" si="11"/>
        <v>8.3879362280224565E-5</v>
      </c>
    </row>
    <row r="341" spans="1:10" hidden="1" x14ac:dyDescent="0.3">
      <c r="A341" t="s">
        <v>225</v>
      </c>
      <c r="B341" t="s">
        <v>226</v>
      </c>
      <c r="C341" t="s">
        <v>232</v>
      </c>
      <c r="D341" s="7">
        <v>2.1451965195115799</v>
      </c>
      <c r="E341" s="7">
        <v>7091</v>
      </c>
      <c r="F341" s="7">
        <v>3115738.479656863</v>
      </c>
      <c r="G341" s="7">
        <v>1255</v>
      </c>
      <c r="H341" s="7">
        <v>7510.6386944319211</v>
      </c>
      <c r="I341">
        <f t="shared" si="10"/>
        <v>3.0252383577937948E-4</v>
      </c>
      <c r="J341">
        <f t="shared" si="11"/>
        <v>4.0279375441619654E-4</v>
      </c>
    </row>
    <row r="342" spans="1:10" hidden="1" x14ac:dyDescent="0.3">
      <c r="A342" t="s">
        <v>605</v>
      </c>
      <c r="B342" t="s">
        <v>90</v>
      </c>
      <c r="C342" t="s">
        <v>471</v>
      </c>
      <c r="D342" s="7">
        <v>0.87128715065324525</v>
      </c>
      <c r="E342" s="7">
        <v>3723</v>
      </c>
      <c r="F342" s="7">
        <v>951290.42457107839</v>
      </c>
      <c r="G342" s="7">
        <v>299</v>
      </c>
      <c r="H342" s="7">
        <v>7445.7801721401966</v>
      </c>
      <c r="I342">
        <f t="shared" si="10"/>
        <v>2.3402824352759742E-4</v>
      </c>
      <c r="J342">
        <f t="shared" si="11"/>
        <v>3.1430990187335722E-4</v>
      </c>
    </row>
    <row r="343" spans="1:10" hidden="1" x14ac:dyDescent="0.3">
      <c r="A343" t="s">
        <v>605</v>
      </c>
      <c r="B343" t="s">
        <v>665</v>
      </c>
      <c r="C343" t="s">
        <v>665</v>
      </c>
      <c r="D343" s="7">
        <v>9.7994597641732248</v>
      </c>
      <c r="E343" s="7">
        <v>31179</v>
      </c>
      <c r="F343" s="7">
        <v>9108909.3975490164</v>
      </c>
      <c r="G343" s="7">
        <v>4281</v>
      </c>
      <c r="H343" s="7">
        <v>6687.4586019890139</v>
      </c>
      <c r="I343">
        <f t="shared" si="10"/>
        <v>3.1429679477126349E-4</v>
      </c>
      <c r="J343">
        <f t="shared" si="11"/>
        <v>4.6997942488613532E-4</v>
      </c>
    </row>
    <row r="344" spans="1:10" hidden="1" x14ac:dyDescent="0.3">
      <c r="A344" t="s">
        <v>399</v>
      </c>
      <c r="B344" t="s">
        <v>400</v>
      </c>
      <c r="C344" t="s">
        <v>404</v>
      </c>
      <c r="D344" s="7">
        <v>1.0303865884803911</v>
      </c>
      <c r="E344" s="7">
        <v>15960</v>
      </c>
      <c r="F344" s="7">
        <v>3549562.2768995101</v>
      </c>
      <c r="G344" s="7">
        <v>357</v>
      </c>
      <c r="H344" s="7">
        <v>6419.0963492294732</v>
      </c>
      <c r="I344">
        <f t="shared" si="10"/>
        <v>6.4560563187994428E-5</v>
      </c>
      <c r="J344">
        <f t="shared" si="11"/>
        <v>1.0057578150504636E-4</v>
      </c>
    </row>
    <row r="345" spans="1:10" hidden="1" x14ac:dyDescent="0.3">
      <c r="A345" t="s">
        <v>13</v>
      </c>
      <c r="B345" t="s">
        <v>14</v>
      </c>
      <c r="C345" t="s">
        <v>15</v>
      </c>
      <c r="D345" s="7">
        <v>2.126416818619846</v>
      </c>
      <c r="E345" s="7">
        <v>22812</v>
      </c>
      <c r="F345" s="7">
        <v>2371198.6125612748</v>
      </c>
      <c r="G345" s="7">
        <v>345</v>
      </c>
      <c r="H345" s="7">
        <v>6406.6923968802839</v>
      </c>
      <c r="I345">
        <f t="shared" si="10"/>
        <v>9.3214835113968354E-5</v>
      </c>
      <c r="J345">
        <f t="shared" si="11"/>
        <v>1.4549603654977881E-4</v>
      </c>
    </row>
    <row r="346" spans="1:10" hidden="1" x14ac:dyDescent="0.3">
      <c r="A346" t="s">
        <v>605</v>
      </c>
      <c r="B346" t="s">
        <v>638</v>
      </c>
      <c r="C346" t="s">
        <v>639</v>
      </c>
      <c r="D346" s="7">
        <v>1.7019203166136421</v>
      </c>
      <c r="E346" s="7">
        <v>3234</v>
      </c>
      <c r="F346" s="7">
        <v>993125.140625</v>
      </c>
      <c r="G346" s="7">
        <v>821</v>
      </c>
      <c r="H346" s="7">
        <v>6365.9031354942481</v>
      </c>
      <c r="I346">
        <f t="shared" si="10"/>
        <v>5.2625860130291961E-4</v>
      </c>
      <c r="J346">
        <f t="shared" si="11"/>
        <v>8.2668333165276931E-4</v>
      </c>
    </row>
    <row r="347" spans="1:10" hidden="1" x14ac:dyDescent="0.3">
      <c r="A347" t="s">
        <v>13</v>
      </c>
      <c r="B347" t="s">
        <v>64</v>
      </c>
      <c r="C347" t="s">
        <v>65</v>
      </c>
      <c r="D347" s="7">
        <v>3.4603094491336139</v>
      </c>
      <c r="E347" s="7">
        <v>4427</v>
      </c>
      <c r="F347" s="7">
        <v>56395.636029411769</v>
      </c>
      <c r="G347" s="7">
        <v>70</v>
      </c>
      <c r="H347" s="7">
        <v>6297.2781387741989</v>
      </c>
      <c r="I347">
        <f t="shared" si="10"/>
        <v>7.8163755345236365E-4</v>
      </c>
      <c r="J347">
        <f t="shared" si="11"/>
        <v>1.2412307924587144E-3</v>
      </c>
    </row>
    <row r="348" spans="1:10" hidden="1" x14ac:dyDescent="0.3">
      <c r="A348" t="s">
        <v>399</v>
      </c>
      <c r="B348" t="s">
        <v>439</v>
      </c>
      <c r="C348" t="s">
        <v>439</v>
      </c>
      <c r="D348" s="7">
        <v>4.444080250514622</v>
      </c>
      <c r="E348" s="7">
        <v>34485</v>
      </c>
      <c r="F348" s="7">
        <v>1737150.9375</v>
      </c>
      <c r="G348" s="7">
        <v>364</v>
      </c>
      <c r="H348" s="7">
        <v>6150.1801018014758</v>
      </c>
      <c r="I348">
        <f t="shared" si="10"/>
        <v>1.2886995071812737E-4</v>
      </c>
      <c r="J348">
        <f t="shared" si="11"/>
        <v>2.095384990114021E-4</v>
      </c>
    </row>
    <row r="349" spans="1:10" hidden="1" x14ac:dyDescent="0.3">
      <c r="A349" t="s">
        <v>225</v>
      </c>
      <c r="B349" t="s">
        <v>271</v>
      </c>
      <c r="C349" t="s">
        <v>271</v>
      </c>
      <c r="D349" s="7">
        <v>0.94451939504351756</v>
      </c>
      <c r="E349" s="7">
        <v>12354</v>
      </c>
      <c r="F349" s="7">
        <v>992716.125</v>
      </c>
      <c r="G349" s="7">
        <v>124</v>
      </c>
      <c r="H349" s="7">
        <v>6120.7786549148559</v>
      </c>
      <c r="I349">
        <f t="shared" si="10"/>
        <v>7.6454540638134816E-5</v>
      </c>
      <c r="J349">
        <f t="shared" si="11"/>
        <v>1.2490982757029358E-4</v>
      </c>
    </row>
    <row r="350" spans="1:10" hidden="1" x14ac:dyDescent="0.3">
      <c r="A350" t="s">
        <v>453</v>
      </c>
      <c r="B350" t="s">
        <v>466</v>
      </c>
      <c r="C350" t="s">
        <v>468</v>
      </c>
      <c r="D350" s="7">
        <v>1.076770976649071</v>
      </c>
      <c r="E350" s="7">
        <v>5735</v>
      </c>
      <c r="F350" s="7">
        <v>169443.51360294121</v>
      </c>
      <c r="G350" s="7">
        <v>52</v>
      </c>
      <c r="H350" s="7">
        <v>6118.0288923978624</v>
      </c>
      <c r="I350">
        <f t="shared" si="10"/>
        <v>1.8775431153427566E-4</v>
      </c>
      <c r="J350">
        <f t="shared" si="11"/>
        <v>3.0688693178218762E-4</v>
      </c>
    </row>
    <row r="351" spans="1:10" hidden="1" x14ac:dyDescent="0.3">
      <c r="A351" t="s">
        <v>13</v>
      </c>
      <c r="B351" t="s">
        <v>14</v>
      </c>
      <c r="C351" t="s">
        <v>29</v>
      </c>
      <c r="D351" s="7">
        <v>1.4067100174317291</v>
      </c>
      <c r="E351" s="7">
        <v>10834</v>
      </c>
      <c r="F351" s="7">
        <v>213006.96838235299</v>
      </c>
      <c r="G351" s="7">
        <v>46</v>
      </c>
      <c r="H351" s="7">
        <v>6012.4534718843961</v>
      </c>
      <c r="I351">
        <f t="shared" si="10"/>
        <v>1.2984216516814925E-4</v>
      </c>
      <c r="J351">
        <f t="shared" si="11"/>
        <v>2.159553762458551E-4</v>
      </c>
    </row>
    <row r="352" spans="1:10" hidden="1" x14ac:dyDescent="0.3">
      <c r="A352" t="s">
        <v>667</v>
      </c>
      <c r="B352" t="s">
        <v>702</v>
      </c>
      <c r="C352" t="s">
        <v>702</v>
      </c>
      <c r="D352" s="7">
        <v>1.0853586620093709</v>
      </c>
      <c r="E352" s="7">
        <v>17081</v>
      </c>
      <c r="F352" s="7">
        <v>496208.46875</v>
      </c>
      <c r="G352" s="7">
        <v>54</v>
      </c>
      <c r="H352" s="7">
        <v>5838.891379421133</v>
      </c>
      <c r="I352">
        <f t="shared" si="10"/>
        <v>6.3541868860685609E-5</v>
      </c>
      <c r="J352">
        <f t="shared" si="11"/>
        <v>1.0882522850936329E-4</v>
      </c>
    </row>
    <row r="353" spans="1:10" hidden="1" x14ac:dyDescent="0.3">
      <c r="A353" t="s">
        <v>184</v>
      </c>
      <c r="B353" t="s">
        <v>185</v>
      </c>
      <c r="C353" t="s">
        <v>186</v>
      </c>
      <c r="D353" s="7">
        <v>1.673266408127752</v>
      </c>
      <c r="E353" s="7">
        <v>8335</v>
      </c>
      <c r="F353" s="7">
        <v>3470340.9033088242</v>
      </c>
      <c r="G353" s="7">
        <v>1218</v>
      </c>
      <c r="H353" s="7">
        <v>5719.8460389285428</v>
      </c>
      <c r="I353">
        <f t="shared" si="10"/>
        <v>2.0075181861160791E-4</v>
      </c>
      <c r="J353">
        <f t="shared" si="11"/>
        <v>3.5097416476827627E-4</v>
      </c>
    </row>
    <row r="354" spans="1:10" hidden="1" x14ac:dyDescent="0.3">
      <c r="A354" t="s">
        <v>341</v>
      </c>
      <c r="B354" t="s">
        <v>95</v>
      </c>
      <c r="C354" t="s">
        <v>95</v>
      </c>
      <c r="D354" s="7">
        <v>2.11494034330387</v>
      </c>
      <c r="E354" s="7">
        <v>34115</v>
      </c>
      <c r="F354" s="7">
        <v>1241324.703125</v>
      </c>
      <c r="G354" s="7">
        <v>137</v>
      </c>
      <c r="H354" s="7">
        <v>5617.1701207674814</v>
      </c>
      <c r="I354">
        <f t="shared" si="10"/>
        <v>6.199444066550989E-5</v>
      </c>
      <c r="J354">
        <f t="shared" si="11"/>
        <v>1.1036596601606844E-4</v>
      </c>
    </row>
    <row r="355" spans="1:10" hidden="1" x14ac:dyDescent="0.3">
      <c r="A355" t="s">
        <v>605</v>
      </c>
      <c r="B355" t="s">
        <v>28</v>
      </c>
      <c r="C355" t="s">
        <v>647</v>
      </c>
      <c r="D355" s="7">
        <v>1.769240191146489</v>
      </c>
      <c r="E355" s="7">
        <v>25686</v>
      </c>
      <c r="F355" s="7">
        <v>3227541.28125</v>
      </c>
      <c r="G355" s="7">
        <v>422</v>
      </c>
      <c r="H355" s="7">
        <v>5268.0473894643164</v>
      </c>
      <c r="I355">
        <f t="shared" si="10"/>
        <v>6.8879552719243518E-5</v>
      </c>
      <c r="J355">
        <f t="shared" si="11"/>
        <v>1.307496831881149E-4</v>
      </c>
    </row>
    <row r="356" spans="1:10" hidden="1" x14ac:dyDescent="0.3">
      <c r="A356" t="s">
        <v>723</v>
      </c>
      <c r="B356" t="s">
        <v>736</v>
      </c>
      <c r="C356" t="s">
        <v>737</v>
      </c>
      <c r="D356" s="7">
        <v>0.55338181985514523</v>
      </c>
      <c r="E356" s="7">
        <v>545</v>
      </c>
      <c r="F356" s="7">
        <v>417770.14632352942</v>
      </c>
      <c r="G356" s="7">
        <v>838</v>
      </c>
      <c r="H356" s="7">
        <v>5061.9956614408493</v>
      </c>
      <c r="I356">
        <f t="shared" si="10"/>
        <v>1.0153794859727434E-3</v>
      </c>
      <c r="J356">
        <f t="shared" si="11"/>
        <v>2.0058877049367626E-3</v>
      </c>
    </row>
    <row r="357" spans="1:10" hidden="1" x14ac:dyDescent="0.3">
      <c r="A357" t="s">
        <v>605</v>
      </c>
      <c r="B357" t="s">
        <v>636</v>
      </c>
      <c r="C357" t="s">
        <v>95</v>
      </c>
      <c r="D357" s="7">
        <v>1.6230173958176961</v>
      </c>
      <c r="E357" s="7">
        <v>5690</v>
      </c>
      <c r="F357" s="7">
        <v>3503254.8737745099</v>
      </c>
      <c r="G357" s="7">
        <v>2008</v>
      </c>
      <c r="H357" s="7">
        <v>4976.4418618313703</v>
      </c>
      <c r="I357">
        <f t="shared" si="10"/>
        <v>2.8524031560943694E-4</v>
      </c>
      <c r="J357">
        <f t="shared" si="11"/>
        <v>5.7318124782526083E-4</v>
      </c>
    </row>
    <row r="358" spans="1:10" hidden="1" x14ac:dyDescent="0.3">
      <c r="A358" t="s">
        <v>492</v>
      </c>
      <c r="B358" t="s">
        <v>515</v>
      </c>
      <c r="C358" t="s">
        <v>515</v>
      </c>
      <c r="D358" s="7">
        <v>0.87844730764429646</v>
      </c>
      <c r="E358" s="7">
        <v>7007</v>
      </c>
      <c r="F358" s="7">
        <v>1238526.453125</v>
      </c>
      <c r="G358" s="7">
        <v>318</v>
      </c>
      <c r="H358" s="7">
        <v>4882.719383913015</v>
      </c>
      <c r="I358">
        <f t="shared" si="10"/>
        <v>1.2536710541519858E-4</v>
      </c>
      <c r="J358">
        <f t="shared" si="11"/>
        <v>2.5675672828596855E-4</v>
      </c>
    </row>
    <row r="359" spans="1:10" hidden="1" x14ac:dyDescent="0.3">
      <c r="A359" t="s">
        <v>645</v>
      </c>
      <c r="B359" t="s">
        <v>765</v>
      </c>
      <c r="C359" t="s">
        <v>787</v>
      </c>
      <c r="D359" s="7">
        <v>1.561792242322096</v>
      </c>
      <c r="E359" s="7">
        <v>24349</v>
      </c>
      <c r="F359" s="7">
        <v>1489927.984375</v>
      </c>
      <c r="G359" s="7">
        <v>196</v>
      </c>
      <c r="H359" s="7">
        <v>4875.8612381002786</v>
      </c>
      <c r="I359">
        <f t="shared" si="10"/>
        <v>6.4141945965834156E-5</v>
      </c>
      <c r="J359">
        <f t="shared" si="11"/>
        <v>1.3154998231825193E-4</v>
      </c>
    </row>
    <row r="360" spans="1:10" hidden="1" x14ac:dyDescent="0.3">
      <c r="A360" t="s">
        <v>184</v>
      </c>
      <c r="B360" t="s">
        <v>185</v>
      </c>
      <c r="C360" t="s">
        <v>192</v>
      </c>
      <c r="D360" s="7">
        <v>1.997449787158585</v>
      </c>
      <c r="E360" s="7">
        <v>5196</v>
      </c>
      <c r="F360" s="7">
        <v>1141196.1680759799</v>
      </c>
      <c r="G360" s="7">
        <v>902</v>
      </c>
      <c r="H360" s="7">
        <v>4863.6296277487027</v>
      </c>
      <c r="I360">
        <f t="shared" si="10"/>
        <v>3.8442066727455447E-4</v>
      </c>
      <c r="J360">
        <f t="shared" si="11"/>
        <v>7.9039872831043853E-4</v>
      </c>
    </row>
    <row r="361" spans="1:10" hidden="1" x14ac:dyDescent="0.3">
      <c r="A361" t="s">
        <v>13</v>
      </c>
      <c r="B361" t="s">
        <v>36</v>
      </c>
      <c r="C361" t="s">
        <v>36</v>
      </c>
      <c r="D361" s="7">
        <v>1.763335149157611</v>
      </c>
      <c r="E361" s="7">
        <v>8829</v>
      </c>
      <c r="F361" s="7">
        <v>2231627.4375</v>
      </c>
      <c r="G361" s="7">
        <v>927</v>
      </c>
      <c r="H361" s="7">
        <v>4808.0093762407232</v>
      </c>
      <c r="I361">
        <f t="shared" si="10"/>
        <v>1.997208233273996E-4</v>
      </c>
      <c r="J361">
        <f t="shared" si="11"/>
        <v>4.1539191731684378E-4</v>
      </c>
    </row>
    <row r="362" spans="1:10" hidden="1" x14ac:dyDescent="0.3">
      <c r="A362" t="s">
        <v>341</v>
      </c>
      <c r="B362" t="s">
        <v>373</v>
      </c>
      <c r="C362" t="s">
        <v>374</v>
      </c>
      <c r="D362" s="7">
        <v>1.4885544001467641</v>
      </c>
      <c r="E362" s="7">
        <v>58385</v>
      </c>
      <c r="F362" s="7">
        <v>1241612.0625</v>
      </c>
      <c r="G362" s="7">
        <v>66</v>
      </c>
      <c r="H362" s="7">
        <v>4796.2897768721059</v>
      </c>
      <c r="I362">
        <f t="shared" si="10"/>
        <v>2.5495493708088791E-5</v>
      </c>
      <c r="J362">
        <f t="shared" si="11"/>
        <v>5.3156700062262802E-5</v>
      </c>
    </row>
    <row r="363" spans="1:10" hidden="1" x14ac:dyDescent="0.3">
      <c r="A363" t="s">
        <v>645</v>
      </c>
      <c r="B363" t="s">
        <v>765</v>
      </c>
      <c r="C363" t="s">
        <v>768</v>
      </c>
      <c r="D363" s="7">
        <v>9.4114939036594745</v>
      </c>
      <c r="E363" s="7">
        <v>45297</v>
      </c>
      <c r="F363" s="7">
        <v>5163149.6766544124</v>
      </c>
      <c r="G363" s="7">
        <v>2379</v>
      </c>
      <c r="H363" s="7">
        <v>4509.3027933823114</v>
      </c>
      <c r="I363">
        <f t="shared" si="10"/>
        <v>2.0777300712319745E-4</v>
      </c>
      <c r="J363">
        <f t="shared" si="11"/>
        <v>4.6076525938359595E-4</v>
      </c>
    </row>
    <row r="364" spans="1:10" hidden="1" x14ac:dyDescent="0.3">
      <c r="A364" t="s">
        <v>579</v>
      </c>
      <c r="B364" t="s">
        <v>599</v>
      </c>
      <c r="C364" t="s">
        <v>600</v>
      </c>
      <c r="D364" s="7">
        <v>1.842753650841841</v>
      </c>
      <c r="E364" s="7">
        <v>62409</v>
      </c>
      <c r="F364" s="7">
        <v>7195761.2194852941</v>
      </c>
      <c r="G364" s="7">
        <v>487</v>
      </c>
      <c r="H364" s="7">
        <v>4362.8254591803252</v>
      </c>
      <c r="I364">
        <f t="shared" si="10"/>
        <v>2.9527049797975307E-5</v>
      </c>
      <c r="J364">
        <f t="shared" si="11"/>
        <v>6.7678732679630886E-5</v>
      </c>
    </row>
    <row r="365" spans="1:10" hidden="1" x14ac:dyDescent="0.3">
      <c r="A365" t="s">
        <v>915</v>
      </c>
      <c r="B365" t="s">
        <v>924</v>
      </c>
      <c r="C365" t="s">
        <v>926</v>
      </c>
      <c r="D365" s="7">
        <v>0.58634077770451076</v>
      </c>
      <c r="E365" s="7">
        <v>1119</v>
      </c>
      <c r="F365" s="7">
        <v>993305.28125</v>
      </c>
      <c r="G365" s="7">
        <v>1263</v>
      </c>
      <c r="H365" s="7">
        <v>4120.969556336162</v>
      </c>
      <c r="I365">
        <f t="shared" si="10"/>
        <v>5.2398639651877641E-4</v>
      </c>
      <c r="J365">
        <f t="shared" si="11"/>
        <v>1.2715124180258152E-3</v>
      </c>
    </row>
    <row r="366" spans="1:10" hidden="1" x14ac:dyDescent="0.3">
      <c r="A366" t="s">
        <v>952</v>
      </c>
      <c r="B366" t="s">
        <v>977</v>
      </c>
      <c r="C366" t="s">
        <v>978</v>
      </c>
      <c r="D366" s="7">
        <v>0.70362513376039337</v>
      </c>
      <c r="E366" s="7">
        <v>6150</v>
      </c>
      <c r="F366" s="7">
        <v>196699.41850490199</v>
      </c>
      <c r="G366" s="7">
        <v>55</v>
      </c>
      <c r="H366" s="7">
        <v>4091.7266712816918</v>
      </c>
      <c r="I366">
        <f t="shared" si="10"/>
        <v>1.1441059085534852E-4</v>
      </c>
      <c r="J366">
        <f t="shared" si="11"/>
        <v>2.7961445142060415E-4</v>
      </c>
    </row>
    <row r="367" spans="1:10" hidden="1" x14ac:dyDescent="0.3">
      <c r="A367" t="s">
        <v>952</v>
      </c>
      <c r="B367" t="s">
        <v>964</v>
      </c>
      <c r="C367" t="s">
        <v>965</v>
      </c>
      <c r="D367" s="7">
        <v>0.62495055620893825</v>
      </c>
      <c r="E367" s="7">
        <v>3838</v>
      </c>
      <c r="F367" s="7">
        <v>248303.796875</v>
      </c>
      <c r="G367" s="7">
        <v>102</v>
      </c>
      <c r="H367" s="7">
        <v>3963.9108391273662</v>
      </c>
      <c r="I367">
        <f t="shared" si="10"/>
        <v>1.6283234919461654E-4</v>
      </c>
      <c r="J367">
        <f t="shared" si="11"/>
        <v>4.1078711354280414E-4</v>
      </c>
    </row>
    <row r="368" spans="1:10" hidden="1" x14ac:dyDescent="0.3">
      <c r="A368" t="s">
        <v>184</v>
      </c>
      <c r="B368" t="s">
        <v>185</v>
      </c>
      <c r="C368" t="s">
        <v>185</v>
      </c>
      <c r="D368" s="7">
        <v>7.1420456641221044</v>
      </c>
      <c r="E368" s="7">
        <v>131579</v>
      </c>
      <c r="F368" s="7">
        <v>91977951.313419119</v>
      </c>
      <c r="G368" s="7">
        <v>13116</v>
      </c>
      <c r="H368" s="7">
        <v>3806.4345369211351</v>
      </c>
      <c r="I368">
        <f t="shared" si="10"/>
        <v>5.4279525335517858E-5</v>
      </c>
      <c r="J368">
        <f t="shared" si="11"/>
        <v>1.4259939270996181E-4</v>
      </c>
    </row>
    <row r="369" spans="1:10" hidden="1" x14ac:dyDescent="0.3">
      <c r="A369" t="s">
        <v>823</v>
      </c>
      <c r="B369" t="s">
        <v>839</v>
      </c>
      <c r="C369" t="s">
        <v>15</v>
      </c>
      <c r="D369" s="7">
        <v>3.9245217221942261</v>
      </c>
      <c r="E369" s="7">
        <v>16882</v>
      </c>
      <c r="F369" s="7">
        <v>2234286.359375</v>
      </c>
      <c r="G369" s="7">
        <v>1367</v>
      </c>
      <c r="H369" s="7">
        <v>3799.5587214950701</v>
      </c>
      <c r="I369">
        <f t="shared" si="10"/>
        <v>2.3246781910876829E-4</v>
      </c>
      <c r="J369">
        <f t="shared" si="11"/>
        <v>6.1182846785243444E-4</v>
      </c>
    </row>
    <row r="370" spans="1:10" hidden="1" x14ac:dyDescent="0.3">
      <c r="A370" t="s">
        <v>399</v>
      </c>
      <c r="B370" t="s">
        <v>366</v>
      </c>
      <c r="C370" t="s">
        <v>414</v>
      </c>
      <c r="D370" s="7">
        <v>3.7629199832373179</v>
      </c>
      <c r="E370" s="7">
        <v>10161</v>
      </c>
      <c r="F370" s="7">
        <v>343558.91348039208</v>
      </c>
      <c r="G370" s="7">
        <v>358</v>
      </c>
      <c r="H370" s="7">
        <v>3553.9124590040801</v>
      </c>
      <c r="I370">
        <f t="shared" si="10"/>
        <v>3.7032969030974488E-4</v>
      </c>
      <c r="J370">
        <f t="shared" si="11"/>
        <v>1.0420337995987758E-3</v>
      </c>
    </row>
    <row r="371" spans="1:10" hidden="1" x14ac:dyDescent="0.3">
      <c r="A371" t="s">
        <v>823</v>
      </c>
      <c r="B371" t="s">
        <v>850</v>
      </c>
      <c r="C371" t="s">
        <v>854</v>
      </c>
      <c r="D371" s="7">
        <v>5.3776237636739159</v>
      </c>
      <c r="E371" s="7">
        <v>2977</v>
      </c>
      <c r="F371" s="7">
        <v>12656.756188725491</v>
      </c>
      <c r="G371" s="7">
        <v>66</v>
      </c>
      <c r="H371" s="7">
        <v>3464.097110754019</v>
      </c>
      <c r="I371">
        <f t="shared" si="10"/>
        <v>1.8063902464474021E-3</v>
      </c>
      <c r="J371">
        <f t="shared" si="11"/>
        <v>5.2146062558107997E-3</v>
      </c>
    </row>
    <row r="372" spans="1:10" hidden="1" x14ac:dyDescent="0.3">
      <c r="A372" t="s">
        <v>399</v>
      </c>
      <c r="B372" t="s">
        <v>448</v>
      </c>
      <c r="C372" t="s">
        <v>449</v>
      </c>
      <c r="D372" s="7">
        <v>4.4334527150109526</v>
      </c>
      <c r="E372" s="7">
        <v>24993</v>
      </c>
      <c r="F372" s="7">
        <v>1950487.53125</v>
      </c>
      <c r="G372" s="7">
        <v>1145</v>
      </c>
      <c r="H372" s="7">
        <v>3021.769847877169</v>
      </c>
      <c r="I372">
        <f t="shared" si="10"/>
        <v>1.7738777717804795E-4</v>
      </c>
      <c r="J372">
        <f t="shared" si="11"/>
        <v>5.870327195920135E-4</v>
      </c>
    </row>
    <row r="373" spans="1:10" hidden="1" x14ac:dyDescent="0.3">
      <c r="A373" t="s">
        <v>915</v>
      </c>
      <c r="B373" t="s">
        <v>924</v>
      </c>
      <c r="C373" t="s">
        <v>925</v>
      </c>
      <c r="D373" s="7">
        <v>0.78094592644511573</v>
      </c>
      <c r="E373" s="7">
        <v>4379</v>
      </c>
      <c r="F373" s="7">
        <v>744005.18682598043</v>
      </c>
      <c r="G373" s="7">
        <v>444</v>
      </c>
      <c r="H373" s="7">
        <v>2988.4019547933872</v>
      </c>
      <c r="I373">
        <f t="shared" si="10"/>
        <v>1.7833887336038268E-4</v>
      </c>
      <c r="J373">
        <f t="shared" si="11"/>
        <v>5.9677003314205339E-4</v>
      </c>
    </row>
    <row r="374" spans="1:10" hidden="1" x14ac:dyDescent="0.3">
      <c r="A374" t="s">
        <v>579</v>
      </c>
      <c r="B374" t="s">
        <v>603</v>
      </c>
      <c r="C374" t="s">
        <v>603</v>
      </c>
      <c r="D374" s="7">
        <v>1.4425900576694941</v>
      </c>
      <c r="E374" s="7">
        <v>44061</v>
      </c>
      <c r="F374" s="7">
        <v>1241372.65625</v>
      </c>
      <c r="G374" s="7">
        <v>138</v>
      </c>
      <c r="H374" s="7">
        <v>2945.178854100197</v>
      </c>
      <c r="I374">
        <f t="shared" si="10"/>
        <v>3.2740747093109417E-5</v>
      </c>
      <c r="J374">
        <f t="shared" si="11"/>
        <v>1.1116726255021376E-4</v>
      </c>
    </row>
    <row r="375" spans="1:10" hidden="1" x14ac:dyDescent="0.3">
      <c r="A375" t="s">
        <v>225</v>
      </c>
      <c r="B375" t="s">
        <v>226</v>
      </c>
      <c r="C375" t="s">
        <v>235</v>
      </c>
      <c r="D375" s="7">
        <v>1.4493943352846519</v>
      </c>
      <c r="E375" s="7">
        <v>4689</v>
      </c>
      <c r="F375" s="7">
        <v>502290.59411764698</v>
      </c>
      <c r="G375" s="7">
        <v>550</v>
      </c>
      <c r="H375" s="7">
        <v>2822.9207304557272</v>
      </c>
      <c r="I375">
        <f t="shared" si="10"/>
        <v>3.0910521119314392E-4</v>
      </c>
      <c r="J375">
        <f t="shared" si="11"/>
        <v>1.0949836736763151E-3</v>
      </c>
    </row>
    <row r="376" spans="1:10" hidden="1" x14ac:dyDescent="0.3">
      <c r="A376" t="s">
        <v>605</v>
      </c>
      <c r="B376" t="s">
        <v>606</v>
      </c>
      <c r="C376" t="s">
        <v>608</v>
      </c>
      <c r="D376" s="7">
        <v>5.4792007814570347</v>
      </c>
      <c r="E376" s="7">
        <v>17793</v>
      </c>
      <c r="F376" s="7">
        <v>4409977.5375612751</v>
      </c>
      <c r="G376" s="7">
        <v>4845</v>
      </c>
      <c r="H376" s="7">
        <v>2802.9195477394578</v>
      </c>
      <c r="I376">
        <f t="shared" si="10"/>
        <v>3.0794136915961526E-4</v>
      </c>
      <c r="J376">
        <f t="shared" si="11"/>
        <v>1.0986450517567246E-3</v>
      </c>
    </row>
    <row r="377" spans="1:10" hidden="1" x14ac:dyDescent="0.3">
      <c r="A377" t="s">
        <v>645</v>
      </c>
      <c r="B377" t="s">
        <v>802</v>
      </c>
      <c r="C377" t="s">
        <v>809</v>
      </c>
      <c r="D377" s="7">
        <v>9.3223013068664127</v>
      </c>
      <c r="E377" s="7">
        <v>6486</v>
      </c>
      <c r="F377" s="7">
        <v>18502.357169117651</v>
      </c>
      <c r="G377" s="7">
        <v>96</v>
      </c>
      <c r="H377" s="7">
        <v>2770.1419149221169</v>
      </c>
      <c r="I377">
        <f t="shared" si="10"/>
        <v>1.4372959153355555E-3</v>
      </c>
      <c r="J377">
        <f t="shared" si="11"/>
        <v>5.1885280952328567E-3</v>
      </c>
    </row>
    <row r="378" spans="1:10" hidden="1" x14ac:dyDescent="0.3">
      <c r="A378" t="s">
        <v>453</v>
      </c>
      <c r="B378" t="s">
        <v>466</v>
      </c>
      <c r="C378" t="s">
        <v>160</v>
      </c>
      <c r="D378" s="7">
        <v>0.67511605727884627</v>
      </c>
      <c r="E378" s="7">
        <v>12131</v>
      </c>
      <c r="F378" s="7">
        <v>228846.22549019611</v>
      </c>
      <c r="G378" s="7">
        <v>46</v>
      </c>
      <c r="H378" s="7">
        <v>2768.6480822772951</v>
      </c>
      <c r="I378">
        <f t="shared" si="10"/>
        <v>5.5652135625986836E-5</v>
      </c>
      <c r="J378">
        <f t="shared" si="11"/>
        <v>2.0100834043238638E-4</v>
      </c>
    </row>
    <row r="379" spans="1:10" hidden="1" x14ac:dyDescent="0.3">
      <c r="A379" t="s">
        <v>184</v>
      </c>
      <c r="B379" t="s">
        <v>204</v>
      </c>
      <c r="C379" t="s">
        <v>210</v>
      </c>
      <c r="D379" s="7">
        <v>0.93118321249375358</v>
      </c>
      <c r="E379" s="7">
        <v>7271</v>
      </c>
      <c r="F379" s="7">
        <v>1440112.7147671571</v>
      </c>
      <c r="G379" s="7">
        <v>713</v>
      </c>
      <c r="H379" s="7">
        <v>2586.7112276805642</v>
      </c>
      <c r="I379">
        <f t="shared" si="10"/>
        <v>1.2806810789351583E-4</v>
      </c>
      <c r="J379">
        <f t="shared" si="11"/>
        <v>4.9510013534966989E-4</v>
      </c>
    </row>
    <row r="380" spans="1:10" hidden="1" x14ac:dyDescent="0.3">
      <c r="A380" t="s">
        <v>645</v>
      </c>
      <c r="B380" t="s">
        <v>802</v>
      </c>
      <c r="C380" t="s">
        <v>387</v>
      </c>
      <c r="D380" s="7">
        <v>3.8591361294807789</v>
      </c>
      <c r="E380" s="7">
        <v>10320</v>
      </c>
      <c r="F380" s="7">
        <v>1241601.078125</v>
      </c>
      <c r="G380" s="7">
        <v>1895</v>
      </c>
      <c r="H380" s="7">
        <v>2450.0969396179639</v>
      </c>
      <c r="I380">
        <f t="shared" si="10"/>
        <v>3.7394729936829254E-4</v>
      </c>
      <c r="J380">
        <f t="shared" si="11"/>
        <v>1.5262551179979066E-3</v>
      </c>
    </row>
    <row r="381" spans="1:10" hidden="1" x14ac:dyDescent="0.3">
      <c r="A381" t="s">
        <v>579</v>
      </c>
      <c r="B381" t="s">
        <v>580</v>
      </c>
      <c r="C381" t="s">
        <v>583</v>
      </c>
      <c r="D381" s="7">
        <v>2.2217469705135122</v>
      </c>
      <c r="E381" s="7">
        <v>29507</v>
      </c>
      <c r="F381" s="7">
        <v>747543.18995098048</v>
      </c>
      <c r="G381" s="7">
        <v>230</v>
      </c>
      <c r="H381" s="7">
        <v>2447.2480628791068</v>
      </c>
      <c r="I381">
        <f t="shared" si="10"/>
        <v>7.5295589877436274E-5</v>
      </c>
      <c r="J381">
        <f t="shared" si="11"/>
        <v>3.0767453050449441E-4</v>
      </c>
    </row>
    <row r="382" spans="1:10" hidden="1" x14ac:dyDescent="0.3">
      <c r="A382" t="s">
        <v>723</v>
      </c>
      <c r="B382" t="s">
        <v>724</v>
      </c>
      <c r="C382" t="s">
        <v>729</v>
      </c>
      <c r="D382" s="7">
        <v>1.36340393030343</v>
      </c>
      <c r="E382" s="7">
        <v>7498</v>
      </c>
      <c r="F382" s="7">
        <v>67183.710294117642</v>
      </c>
      <c r="G382" s="7">
        <v>50</v>
      </c>
      <c r="H382" s="7">
        <v>2443.2791322317162</v>
      </c>
      <c r="I382">
        <f t="shared" si="10"/>
        <v>1.8183568022184983E-4</v>
      </c>
      <c r="J382">
        <f t="shared" si="11"/>
        <v>7.4422802463736234E-4</v>
      </c>
    </row>
    <row r="383" spans="1:10" hidden="1" x14ac:dyDescent="0.3">
      <c r="A383" t="s">
        <v>605</v>
      </c>
      <c r="B383" t="s">
        <v>628</v>
      </c>
      <c r="C383" t="s">
        <v>634</v>
      </c>
      <c r="D383" s="7">
        <v>1.3346522389838511</v>
      </c>
      <c r="E383" s="7">
        <v>4669</v>
      </c>
      <c r="F383" s="7">
        <v>993038.28125</v>
      </c>
      <c r="G383" s="7">
        <v>1234</v>
      </c>
      <c r="H383" s="7">
        <v>2300.3561291830142</v>
      </c>
      <c r="I383">
        <f t="shared" si="10"/>
        <v>2.8585398136300087E-4</v>
      </c>
      <c r="J383">
        <f t="shared" si="11"/>
        <v>1.2426509866736318E-3</v>
      </c>
    </row>
    <row r="384" spans="1:10" hidden="1" x14ac:dyDescent="0.3">
      <c r="A384" t="s">
        <v>184</v>
      </c>
      <c r="B384" t="s">
        <v>185</v>
      </c>
      <c r="C384" t="s">
        <v>190</v>
      </c>
      <c r="D384" s="7">
        <v>0.93200399497777242</v>
      </c>
      <c r="E384" s="7">
        <v>9533</v>
      </c>
      <c r="F384" s="7">
        <v>2561910.5442401958</v>
      </c>
      <c r="G384" s="7">
        <v>1123</v>
      </c>
      <c r="H384" s="7">
        <v>2230.3467404248031</v>
      </c>
      <c r="I384">
        <f t="shared" si="10"/>
        <v>9.7766075210088373E-5</v>
      </c>
      <c r="J384">
        <f t="shared" si="11"/>
        <v>4.3834473554308127E-4</v>
      </c>
    </row>
    <row r="385" spans="1:10" hidden="1" x14ac:dyDescent="0.3">
      <c r="A385" t="s">
        <v>605</v>
      </c>
      <c r="B385" t="s">
        <v>645</v>
      </c>
      <c r="C385" t="s">
        <v>645</v>
      </c>
      <c r="D385" s="7">
        <v>0.88332333637123239</v>
      </c>
      <c r="E385" s="7">
        <v>18132</v>
      </c>
      <c r="F385" s="7">
        <v>1565663.5319852941</v>
      </c>
      <c r="G385" s="7">
        <v>346</v>
      </c>
      <c r="H385" s="7">
        <v>2204.4300924690001</v>
      </c>
      <c r="I385">
        <f t="shared" si="10"/>
        <v>4.8716266069448069E-5</v>
      </c>
      <c r="J385">
        <f t="shared" si="11"/>
        <v>2.2099256508917008E-4</v>
      </c>
    </row>
    <row r="386" spans="1:10" hidden="1" x14ac:dyDescent="0.3">
      <c r="A386" t="s">
        <v>933</v>
      </c>
      <c r="B386" t="s">
        <v>933</v>
      </c>
      <c r="C386" t="s">
        <v>999</v>
      </c>
      <c r="D386" s="7">
        <v>1.5363705630760769</v>
      </c>
      <c r="E386" s="7">
        <v>38806</v>
      </c>
      <c r="F386" s="7">
        <v>2384589.9401960778</v>
      </c>
      <c r="G386" s="7">
        <v>487</v>
      </c>
      <c r="H386" s="7">
        <v>1938.5715925957579</v>
      </c>
      <c r="I386">
        <f t="shared" si="10"/>
        <v>3.9591057132301109E-5</v>
      </c>
      <c r="J386">
        <f t="shared" si="11"/>
        <v>2.0422798561330651E-4</v>
      </c>
    </row>
    <row r="387" spans="1:10" hidden="1" x14ac:dyDescent="0.3">
      <c r="A387" t="s">
        <v>149</v>
      </c>
      <c r="B387" t="s">
        <v>150</v>
      </c>
      <c r="C387" t="s">
        <v>150</v>
      </c>
      <c r="D387" s="7">
        <v>7.2998610692142147</v>
      </c>
      <c r="E387" s="7">
        <v>67179</v>
      </c>
      <c r="F387" s="7">
        <v>13837731.271691181</v>
      </c>
      <c r="G387" s="7">
        <v>8044</v>
      </c>
      <c r="H387" s="7">
        <v>1869.27798129332</v>
      </c>
      <c r="I387">
        <f t="shared" ref="I387:I433" si="12">D387/E387</f>
        <v>1.0866284209670008E-4</v>
      </c>
      <c r="J387">
        <f t="shared" ref="J387:J433" si="13">G387/F387</f>
        <v>5.8130916420209551E-4</v>
      </c>
    </row>
    <row r="388" spans="1:10" hidden="1" x14ac:dyDescent="0.3">
      <c r="A388" t="s">
        <v>579</v>
      </c>
      <c r="B388" t="s">
        <v>590</v>
      </c>
      <c r="C388" t="s">
        <v>590</v>
      </c>
      <c r="D388" s="7">
        <v>8.6997776208768762</v>
      </c>
      <c r="E388" s="7">
        <v>195990</v>
      </c>
      <c r="F388" s="7">
        <v>22097610.578125</v>
      </c>
      <c r="G388" s="7">
        <v>5289</v>
      </c>
      <c r="H388" s="7">
        <v>1854.5817741233</v>
      </c>
      <c r="I388">
        <f t="shared" si="12"/>
        <v>4.4388885253721499E-5</v>
      </c>
      <c r="J388">
        <f t="shared" si="13"/>
        <v>2.3934714485536815E-4</v>
      </c>
    </row>
    <row r="389" spans="1:10" hidden="1" x14ac:dyDescent="0.3">
      <c r="A389" t="s">
        <v>225</v>
      </c>
      <c r="B389" t="s">
        <v>237</v>
      </c>
      <c r="C389" t="s">
        <v>238</v>
      </c>
      <c r="D389" s="7">
        <v>0.65626527486372355</v>
      </c>
      <c r="E389" s="7">
        <v>8500</v>
      </c>
      <c r="F389" s="7">
        <v>1240692.328125</v>
      </c>
      <c r="G389" s="7">
        <v>526</v>
      </c>
      <c r="H389" s="7">
        <v>1821.1212071980899</v>
      </c>
      <c r="I389">
        <f t="shared" si="12"/>
        <v>7.7207679395732186E-5</v>
      </c>
      <c r="J389">
        <f t="shared" si="13"/>
        <v>4.2395684093164264E-4</v>
      </c>
    </row>
    <row r="390" spans="1:10" hidden="1" x14ac:dyDescent="0.3">
      <c r="A390" t="s">
        <v>605</v>
      </c>
      <c r="B390" t="s">
        <v>28</v>
      </c>
      <c r="C390" t="s">
        <v>135</v>
      </c>
      <c r="D390" s="7">
        <v>0.76903795542761055</v>
      </c>
      <c r="E390" s="7">
        <v>6095</v>
      </c>
      <c r="F390" s="7">
        <v>993122.9375</v>
      </c>
      <c r="G390" s="7">
        <v>700</v>
      </c>
      <c r="H390" s="7">
        <v>1790.107191710448</v>
      </c>
      <c r="I390">
        <f t="shared" si="12"/>
        <v>1.2617521828180649E-4</v>
      </c>
      <c r="J390">
        <f t="shared" si="13"/>
        <v>7.0484727878918822E-4</v>
      </c>
    </row>
    <row r="391" spans="1:10" hidden="1" x14ac:dyDescent="0.3">
      <c r="A391" t="s">
        <v>605</v>
      </c>
      <c r="B391" t="s">
        <v>620</v>
      </c>
      <c r="C391" t="s">
        <v>620</v>
      </c>
      <c r="D391" s="7">
        <v>2.1182447261066608</v>
      </c>
      <c r="E391" s="7">
        <v>88170</v>
      </c>
      <c r="F391" s="7">
        <v>5479676.8614583332</v>
      </c>
      <c r="G391" s="7">
        <v>826</v>
      </c>
      <c r="H391" s="7">
        <v>1593.7866855484181</v>
      </c>
      <c r="I391">
        <f t="shared" si="12"/>
        <v>2.4024551730822964E-5</v>
      </c>
      <c r="J391">
        <f t="shared" si="13"/>
        <v>1.5073881560603058E-4</v>
      </c>
    </row>
    <row r="392" spans="1:10" hidden="1" x14ac:dyDescent="0.3">
      <c r="A392" t="s">
        <v>605</v>
      </c>
      <c r="B392" t="s">
        <v>636</v>
      </c>
      <c r="C392" t="s">
        <v>636</v>
      </c>
      <c r="D392" s="7">
        <v>37.0922059122774</v>
      </c>
      <c r="E392" s="7">
        <v>274076</v>
      </c>
      <c r="F392" s="7">
        <v>54330153.365379907</v>
      </c>
      <c r="G392" s="7">
        <v>48708</v>
      </c>
      <c r="H392" s="7">
        <v>1509.5666349041121</v>
      </c>
      <c r="I392">
        <f t="shared" si="12"/>
        <v>1.35335475971181E-4</v>
      </c>
      <c r="J392">
        <f t="shared" si="13"/>
        <v>8.9651872823605101E-4</v>
      </c>
    </row>
    <row r="393" spans="1:10" hidden="1" x14ac:dyDescent="0.3">
      <c r="A393" t="s">
        <v>723</v>
      </c>
      <c r="B393" t="s">
        <v>736</v>
      </c>
      <c r="C393" t="s">
        <v>323</v>
      </c>
      <c r="D393" s="7">
        <v>0.61822957644374565</v>
      </c>
      <c r="E393" s="7">
        <v>1733</v>
      </c>
      <c r="F393" s="7">
        <v>77905.843137254895</v>
      </c>
      <c r="G393" s="7">
        <v>189</v>
      </c>
      <c r="H393" s="7">
        <v>1470.481087792768</v>
      </c>
      <c r="I393">
        <f t="shared" si="12"/>
        <v>3.5673951323932237E-4</v>
      </c>
      <c r="J393">
        <f t="shared" si="13"/>
        <v>2.4260054495144718E-3</v>
      </c>
    </row>
    <row r="394" spans="1:10" hidden="1" x14ac:dyDescent="0.3">
      <c r="A394" t="s">
        <v>492</v>
      </c>
      <c r="B394" t="s">
        <v>492</v>
      </c>
      <c r="C394" t="s">
        <v>502</v>
      </c>
      <c r="D394" s="7">
        <v>0.89191431456403725</v>
      </c>
      <c r="E394" s="7">
        <v>5780</v>
      </c>
      <c r="F394" s="7">
        <v>1238288.515625</v>
      </c>
      <c r="G394" s="7">
        <v>1487</v>
      </c>
      <c r="H394" s="7">
        <v>1285.0090084610929</v>
      </c>
      <c r="I394">
        <f t="shared" si="12"/>
        <v>1.5431043504568118E-4</v>
      </c>
      <c r="J394">
        <f t="shared" si="13"/>
        <v>1.2008509981613358E-3</v>
      </c>
    </row>
    <row r="395" spans="1:10" hidden="1" x14ac:dyDescent="0.3">
      <c r="A395" t="s">
        <v>645</v>
      </c>
      <c r="B395" t="s">
        <v>796</v>
      </c>
      <c r="C395" t="s">
        <v>801</v>
      </c>
      <c r="D395" s="7">
        <v>2.8448787292289062</v>
      </c>
      <c r="E395" s="7">
        <v>15078</v>
      </c>
      <c r="F395" s="7">
        <v>1738283.09375</v>
      </c>
      <c r="G395" s="7">
        <v>2751</v>
      </c>
      <c r="H395" s="7">
        <v>1192.202244388212</v>
      </c>
      <c r="I395">
        <f t="shared" si="12"/>
        <v>1.8867745916095676E-4</v>
      </c>
      <c r="J395">
        <f t="shared" si="13"/>
        <v>1.5825960741902313E-3</v>
      </c>
    </row>
    <row r="396" spans="1:10" hidden="1" x14ac:dyDescent="0.3">
      <c r="A396" t="s">
        <v>605</v>
      </c>
      <c r="B396" t="s">
        <v>90</v>
      </c>
      <c r="C396" t="s">
        <v>613</v>
      </c>
      <c r="D396" s="7">
        <v>1.7420905347949189</v>
      </c>
      <c r="E396" s="7">
        <v>36356</v>
      </c>
      <c r="F396" s="7">
        <v>3020460.8047794122</v>
      </c>
      <c r="G396" s="7">
        <v>1359</v>
      </c>
      <c r="H396" s="7">
        <v>1064.9969747138041</v>
      </c>
      <c r="I396">
        <f t="shared" si="12"/>
        <v>4.791755239286277E-5</v>
      </c>
      <c r="J396">
        <f t="shared" si="13"/>
        <v>4.4993134751147661E-4</v>
      </c>
    </row>
    <row r="397" spans="1:10" hidden="1" x14ac:dyDescent="0.3">
      <c r="A397" t="s">
        <v>280</v>
      </c>
      <c r="B397" t="s">
        <v>302</v>
      </c>
      <c r="C397" t="s">
        <v>302</v>
      </c>
      <c r="D397" s="7">
        <v>8.8108912297405091</v>
      </c>
      <c r="E397" s="7">
        <v>58986</v>
      </c>
      <c r="F397" s="7">
        <v>13361309.084436269</v>
      </c>
      <c r="G397" s="7">
        <v>19137</v>
      </c>
      <c r="H397" s="7">
        <v>1042.9081158388681</v>
      </c>
      <c r="I397">
        <f t="shared" si="12"/>
        <v>1.493725838290528E-4</v>
      </c>
      <c r="J397">
        <f t="shared" si="13"/>
        <v>1.43226983816215E-3</v>
      </c>
    </row>
    <row r="398" spans="1:10" hidden="1" x14ac:dyDescent="0.3">
      <c r="A398" t="s">
        <v>952</v>
      </c>
      <c r="B398" t="s">
        <v>953</v>
      </c>
      <c r="C398" t="s">
        <v>954</v>
      </c>
      <c r="D398" s="7">
        <v>8.4638424524671976</v>
      </c>
      <c r="E398" s="7">
        <v>61947</v>
      </c>
      <c r="F398" s="7">
        <v>12415936.640625</v>
      </c>
      <c r="G398" s="7">
        <v>16413</v>
      </c>
      <c r="H398" s="7">
        <v>1033.567417239741</v>
      </c>
      <c r="I398">
        <f t="shared" si="12"/>
        <v>1.366303848849371E-4</v>
      </c>
      <c r="J398">
        <f t="shared" si="13"/>
        <v>1.3219300706075279E-3</v>
      </c>
    </row>
    <row r="399" spans="1:10" hidden="1" x14ac:dyDescent="0.3">
      <c r="A399" t="s">
        <v>492</v>
      </c>
      <c r="B399" t="s">
        <v>505</v>
      </c>
      <c r="C399" t="s">
        <v>506</v>
      </c>
      <c r="D399" s="7">
        <v>1.018702134512508</v>
      </c>
      <c r="E399" s="7">
        <v>20479</v>
      </c>
      <c r="F399" s="7">
        <v>2476371.265625</v>
      </c>
      <c r="G399" s="7">
        <v>1232</v>
      </c>
      <c r="H399" s="7">
        <v>999.86995473729962</v>
      </c>
      <c r="I399">
        <f t="shared" si="12"/>
        <v>4.9743744055496267E-5</v>
      </c>
      <c r="J399">
        <f t="shared" si="13"/>
        <v>4.9750213835123838E-4</v>
      </c>
    </row>
    <row r="400" spans="1:10" hidden="1" x14ac:dyDescent="0.3">
      <c r="A400" t="s">
        <v>605</v>
      </c>
      <c r="B400" t="s">
        <v>577</v>
      </c>
      <c r="C400" t="s">
        <v>577</v>
      </c>
      <c r="D400" s="7">
        <v>1.159063783443752</v>
      </c>
      <c r="E400" s="7">
        <v>10581</v>
      </c>
      <c r="F400" s="7">
        <v>993019.234375</v>
      </c>
      <c r="G400" s="7">
        <v>1150</v>
      </c>
      <c r="H400" s="7">
        <v>945.88958126511079</v>
      </c>
      <c r="I400">
        <f t="shared" si="12"/>
        <v>1.0954198879536453E-4</v>
      </c>
      <c r="J400">
        <f t="shared" si="13"/>
        <v>1.1580843151782481E-3</v>
      </c>
    </row>
    <row r="401" spans="1:12" x14ac:dyDescent="0.3">
      <c r="A401" t="s">
        <v>645</v>
      </c>
      <c r="B401" t="s">
        <v>765</v>
      </c>
      <c r="C401" t="s">
        <v>766</v>
      </c>
      <c r="D401" s="2">
        <v>35.6345895143874</v>
      </c>
      <c r="E401" s="2">
        <v>1860402</v>
      </c>
      <c r="F401" s="2">
        <v>204097559.589093</v>
      </c>
      <c r="G401" s="2">
        <v>41409</v>
      </c>
      <c r="H401" s="2">
        <v>944.07833585930337</v>
      </c>
      <c r="I401">
        <f>D401/E401</f>
        <v>1.9154241671631939E-5</v>
      </c>
      <c r="J401">
        <f>G401/F401</f>
        <v>2.0288826619665716E-4</v>
      </c>
      <c r="K401">
        <f>F401/G401</f>
        <v>4928.8212608151125</v>
      </c>
      <c r="L401">
        <f>K401*I401</f>
        <v>9.4407833585930301E-2</v>
      </c>
    </row>
    <row r="402" spans="1:12" hidden="1" x14ac:dyDescent="0.3">
      <c r="A402" t="s">
        <v>341</v>
      </c>
      <c r="B402" t="s">
        <v>341</v>
      </c>
      <c r="C402" t="s">
        <v>349</v>
      </c>
      <c r="D402" s="7">
        <v>8.389404387650659</v>
      </c>
      <c r="E402" s="7">
        <v>9347</v>
      </c>
      <c r="F402" s="7">
        <v>235638.03541666671</v>
      </c>
      <c r="G402" s="7">
        <v>2293</v>
      </c>
      <c r="H402" s="7">
        <v>922.35949883333001</v>
      </c>
      <c r="I402">
        <f t="shared" si="12"/>
        <v>8.9755048546599542E-4</v>
      </c>
      <c r="J402">
        <f t="shared" si="13"/>
        <v>9.731026639843628E-3</v>
      </c>
    </row>
    <row r="403" spans="1:12" hidden="1" x14ac:dyDescent="0.3">
      <c r="A403" t="s">
        <v>341</v>
      </c>
      <c r="B403" t="s">
        <v>341</v>
      </c>
      <c r="C403" t="s">
        <v>341</v>
      </c>
      <c r="D403" s="7">
        <v>34.769514979344542</v>
      </c>
      <c r="E403" s="7">
        <v>178473</v>
      </c>
      <c r="F403" s="7">
        <v>19478856.363664221</v>
      </c>
      <c r="G403" s="7">
        <v>42399</v>
      </c>
      <c r="H403" s="7">
        <v>895.02249356130233</v>
      </c>
      <c r="I403">
        <f t="shared" si="12"/>
        <v>1.9481666683108674E-4</v>
      </c>
      <c r="J403">
        <f t="shared" si="13"/>
        <v>2.1766678293850413E-3</v>
      </c>
    </row>
    <row r="404" spans="1:12" hidden="1" x14ac:dyDescent="0.3">
      <c r="A404" t="s">
        <v>399</v>
      </c>
      <c r="B404" t="s">
        <v>400</v>
      </c>
      <c r="C404" t="s">
        <v>400</v>
      </c>
      <c r="D404" s="7">
        <v>15.30751365900349</v>
      </c>
      <c r="E404" s="7">
        <v>2792588</v>
      </c>
      <c r="F404" s="7">
        <v>213587821.21654409</v>
      </c>
      <c r="G404" s="7">
        <v>13190</v>
      </c>
      <c r="H404" s="7">
        <v>887.62490296324927</v>
      </c>
      <c r="I404">
        <f t="shared" si="12"/>
        <v>5.4814794230310704E-6</v>
      </c>
      <c r="J404">
        <f t="shared" si="13"/>
        <v>6.1754457369680437E-5</v>
      </c>
    </row>
    <row r="405" spans="1:12" hidden="1" x14ac:dyDescent="0.3">
      <c r="A405" t="s">
        <v>605</v>
      </c>
      <c r="B405" t="s">
        <v>649</v>
      </c>
      <c r="C405" t="s">
        <v>651</v>
      </c>
      <c r="D405" s="7">
        <v>2.2874671731043721</v>
      </c>
      <c r="E405" s="7">
        <v>24474</v>
      </c>
      <c r="F405" s="7">
        <v>6455803.984375</v>
      </c>
      <c r="G405" s="7">
        <v>7491</v>
      </c>
      <c r="H405" s="7">
        <v>805.49055642965197</v>
      </c>
      <c r="I405">
        <f t="shared" si="12"/>
        <v>9.346519461895775E-5</v>
      </c>
      <c r="J405">
        <f t="shared" si="13"/>
        <v>1.1603512154536426E-3</v>
      </c>
    </row>
    <row r="406" spans="1:12" hidden="1" x14ac:dyDescent="0.3">
      <c r="A406" t="s">
        <v>605</v>
      </c>
      <c r="B406" t="s">
        <v>649</v>
      </c>
      <c r="C406" t="s">
        <v>650</v>
      </c>
      <c r="D406" s="7">
        <v>3.211736584143261</v>
      </c>
      <c r="E406" s="7">
        <v>28570</v>
      </c>
      <c r="F406" s="7">
        <v>5702405.5128676472</v>
      </c>
      <c r="G406" s="7">
        <v>8264</v>
      </c>
      <c r="H406" s="7">
        <v>775.7065662036772</v>
      </c>
      <c r="I406">
        <f t="shared" si="12"/>
        <v>1.1241640126507739E-4</v>
      </c>
      <c r="J406">
        <f t="shared" si="13"/>
        <v>1.449212964835987E-3</v>
      </c>
    </row>
    <row r="407" spans="1:12" hidden="1" x14ac:dyDescent="0.3">
      <c r="A407" t="s">
        <v>341</v>
      </c>
      <c r="B407" t="s">
        <v>389</v>
      </c>
      <c r="C407" t="s">
        <v>389</v>
      </c>
      <c r="D407" s="7">
        <v>5.9134239351128581</v>
      </c>
      <c r="E407" s="7">
        <v>22840</v>
      </c>
      <c r="F407" s="7">
        <v>1458631.9277573531</v>
      </c>
      <c r="G407" s="7">
        <v>5126</v>
      </c>
      <c r="H407" s="7">
        <v>736.7328398030013</v>
      </c>
      <c r="I407">
        <f t="shared" si="12"/>
        <v>2.5890647701895178E-4</v>
      </c>
      <c r="J407">
        <f t="shared" si="13"/>
        <v>3.5142518838739709E-3</v>
      </c>
    </row>
    <row r="408" spans="1:12" hidden="1" x14ac:dyDescent="0.3">
      <c r="A408" t="s">
        <v>341</v>
      </c>
      <c r="B408" t="s">
        <v>365</v>
      </c>
      <c r="C408" t="s">
        <v>370</v>
      </c>
      <c r="D408" s="7">
        <v>0.82165576702524268</v>
      </c>
      <c r="E408" s="7">
        <v>5246</v>
      </c>
      <c r="F408" s="7">
        <v>491752.10477941169</v>
      </c>
      <c r="G408" s="7">
        <v>1218</v>
      </c>
      <c r="H408" s="7">
        <v>632.35442319772778</v>
      </c>
      <c r="I408">
        <f t="shared" si="12"/>
        <v>1.5662519386680187E-4</v>
      </c>
      <c r="J408">
        <f t="shared" si="13"/>
        <v>2.4768577260007173E-3</v>
      </c>
    </row>
    <row r="409" spans="1:12" hidden="1" x14ac:dyDescent="0.3">
      <c r="A409" t="s">
        <v>605</v>
      </c>
      <c r="B409" t="s">
        <v>638</v>
      </c>
      <c r="C409" t="s">
        <v>638</v>
      </c>
      <c r="D409" s="7">
        <v>3.9955812214478108</v>
      </c>
      <c r="E409" s="7">
        <v>101463</v>
      </c>
      <c r="F409" s="7">
        <v>34165311.471139707</v>
      </c>
      <c r="G409" s="7">
        <v>22001</v>
      </c>
      <c r="H409" s="7">
        <v>611.52642391111851</v>
      </c>
      <c r="I409">
        <f t="shared" si="12"/>
        <v>3.9379687387991786E-5</v>
      </c>
      <c r="J409">
        <f t="shared" si="13"/>
        <v>6.4395724940440816E-4</v>
      </c>
    </row>
    <row r="410" spans="1:12" hidden="1" x14ac:dyDescent="0.3">
      <c r="A410" t="s">
        <v>605</v>
      </c>
      <c r="B410" t="s">
        <v>625</v>
      </c>
      <c r="C410" t="s">
        <v>625</v>
      </c>
      <c r="D410" s="7">
        <v>0.7608616964339936</v>
      </c>
      <c r="E410" s="7">
        <v>21141</v>
      </c>
      <c r="F410" s="7">
        <v>1489926.234375</v>
      </c>
      <c r="G410" s="7">
        <v>1083</v>
      </c>
      <c r="H410" s="7">
        <v>495.12688134016872</v>
      </c>
      <c r="I410">
        <f t="shared" si="12"/>
        <v>3.598986313012599E-5</v>
      </c>
      <c r="J410">
        <f t="shared" si="13"/>
        <v>7.2688162340755146E-4</v>
      </c>
    </row>
    <row r="411" spans="1:12" hidden="1" x14ac:dyDescent="0.3">
      <c r="A411" t="s">
        <v>341</v>
      </c>
      <c r="B411" t="s">
        <v>365</v>
      </c>
      <c r="C411" t="s">
        <v>365</v>
      </c>
      <c r="D411" s="7">
        <v>1.5082426213611519</v>
      </c>
      <c r="E411" s="7">
        <v>9172</v>
      </c>
      <c r="F411" s="7">
        <v>496625.328125</v>
      </c>
      <c r="G411" s="7">
        <v>2118</v>
      </c>
      <c r="H411" s="7">
        <v>385.57607004731727</v>
      </c>
      <c r="I411">
        <f t="shared" si="12"/>
        <v>1.6443988457927954E-4</v>
      </c>
      <c r="J411">
        <f t="shared" si="13"/>
        <v>4.2647844965871375E-3</v>
      </c>
    </row>
    <row r="412" spans="1:12" hidden="1" x14ac:dyDescent="0.3">
      <c r="A412" t="s">
        <v>605</v>
      </c>
      <c r="B412" t="s">
        <v>398</v>
      </c>
      <c r="C412" t="s">
        <v>398</v>
      </c>
      <c r="D412" s="7">
        <v>3.6385017436700848</v>
      </c>
      <c r="E412" s="7">
        <v>44748</v>
      </c>
      <c r="F412" s="7">
        <v>5263854.6624999996</v>
      </c>
      <c r="G412" s="7">
        <v>12019</v>
      </c>
      <c r="H412" s="7">
        <v>356.11028136226571</v>
      </c>
      <c r="I412">
        <f t="shared" si="12"/>
        <v>8.1310935542819448E-5</v>
      </c>
      <c r="J412">
        <f t="shared" si="13"/>
        <v>2.2833077223092879E-3</v>
      </c>
    </row>
    <row r="413" spans="1:12" hidden="1" x14ac:dyDescent="0.3">
      <c r="A413" t="s">
        <v>225</v>
      </c>
      <c r="B413" t="s">
        <v>237</v>
      </c>
      <c r="C413" t="s">
        <v>246</v>
      </c>
      <c r="D413" s="7">
        <v>0.93935701496553159</v>
      </c>
      <c r="E413" s="7">
        <v>8928</v>
      </c>
      <c r="F413" s="7">
        <v>1946.39068627451</v>
      </c>
      <c r="G413" s="7">
        <v>6</v>
      </c>
      <c r="H413" s="7">
        <v>341.31491655755968</v>
      </c>
      <c r="I413">
        <f t="shared" si="12"/>
        <v>1.0521471941818231E-4</v>
      </c>
      <c r="J413">
        <f t="shared" si="13"/>
        <v>3.0826288074180539E-3</v>
      </c>
    </row>
    <row r="414" spans="1:12" hidden="1" x14ac:dyDescent="0.3">
      <c r="A414" t="s">
        <v>605</v>
      </c>
      <c r="B414" t="s">
        <v>606</v>
      </c>
      <c r="C414" t="s">
        <v>606</v>
      </c>
      <c r="D414" s="7">
        <v>10.303970663473191</v>
      </c>
      <c r="E414" s="7">
        <v>264192</v>
      </c>
      <c r="F414" s="7">
        <v>43895892.055024512</v>
      </c>
      <c r="G414" s="7">
        <v>51099</v>
      </c>
      <c r="H414" s="7">
        <v>335.03982179628298</v>
      </c>
      <c r="I414">
        <f t="shared" si="12"/>
        <v>3.900182694204666E-5</v>
      </c>
      <c r="J414">
        <f t="shared" si="13"/>
        <v>1.164095262853896E-3</v>
      </c>
    </row>
    <row r="415" spans="1:12" hidden="1" x14ac:dyDescent="0.3">
      <c r="A415" t="s">
        <v>605</v>
      </c>
      <c r="B415" t="s">
        <v>606</v>
      </c>
      <c r="C415" t="s">
        <v>65</v>
      </c>
      <c r="D415" s="7">
        <v>3.062199922562975</v>
      </c>
      <c r="E415" s="7">
        <v>17660</v>
      </c>
      <c r="F415" s="7">
        <v>993148.828125</v>
      </c>
      <c r="G415" s="7">
        <v>5141</v>
      </c>
      <c r="H415" s="7">
        <v>334.97282241887319</v>
      </c>
      <c r="I415">
        <f t="shared" si="12"/>
        <v>1.7339750410888874E-4</v>
      </c>
      <c r="J415">
        <f t="shared" si="13"/>
        <v>5.1764648503949519E-3</v>
      </c>
    </row>
    <row r="416" spans="1:12" hidden="1" x14ac:dyDescent="0.3">
      <c r="A416" t="s">
        <v>605</v>
      </c>
      <c r="B416" t="s">
        <v>606</v>
      </c>
      <c r="C416" t="s">
        <v>611</v>
      </c>
      <c r="D416" s="7">
        <v>1.202354706970103</v>
      </c>
      <c r="E416" s="7">
        <v>8574</v>
      </c>
      <c r="F416" s="7">
        <v>496570.09375</v>
      </c>
      <c r="G416" s="7">
        <v>2311</v>
      </c>
      <c r="H416" s="7">
        <v>301.32123834119682</v>
      </c>
      <c r="I416">
        <f t="shared" si="12"/>
        <v>1.4023264601937288E-4</v>
      </c>
      <c r="J416">
        <f t="shared" si="13"/>
        <v>4.6539250532543772E-3</v>
      </c>
    </row>
    <row r="417" spans="1:12" hidden="1" x14ac:dyDescent="0.3">
      <c r="A417" t="s">
        <v>184</v>
      </c>
      <c r="B417" t="s">
        <v>185</v>
      </c>
      <c r="C417" t="s">
        <v>189</v>
      </c>
      <c r="D417" s="7">
        <v>4.2656221073792544</v>
      </c>
      <c r="E417" s="7">
        <v>2585</v>
      </c>
      <c r="F417" s="7">
        <v>4868.6222426470586</v>
      </c>
      <c r="G417" s="7">
        <v>286</v>
      </c>
      <c r="H417" s="7">
        <v>280.90655706961428</v>
      </c>
      <c r="I417">
        <f t="shared" si="12"/>
        <v>1.6501439486960366E-3</v>
      </c>
      <c r="J417">
        <f t="shared" si="13"/>
        <v>5.8743518339698188E-2</v>
      </c>
    </row>
    <row r="418" spans="1:12" x14ac:dyDescent="0.3">
      <c r="A418" t="s">
        <v>645</v>
      </c>
      <c r="B418" t="s">
        <v>822</v>
      </c>
      <c r="C418" t="s">
        <v>822</v>
      </c>
      <c r="D418" s="2">
        <v>1.0046101769521381</v>
      </c>
      <c r="E418" s="2">
        <v>26279</v>
      </c>
      <c r="F418" s="2">
        <v>18502.46078431372</v>
      </c>
      <c r="G418" s="2">
        <v>30</v>
      </c>
      <c r="H418" s="2">
        <v>235.77457795932631</v>
      </c>
      <c r="I418">
        <f t="shared" si="12"/>
        <v>3.8228630349409721E-5</v>
      </c>
      <c r="J418">
        <f t="shared" si="13"/>
        <v>1.6214059497120419E-3</v>
      </c>
      <c r="K418">
        <f>F418/G418</f>
        <v>616.74869281045733</v>
      </c>
      <c r="L418">
        <f>K418*I418</f>
        <v>2.3577457795932621E-2</v>
      </c>
    </row>
    <row r="419" spans="1:12" hidden="1" x14ac:dyDescent="0.3">
      <c r="A419" t="s">
        <v>605</v>
      </c>
      <c r="B419" t="s">
        <v>664</v>
      </c>
      <c r="C419" t="s">
        <v>664</v>
      </c>
      <c r="D419" s="7">
        <v>0.99033179907850444</v>
      </c>
      <c r="E419" s="7">
        <v>17274</v>
      </c>
      <c r="F419" s="7">
        <v>1489949.28125</v>
      </c>
      <c r="G419" s="7">
        <v>4872</v>
      </c>
      <c r="H419" s="7">
        <v>175.32829698544131</v>
      </c>
      <c r="I419">
        <f t="shared" si="12"/>
        <v>5.7330774521159226E-5</v>
      </c>
      <c r="J419">
        <f t="shared" si="13"/>
        <v>3.2699099635878966E-3</v>
      </c>
    </row>
    <row r="420" spans="1:12" hidden="1" x14ac:dyDescent="0.3">
      <c r="A420" t="s">
        <v>605</v>
      </c>
      <c r="B420" t="s">
        <v>615</v>
      </c>
      <c r="C420" t="s">
        <v>617</v>
      </c>
      <c r="D420" s="7">
        <v>0.99404056306395405</v>
      </c>
      <c r="E420" s="7">
        <v>11672</v>
      </c>
      <c r="F420" s="7">
        <v>744907.984375</v>
      </c>
      <c r="G420" s="7">
        <v>3641</v>
      </c>
      <c r="H420" s="7">
        <v>174.23715781930301</v>
      </c>
      <c r="I420">
        <f t="shared" si="12"/>
        <v>8.5164544470866518E-5</v>
      </c>
      <c r="J420">
        <f t="shared" si="13"/>
        <v>4.8878520251798719E-3</v>
      </c>
    </row>
    <row r="421" spans="1:12" hidden="1" x14ac:dyDescent="0.3">
      <c r="A421" t="s">
        <v>605</v>
      </c>
      <c r="B421" t="s">
        <v>658</v>
      </c>
      <c r="C421" t="s">
        <v>660</v>
      </c>
      <c r="D421" s="7">
        <v>0.69433415758294281</v>
      </c>
      <c r="E421" s="7">
        <v>6434</v>
      </c>
      <c r="F421" s="7">
        <v>248325.625</v>
      </c>
      <c r="G421" s="7">
        <v>1668</v>
      </c>
      <c r="H421" s="7">
        <v>160.6619245858825</v>
      </c>
      <c r="I421">
        <f t="shared" si="12"/>
        <v>1.0791640621432123E-4</v>
      </c>
      <c r="J421">
        <f t="shared" si="13"/>
        <v>6.7169870205702692E-3</v>
      </c>
    </row>
    <row r="422" spans="1:12" hidden="1" x14ac:dyDescent="0.3">
      <c r="A422" t="s">
        <v>605</v>
      </c>
      <c r="B422" t="s">
        <v>652</v>
      </c>
      <c r="C422" t="s">
        <v>652</v>
      </c>
      <c r="D422" s="7">
        <v>1.996044867653386</v>
      </c>
      <c r="E422" s="7">
        <v>32815</v>
      </c>
      <c r="F422" s="7">
        <v>2483036.09375</v>
      </c>
      <c r="G422" s="7">
        <v>9688</v>
      </c>
      <c r="H422" s="7">
        <v>155.9002433483044</v>
      </c>
      <c r="I422">
        <f t="shared" si="12"/>
        <v>6.0827209131597929E-5</v>
      </c>
      <c r="J422">
        <f t="shared" si="13"/>
        <v>3.9016750599741457E-3</v>
      </c>
    </row>
    <row r="423" spans="1:12" hidden="1" x14ac:dyDescent="0.3">
      <c r="A423" t="s">
        <v>667</v>
      </c>
      <c r="B423" t="s">
        <v>712</v>
      </c>
      <c r="C423" t="s">
        <v>712</v>
      </c>
      <c r="D423" s="7">
        <v>0.53747005077454224</v>
      </c>
      <c r="E423" s="7">
        <v>8192</v>
      </c>
      <c r="F423" s="7">
        <v>496233.28125</v>
      </c>
      <c r="G423" s="7">
        <v>2325</v>
      </c>
      <c r="H423" s="7">
        <v>140.03198865373781</v>
      </c>
      <c r="I423">
        <f t="shared" si="12"/>
        <v>6.5609137057439238E-5</v>
      </c>
      <c r="J423">
        <f t="shared" si="13"/>
        <v>4.685296387504239E-3</v>
      </c>
    </row>
    <row r="424" spans="1:12" hidden="1" x14ac:dyDescent="0.3">
      <c r="A424" t="s">
        <v>605</v>
      </c>
      <c r="B424" t="s">
        <v>649</v>
      </c>
      <c r="C424" t="s">
        <v>169</v>
      </c>
      <c r="D424" s="7">
        <v>0.87138714119240246</v>
      </c>
      <c r="E424" s="7">
        <v>12783</v>
      </c>
      <c r="F424" s="7">
        <v>993281.453125</v>
      </c>
      <c r="G424" s="7">
        <v>5003</v>
      </c>
      <c r="H424" s="7">
        <v>135.33813308792151</v>
      </c>
      <c r="I424">
        <f t="shared" si="12"/>
        <v>6.8167655573214624E-5</v>
      </c>
      <c r="J424">
        <f t="shared" si="13"/>
        <v>5.0368402473033947E-3</v>
      </c>
    </row>
    <row r="425" spans="1:12" hidden="1" x14ac:dyDescent="0.3">
      <c r="A425" t="s">
        <v>605</v>
      </c>
      <c r="B425" t="s">
        <v>635</v>
      </c>
      <c r="C425" t="s">
        <v>635</v>
      </c>
      <c r="D425" s="7">
        <v>1.274496663477785</v>
      </c>
      <c r="E425" s="7">
        <v>23406</v>
      </c>
      <c r="F425" s="7">
        <v>993178.34375</v>
      </c>
      <c r="G425" s="7">
        <v>4069</v>
      </c>
      <c r="H425" s="7">
        <v>132.9079787982441</v>
      </c>
      <c r="I425">
        <f t="shared" si="12"/>
        <v>5.4451707403135307E-5</v>
      </c>
      <c r="J425">
        <f t="shared" si="13"/>
        <v>4.0969479707304579E-3</v>
      </c>
    </row>
    <row r="426" spans="1:12" hidden="1" x14ac:dyDescent="0.3">
      <c r="A426" t="s">
        <v>579</v>
      </c>
      <c r="B426" t="s">
        <v>602</v>
      </c>
      <c r="C426" t="s">
        <v>602</v>
      </c>
      <c r="D426" s="7">
        <v>1.23063515622635</v>
      </c>
      <c r="E426" s="7">
        <v>54026</v>
      </c>
      <c r="F426" s="7">
        <v>252192.4244485294</v>
      </c>
      <c r="G426" s="7">
        <v>464</v>
      </c>
      <c r="H426" s="7">
        <v>123.8056770799365</v>
      </c>
      <c r="I426">
        <f t="shared" si="12"/>
        <v>2.2778572469299041E-5</v>
      </c>
      <c r="J426">
        <f t="shared" si="13"/>
        <v>1.8398649404899113E-3</v>
      </c>
    </row>
    <row r="427" spans="1:12" hidden="1" x14ac:dyDescent="0.3">
      <c r="A427" t="s">
        <v>605</v>
      </c>
      <c r="B427" t="s">
        <v>615</v>
      </c>
      <c r="C427" t="s">
        <v>350</v>
      </c>
      <c r="D427" s="7">
        <v>0.6638483458178237</v>
      </c>
      <c r="E427" s="7">
        <v>6882</v>
      </c>
      <c r="F427" s="7">
        <v>496641.046875</v>
      </c>
      <c r="G427" s="7">
        <v>4104</v>
      </c>
      <c r="H427" s="7">
        <v>116.73187669602289</v>
      </c>
      <c r="I427">
        <f t="shared" si="12"/>
        <v>9.6461544001427452E-5</v>
      </c>
      <c r="J427">
        <f t="shared" si="13"/>
        <v>8.2635135090494017E-3</v>
      </c>
    </row>
    <row r="428" spans="1:12" hidden="1" x14ac:dyDescent="0.3">
      <c r="A428" t="s">
        <v>605</v>
      </c>
      <c r="B428" t="s">
        <v>615</v>
      </c>
      <c r="C428" t="s">
        <v>615</v>
      </c>
      <c r="D428" s="7">
        <v>1.472909187058866</v>
      </c>
      <c r="E428" s="7">
        <v>79846</v>
      </c>
      <c r="F428" s="7">
        <v>10925573.53125</v>
      </c>
      <c r="G428" s="7">
        <v>18931</v>
      </c>
      <c r="H428" s="7">
        <v>106.4617241715294</v>
      </c>
      <c r="I428">
        <f t="shared" si="12"/>
        <v>1.844687507275087E-5</v>
      </c>
      <c r="J428">
        <f t="shared" si="13"/>
        <v>1.7327236822719087E-3</v>
      </c>
    </row>
    <row r="429" spans="1:12" hidden="1" x14ac:dyDescent="0.3">
      <c r="A429" t="s">
        <v>605</v>
      </c>
      <c r="B429" t="s">
        <v>84</v>
      </c>
      <c r="C429" t="s">
        <v>84</v>
      </c>
      <c r="D429" s="7">
        <v>1.5004689620968961</v>
      </c>
      <c r="E429" s="7">
        <v>17632</v>
      </c>
      <c r="F429" s="7">
        <v>541420.49595588236</v>
      </c>
      <c r="G429" s="7">
        <v>5847</v>
      </c>
      <c r="H429" s="7">
        <v>78.800148805981507</v>
      </c>
      <c r="I429">
        <f t="shared" si="12"/>
        <v>8.5099192496421058E-5</v>
      </c>
      <c r="J429">
        <f t="shared" si="13"/>
        <v>1.0799369517175505E-2</v>
      </c>
    </row>
    <row r="430" spans="1:12" hidden="1" x14ac:dyDescent="0.3">
      <c r="A430" t="s">
        <v>605</v>
      </c>
      <c r="B430" t="s">
        <v>658</v>
      </c>
      <c r="C430" t="s">
        <v>658</v>
      </c>
      <c r="D430" s="7">
        <v>1.301271010498418</v>
      </c>
      <c r="E430" s="7">
        <v>44989</v>
      </c>
      <c r="F430" s="7">
        <v>2249543.1831495101</v>
      </c>
      <c r="G430" s="7">
        <v>8861</v>
      </c>
      <c r="H430" s="7">
        <v>73.429912846563511</v>
      </c>
      <c r="I430">
        <f t="shared" si="12"/>
        <v>2.8924203927591589E-5</v>
      </c>
      <c r="J430">
        <f t="shared" si="13"/>
        <v>3.9390219607138236E-3</v>
      </c>
    </row>
    <row r="431" spans="1:12" hidden="1" x14ac:dyDescent="0.3">
      <c r="A431" t="s">
        <v>983</v>
      </c>
      <c r="B431" t="s">
        <v>984</v>
      </c>
      <c r="C431" t="s">
        <v>985</v>
      </c>
      <c r="D431" s="7">
        <v>4.1175950060035724</v>
      </c>
      <c r="E431" s="7">
        <v>391033</v>
      </c>
      <c r="F431" s="7">
        <v>727443.44448529417</v>
      </c>
      <c r="G431" s="7">
        <v>3071</v>
      </c>
      <c r="H431" s="7">
        <v>24.943054560939661</v>
      </c>
      <c r="I431">
        <f t="shared" si="12"/>
        <v>1.0530044794182517E-5</v>
      </c>
      <c r="J431">
        <f t="shared" si="13"/>
        <v>4.2216340298081865E-3</v>
      </c>
    </row>
    <row r="432" spans="1:12" hidden="1" x14ac:dyDescent="0.3">
      <c r="A432" t="s">
        <v>184</v>
      </c>
      <c r="B432" t="s">
        <v>185</v>
      </c>
      <c r="C432" t="s">
        <v>193</v>
      </c>
      <c r="D432" s="7">
        <v>1.673393915534173</v>
      </c>
      <c r="E432" s="7">
        <v>15590</v>
      </c>
      <c r="F432" s="7">
        <v>8763.7433823529409</v>
      </c>
      <c r="G432" s="7">
        <v>537</v>
      </c>
      <c r="H432" s="7">
        <v>17.517310854774021</v>
      </c>
      <c r="I432">
        <f t="shared" si="12"/>
        <v>1.0733764692329525E-4</v>
      </c>
      <c r="J432">
        <f t="shared" si="13"/>
        <v>6.1275185337047504E-2</v>
      </c>
    </row>
    <row r="433" spans="1:15" hidden="1" x14ac:dyDescent="0.3">
      <c r="A433" t="s">
        <v>915</v>
      </c>
      <c r="B433" t="s">
        <v>924</v>
      </c>
      <c r="C433" t="s">
        <v>924</v>
      </c>
      <c r="D433" s="7">
        <v>0.68648751345152881</v>
      </c>
      <c r="E433" s="7">
        <v>3717</v>
      </c>
      <c r="F433" s="7">
        <v>973.8287990196078</v>
      </c>
      <c r="G433" s="7">
        <v>807</v>
      </c>
      <c r="H433" s="7">
        <v>2.228687412522921</v>
      </c>
      <c r="I433">
        <f t="shared" si="12"/>
        <v>1.8468859657022566E-4</v>
      </c>
      <c r="J433">
        <f t="shared" si="13"/>
        <v>0.82868775375347192</v>
      </c>
    </row>
    <row r="435" spans="1:15" x14ac:dyDescent="0.3">
      <c r="G435" s="7" t="s">
        <v>1009</v>
      </c>
    </row>
    <row r="436" spans="1:15" x14ac:dyDescent="0.3">
      <c r="D436" s="10">
        <f>D166*10000/E166</f>
        <v>4.7940976252715988</v>
      </c>
      <c r="F436" s="11"/>
      <c r="G436" s="14">
        <f>G166/F166*1000</f>
        <v>2.8169323239706376E-2</v>
      </c>
      <c r="H436" s="2">
        <f>1/G436</f>
        <v>35.499610391436001</v>
      </c>
      <c r="I436" s="12">
        <f>H436*D436</f>
        <v>170.18859787565029</v>
      </c>
      <c r="O436" t="s">
        <v>1014</v>
      </c>
    </row>
    <row r="437" spans="1:15" x14ac:dyDescent="0.3">
      <c r="D437" s="10">
        <f>D401*10000/E401</f>
        <v>0.19154241671631936</v>
      </c>
      <c r="E437" s="10"/>
      <c r="G437" s="15">
        <f>G401/F401*1000</f>
        <v>0.20288826619665717</v>
      </c>
      <c r="H437" s="2">
        <f>1/G437</f>
        <v>4.9288212608151127</v>
      </c>
    </row>
    <row r="438" spans="1:15" x14ac:dyDescent="0.3">
      <c r="D438" s="10">
        <f>D418*10000/E418</f>
        <v>0.38228630349409726</v>
      </c>
    </row>
    <row r="442" spans="1:15" x14ac:dyDescent="0.3">
      <c r="C442" s="13"/>
    </row>
    <row r="443" spans="1:15" x14ac:dyDescent="0.3">
      <c r="B443" s="13">
        <v>0.6</v>
      </c>
      <c r="J443" s="2"/>
    </row>
    <row r="444" spans="1:15" x14ac:dyDescent="0.3">
      <c r="C444" s="13"/>
      <c r="G444" s="7" t="s">
        <v>1010</v>
      </c>
      <c r="I444" s="7" t="s">
        <v>1010</v>
      </c>
      <c r="J444" t="b">
        <f>I166&gt;I401</f>
        <v>1</v>
      </c>
    </row>
    <row r="445" spans="1:15" x14ac:dyDescent="0.3">
      <c r="F445" s="7" t="s">
        <v>6</v>
      </c>
      <c r="G445" s="9" t="s">
        <v>1008</v>
      </c>
      <c r="H445" s="7" t="s">
        <v>1011</v>
      </c>
      <c r="I445" s="9" t="s">
        <v>3</v>
      </c>
    </row>
    <row r="446" spans="1:15" x14ac:dyDescent="0.3">
      <c r="G446" s="7" t="s">
        <v>2</v>
      </c>
      <c r="I446" s="7" t="s">
        <v>4</v>
      </c>
    </row>
    <row r="447" spans="1:15" x14ac:dyDescent="0.3">
      <c r="B447" t="s">
        <v>1013</v>
      </c>
    </row>
    <row r="448" spans="1:15" x14ac:dyDescent="0.3">
      <c r="G448" s="7" t="s">
        <v>1012</v>
      </c>
    </row>
  </sheetData>
  <autoFilter ref="A1:J433" xr:uid="{71ED1BA4-3BB6-45E7-9924-590D8CE49D50}">
    <filterColumn colId="2">
      <filters>
        <filter val="Puerto Quito"/>
        <filter val="Quito"/>
        <filter val="Santiago de Quito"/>
      </filters>
    </filterColumn>
  </autoFilter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4385-D2B3-4D93-BACF-21AF88A7A572}">
  <dimension ref="A1:E433"/>
  <sheetViews>
    <sheetView workbookViewId="0">
      <selection activeCell="B2" sqref="B2"/>
    </sheetView>
  </sheetViews>
  <sheetFormatPr baseColWidth="10" defaultRowHeight="14.4" x14ac:dyDescent="0.3"/>
  <cols>
    <col min="3" max="3" width="37.6640625" bestFit="1" customWidth="1"/>
    <col min="4" max="4" width="14.44140625" bestFit="1" customWidth="1"/>
  </cols>
  <sheetData>
    <row r="1" spans="1:5" x14ac:dyDescent="0.3">
      <c r="A1" s="1" t="s">
        <v>7</v>
      </c>
      <c r="B1" s="1" t="s">
        <v>8</v>
      </c>
      <c r="C1" s="1" t="s">
        <v>9</v>
      </c>
      <c r="D1" s="1" t="s">
        <v>6</v>
      </c>
      <c r="E1" s="5" t="s">
        <v>1005</v>
      </c>
    </row>
    <row r="2" spans="1:5" x14ac:dyDescent="0.3">
      <c r="A2" t="s">
        <v>645</v>
      </c>
      <c r="B2" t="s">
        <v>810</v>
      </c>
      <c r="C2" t="s">
        <v>812</v>
      </c>
      <c r="D2" s="2">
        <v>249483315.1045115</v>
      </c>
      <c r="E2">
        <v>1</v>
      </c>
    </row>
    <row r="3" spans="1:5" x14ac:dyDescent="0.3">
      <c r="A3" t="s">
        <v>645</v>
      </c>
      <c r="B3" t="s">
        <v>810</v>
      </c>
      <c r="C3" t="s">
        <v>813</v>
      </c>
      <c r="D3" s="2">
        <v>47091595.016204849</v>
      </c>
      <c r="E3">
        <v>2</v>
      </c>
    </row>
    <row r="4" spans="1:5" x14ac:dyDescent="0.3">
      <c r="A4" t="s">
        <v>225</v>
      </c>
      <c r="B4" t="s">
        <v>262</v>
      </c>
      <c r="C4" t="s">
        <v>38</v>
      </c>
      <c r="D4" s="2">
        <v>44527393.227291971</v>
      </c>
      <c r="E4">
        <v>3</v>
      </c>
    </row>
    <row r="5" spans="1:5" x14ac:dyDescent="0.3">
      <c r="A5" t="s">
        <v>453</v>
      </c>
      <c r="B5" t="s">
        <v>461</v>
      </c>
      <c r="C5" t="s">
        <v>463</v>
      </c>
      <c r="D5" s="2">
        <v>35570662.134765863</v>
      </c>
      <c r="E5">
        <v>4</v>
      </c>
    </row>
    <row r="6" spans="1:5" x14ac:dyDescent="0.3">
      <c r="A6" t="s">
        <v>117</v>
      </c>
      <c r="B6" t="s">
        <v>126</v>
      </c>
      <c r="C6" t="s">
        <v>128</v>
      </c>
      <c r="D6" s="2">
        <v>34377227.587594032</v>
      </c>
      <c r="E6">
        <v>5</v>
      </c>
    </row>
    <row r="7" spans="1:5" x14ac:dyDescent="0.3">
      <c r="A7" t="s">
        <v>915</v>
      </c>
      <c r="B7" t="s">
        <v>935</v>
      </c>
      <c r="C7" t="s">
        <v>938</v>
      </c>
      <c r="D7" s="2">
        <v>24751947.689971171</v>
      </c>
      <c r="E7">
        <v>6</v>
      </c>
    </row>
    <row r="8" spans="1:5" x14ac:dyDescent="0.3">
      <c r="A8" t="s">
        <v>933</v>
      </c>
      <c r="B8" t="s">
        <v>933</v>
      </c>
      <c r="C8" t="s">
        <v>288</v>
      </c>
      <c r="D8" s="2">
        <v>24344240.149060301</v>
      </c>
      <c r="E8">
        <v>7</v>
      </c>
    </row>
    <row r="9" spans="1:5" x14ac:dyDescent="0.3">
      <c r="A9" t="s">
        <v>667</v>
      </c>
      <c r="B9" t="s">
        <v>691</v>
      </c>
      <c r="C9" t="s">
        <v>279</v>
      </c>
      <c r="D9" s="2">
        <v>19569818.319024932</v>
      </c>
      <c r="E9">
        <v>8</v>
      </c>
    </row>
    <row r="10" spans="1:5" x14ac:dyDescent="0.3">
      <c r="A10" t="s">
        <v>225</v>
      </c>
      <c r="B10" t="s">
        <v>226</v>
      </c>
      <c r="C10" t="s">
        <v>229</v>
      </c>
      <c r="D10" s="2">
        <v>17547232.169040781</v>
      </c>
      <c r="E10">
        <v>9</v>
      </c>
    </row>
    <row r="11" spans="1:5" x14ac:dyDescent="0.3">
      <c r="A11" t="s">
        <v>13</v>
      </c>
      <c r="B11" t="s">
        <v>52</v>
      </c>
      <c r="C11" t="s">
        <v>55</v>
      </c>
      <c r="D11" s="2">
        <v>13316603.21334872</v>
      </c>
      <c r="E11">
        <v>10</v>
      </c>
    </row>
    <row r="12" spans="1:5" x14ac:dyDescent="0.3">
      <c r="A12" t="s">
        <v>645</v>
      </c>
      <c r="B12" t="s">
        <v>796</v>
      </c>
      <c r="C12" t="s">
        <v>799</v>
      </c>
      <c r="D12" s="2">
        <v>13235039.08162082</v>
      </c>
      <c r="E12">
        <v>11</v>
      </c>
    </row>
    <row r="13" spans="1:5" x14ac:dyDescent="0.3">
      <c r="A13" t="s">
        <v>13</v>
      </c>
      <c r="B13" t="s">
        <v>14</v>
      </c>
      <c r="C13" t="s">
        <v>20</v>
      </c>
      <c r="D13" s="2">
        <v>12848602.20556514</v>
      </c>
      <c r="E13">
        <v>12</v>
      </c>
    </row>
    <row r="14" spans="1:5" x14ac:dyDescent="0.3">
      <c r="A14" t="s">
        <v>149</v>
      </c>
      <c r="B14" t="s">
        <v>150</v>
      </c>
      <c r="C14" t="s">
        <v>151</v>
      </c>
      <c r="D14" s="2">
        <v>9435251.3171798792</v>
      </c>
      <c r="E14">
        <v>13</v>
      </c>
    </row>
    <row r="15" spans="1:5" x14ac:dyDescent="0.3">
      <c r="A15" t="s">
        <v>117</v>
      </c>
      <c r="B15" t="s">
        <v>118</v>
      </c>
      <c r="C15" t="s">
        <v>119</v>
      </c>
      <c r="D15" s="2">
        <v>9231323.6822258886</v>
      </c>
      <c r="E15">
        <v>14</v>
      </c>
    </row>
    <row r="16" spans="1:5" x14ac:dyDescent="0.3">
      <c r="A16" t="s">
        <v>225</v>
      </c>
      <c r="B16" t="s">
        <v>237</v>
      </c>
      <c r="C16" t="s">
        <v>239</v>
      </c>
      <c r="D16" s="2">
        <v>8702281.5146605577</v>
      </c>
      <c r="E16">
        <v>15</v>
      </c>
    </row>
    <row r="17" spans="1:5" x14ac:dyDescent="0.3">
      <c r="A17" t="s">
        <v>117</v>
      </c>
      <c r="B17" t="s">
        <v>146</v>
      </c>
      <c r="C17" t="s">
        <v>147</v>
      </c>
      <c r="D17" s="2">
        <v>8141181.9957461478</v>
      </c>
      <c r="E17">
        <v>16</v>
      </c>
    </row>
    <row r="18" spans="1:5" x14ac:dyDescent="0.3">
      <c r="A18" t="s">
        <v>667</v>
      </c>
      <c r="B18" t="s">
        <v>720</v>
      </c>
      <c r="C18" t="s">
        <v>720</v>
      </c>
      <c r="D18" s="2">
        <v>6598613.2008125689</v>
      </c>
      <c r="E18">
        <v>17</v>
      </c>
    </row>
    <row r="19" spans="1:5" x14ac:dyDescent="0.3">
      <c r="A19" t="s">
        <v>225</v>
      </c>
      <c r="B19" t="s">
        <v>226</v>
      </c>
      <c r="C19" t="s">
        <v>231</v>
      </c>
      <c r="D19" s="2">
        <v>6574063.2677985635</v>
      </c>
      <c r="E19">
        <v>18</v>
      </c>
    </row>
    <row r="20" spans="1:5" x14ac:dyDescent="0.3">
      <c r="A20" t="s">
        <v>117</v>
      </c>
      <c r="B20" t="s">
        <v>118</v>
      </c>
      <c r="C20" t="s">
        <v>122</v>
      </c>
      <c r="D20" s="2">
        <v>6392818.6393326577</v>
      </c>
      <c r="E20">
        <v>19</v>
      </c>
    </row>
    <row r="21" spans="1:5" x14ac:dyDescent="0.3">
      <c r="A21" t="s">
        <v>13</v>
      </c>
      <c r="B21" t="s">
        <v>62</v>
      </c>
      <c r="C21" t="s">
        <v>63</v>
      </c>
      <c r="D21" s="2">
        <v>6023602.8154392662</v>
      </c>
      <c r="E21">
        <v>20</v>
      </c>
    </row>
    <row r="22" spans="1:5" x14ac:dyDescent="0.3">
      <c r="A22" t="s">
        <v>823</v>
      </c>
      <c r="B22" t="s">
        <v>848</v>
      </c>
      <c r="C22" t="s">
        <v>849</v>
      </c>
      <c r="D22" s="2">
        <v>5143589.4972038362</v>
      </c>
      <c r="E22">
        <v>21</v>
      </c>
    </row>
    <row r="23" spans="1:5" x14ac:dyDescent="0.3">
      <c r="A23" t="s">
        <v>645</v>
      </c>
      <c r="B23" t="s">
        <v>796</v>
      </c>
      <c r="C23" t="s">
        <v>800</v>
      </c>
      <c r="D23" s="2">
        <v>4893949.0342930751</v>
      </c>
      <c r="E23">
        <v>22</v>
      </c>
    </row>
    <row r="24" spans="1:5" x14ac:dyDescent="0.3">
      <c r="A24" t="s">
        <v>225</v>
      </c>
      <c r="B24" t="s">
        <v>226</v>
      </c>
      <c r="C24" t="s">
        <v>227</v>
      </c>
      <c r="D24" s="2">
        <v>4892664.00238322</v>
      </c>
      <c r="E24">
        <v>23</v>
      </c>
    </row>
    <row r="25" spans="1:5" x14ac:dyDescent="0.3">
      <c r="A25" t="s">
        <v>645</v>
      </c>
      <c r="B25" t="s">
        <v>765</v>
      </c>
      <c r="C25" t="s">
        <v>776</v>
      </c>
      <c r="D25" s="2">
        <v>4791126.3798706802</v>
      </c>
      <c r="E25">
        <v>24</v>
      </c>
    </row>
    <row r="26" spans="1:5" x14ac:dyDescent="0.3">
      <c r="A26" t="s">
        <v>915</v>
      </c>
      <c r="B26" t="s">
        <v>916</v>
      </c>
      <c r="C26" t="s">
        <v>919</v>
      </c>
      <c r="D26" s="2">
        <v>4223465.3352645729</v>
      </c>
      <c r="E26">
        <v>25</v>
      </c>
    </row>
    <row r="27" spans="1:5" x14ac:dyDescent="0.3">
      <c r="A27" t="s">
        <v>13</v>
      </c>
      <c r="B27" t="s">
        <v>78</v>
      </c>
      <c r="C27" t="s">
        <v>78</v>
      </c>
      <c r="D27" s="2">
        <v>4124086.2055260292</v>
      </c>
      <c r="E27">
        <v>26</v>
      </c>
    </row>
    <row r="28" spans="1:5" x14ac:dyDescent="0.3">
      <c r="A28" t="s">
        <v>117</v>
      </c>
      <c r="B28" t="s">
        <v>142</v>
      </c>
      <c r="C28" t="s">
        <v>143</v>
      </c>
      <c r="D28" s="2">
        <v>3799920.8055173028</v>
      </c>
      <c r="E28">
        <v>27</v>
      </c>
    </row>
    <row r="29" spans="1:5" x14ac:dyDescent="0.3">
      <c r="A29" t="s">
        <v>280</v>
      </c>
      <c r="B29" t="s">
        <v>281</v>
      </c>
      <c r="C29" t="s">
        <v>282</v>
      </c>
      <c r="D29" s="2">
        <v>3673617.2664365168</v>
      </c>
      <c r="E29">
        <v>28</v>
      </c>
    </row>
    <row r="30" spans="1:5" x14ac:dyDescent="0.3">
      <c r="A30" t="s">
        <v>645</v>
      </c>
      <c r="B30" t="s">
        <v>765</v>
      </c>
      <c r="C30" t="s">
        <v>778</v>
      </c>
      <c r="D30" s="2">
        <v>3208227.0287158559</v>
      </c>
      <c r="E30">
        <v>29</v>
      </c>
    </row>
    <row r="31" spans="1:5" x14ac:dyDescent="0.3">
      <c r="A31" t="s">
        <v>225</v>
      </c>
      <c r="B31" t="s">
        <v>226</v>
      </c>
      <c r="C31" t="s">
        <v>234</v>
      </c>
      <c r="D31" s="2">
        <v>3012184.6659182659</v>
      </c>
      <c r="E31">
        <v>30</v>
      </c>
    </row>
    <row r="32" spans="1:5" x14ac:dyDescent="0.3">
      <c r="A32" t="s">
        <v>823</v>
      </c>
      <c r="B32" t="s">
        <v>845</v>
      </c>
      <c r="C32" t="s">
        <v>846</v>
      </c>
      <c r="D32" s="2">
        <v>2872653.562522986</v>
      </c>
      <c r="E32">
        <v>31</v>
      </c>
    </row>
    <row r="33" spans="1:5" x14ac:dyDescent="0.3">
      <c r="A33" t="s">
        <v>13</v>
      </c>
      <c r="B33" t="s">
        <v>52</v>
      </c>
      <c r="C33" t="s">
        <v>57</v>
      </c>
      <c r="D33" s="2">
        <v>2636241.424757231</v>
      </c>
      <c r="E33">
        <v>32</v>
      </c>
    </row>
    <row r="34" spans="1:5" x14ac:dyDescent="0.3">
      <c r="A34" t="s">
        <v>341</v>
      </c>
      <c r="B34" t="s">
        <v>350</v>
      </c>
      <c r="C34" t="s">
        <v>353</v>
      </c>
      <c r="D34" s="2">
        <v>2598119.1622257489</v>
      </c>
      <c r="E34">
        <v>33</v>
      </c>
    </row>
    <row r="35" spans="1:5" x14ac:dyDescent="0.3">
      <c r="A35" t="s">
        <v>13</v>
      </c>
      <c r="B35" t="s">
        <v>52</v>
      </c>
      <c r="C35" t="s">
        <v>52</v>
      </c>
      <c r="D35" s="2">
        <v>2552097.8897300749</v>
      </c>
      <c r="E35">
        <v>34</v>
      </c>
    </row>
    <row r="36" spans="1:5" x14ac:dyDescent="0.3">
      <c r="A36" t="s">
        <v>280</v>
      </c>
      <c r="B36" t="s">
        <v>312</v>
      </c>
      <c r="C36" t="s">
        <v>312</v>
      </c>
      <c r="D36" s="2">
        <v>2431633.4838265372</v>
      </c>
      <c r="E36">
        <v>35</v>
      </c>
    </row>
    <row r="37" spans="1:5" x14ac:dyDescent="0.3">
      <c r="A37" t="s">
        <v>13</v>
      </c>
      <c r="B37" t="s">
        <v>14</v>
      </c>
      <c r="C37" t="s">
        <v>28</v>
      </c>
      <c r="D37" s="2">
        <v>2412515.1136580789</v>
      </c>
      <c r="E37">
        <v>36</v>
      </c>
    </row>
    <row r="38" spans="1:5" x14ac:dyDescent="0.3">
      <c r="A38" t="s">
        <v>225</v>
      </c>
      <c r="B38" t="s">
        <v>226</v>
      </c>
      <c r="C38" t="s">
        <v>228</v>
      </c>
      <c r="D38" s="2">
        <v>2268870.14357448</v>
      </c>
      <c r="E38">
        <v>37</v>
      </c>
    </row>
    <row r="39" spans="1:5" x14ac:dyDescent="0.3">
      <c r="A39" t="s">
        <v>13</v>
      </c>
      <c r="B39" t="s">
        <v>52</v>
      </c>
      <c r="C39" t="s">
        <v>59</v>
      </c>
      <c r="D39" s="2">
        <v>2259319.2413411969</v>
      </c>
      <c r="E39">
        <v>38</v>
      </c>
    </row>
    <row r="40" spans="1:5" x14ac:dyDescent="0.3">
      <c r="A40" t="s">
        <v>492</v>
      </c>
      <c r="B40" t="s">
        <v>550</v>
      </c>
      <c r="C40" t="s">
        <v>551</v>
      </c>
      <c r="D40" s="2">
        <v>2253187.2877326282</v>
      </c>
      <c r="E40">
        <v>39</v>
      </c>
    </row>
    <row r="41" spans="1:5" x14ac:dyDescent="0.3">
      <c r="A41" t="s">
        <v>645</v>
      </c>
      <c r="B41" t="s">
        <v>765</v>
      </c>
      <c r="C41" t="s">
        <v>795</v>
      </c>
      <c r="D41" s="2">
        <v>2199782.5651710788</v>
      </c>
      <c r="E41">
        <v>40</v>
      </c>
    </row>
    <row r="42" spans="1:5" x14ac:dyDescent="0.3">
      <c r="A42" t="s">
        <v>723</v>
      </c>
      <c r="B42" t="s">
        <v>736</v>
      </c>
      <c r="C42" t="s">
        <v>736</v>
      </c>
      <c r="D42" s="2">
        <v>2109912.613165603</v>
      </c>
      <c r="E42">
        <v>41</v>
      </c>
    </row>
    <row r="43" spans="1:5" x14ac:dyDescent="0.3">
      <c r="A43" t="s">
        <v>13</v>
      </c>
      <c r="B43" t="s">
        <v>14</v>
      </c>
      <c r="C43" t="s">
        <v>26</v>
      </c>
      <c r="D43" s="2">
        <v>2033008.5683571701</v>
      </c>
      <c r="E43">
        <v>42</v>
      </c>
    </row>
    <row r="44" spans="1:5" x14ac:dyDescent="0.3">
      <c r="A44" t="s">
        <v>453</v>
      </c>
      <c r="B44" t="s">
        <v>454</v>
      </c>
      <c r="C44" t="s">
        <v>138</v>
      </c>
      <c r="D44" s="2">
        <v>1983295.0476341981</v>
      </c>
      <c r="E44">
        <v>43</v>
      </c>
    </row>
    <row r="45" spans="1:5" x14ac:dyDescent="0.3">
      <c r="A45" t="s">
        <v>117</v>
      </c>
      <c r="B45" t="s">
        <v>118</v>
      </c>
      <c r="C45" t="s">
        <v>121</v>
      </c>
      <c r="D45" s="2">
        <v>1877546.9217146609</v>
      </c>
      <c r="E45">
        <v>44</v>
      </c>
    </row>
    <row r="46" spans="1:5" x14ac:dyDescent="0.3">
      <c r="A46" t="s">
        <v>117</v>
      </c>
      <c r="B46" t="s">
        <v>118</v>
      </c>
      <c r="C46" t="s">
        <v>109</v>
      </c>
      <c r="D46" s="2">
        <v>1733860.0963078879</v>
      </c>
      <c r="E46">
        <v>45</v>
      </c>
    </row>
    <row r="47" spans="1:5" x14ac:dyDescent="0.3">
      <c r="A47" t="s">
        <v>117</v>
      </c>
      <c r="B47" t="s">
        <v>118</v>
      </c>
      <c r="C47" t="s">
        <v>120</v>
      </c>
      <c r="D47" s="2">
        <v>1714528.2543732871</v>
      </c>
      <c r="E47">
        <v>46</v>
      </c>
    </row>
    <row r="48" spans="1:5" x14ac:dyDescent="0.3">
      <c r="A48" t="s">
        <v>13</v>
      </c>
      <c r="B48" t="s">
        <v>64</v>
      </c>
      <c r="C48" t="s">
        <v>64</v>
      </c>
      <c r="D48" s="2">
        <v>1681299.3035915571</v>
      </c>
      <c r="E48">
        <v>47</v>
      </c>
    </row>
    <row r="49" spans="1:5" x14ac:dyDescent="0.3">
      <c r="A49" t="s">
        <v>149</v>
      </c>
      <c r="B49" t="s">
        <v>90</v>
      </c>
      <c r="C49" t="s">
        <v>163</v>
      </c>
      <c r="D49" s="2">
        <v>1652803.2860778</v>
      </c>
      <c r="E49">
        <v>48</v>
      </c>
    </row>
    <row r="50" spans="1:5" x14ac:dyDescent="0.3">
      <c r="A50" t="s">
        <v>184</v>
      </c>
      <c r="B50" t="s">
        <v>211</v>
      </c>
      <c r="C50" t="s">
        <v>216</v>
      </c>
      <c r="D50" s="2">
        <v>1619053.157664431</v>
      </c>
      <c r="E50">
        <v>49</v>
      </c>
    </row>
    <row r="51" spans="1:5" x14ac:dyDescent="0.3">
      <c r="A51" t="s">
        <v>453</v>
      </c>
      <c r="B51" t="s">
        <v>466</v>
      </c>
      <c r="C51" t="s">
        <v>471</v>
      </c>
      <c r="D51" s="2">
        <v>1614195.7713815919</v>
      </c>
      <c r="E51">
        <v>50</v>
      </c>
    </row>
    <row r="52" spans="1:5" x14ac:dyDescent="0.3">
      <c r="A52" t="s">
        <v>492</v>
      </c>
      <c r="B52" t="s">
        <v>550</v>
      </c>
      <c r="C52" t="s">
        <v>552</v>
      </c>
      <c r="D52" s="2">
        <v>1603623.2814615311</v>
      </c>
      <c r="E52">
        <v>51</v>
      </c>
    </row>
    <row r="53" spans="1:5" x14ac:dyDescent="0.3">
      <c r="A53" t="s">
        <v>13</v>
      </c>
      <c r="B53" t="s">
        <v>39</v>
      </c>
      <c r="C53" t="s">
        <v>44</v>
      </c>
      <c r="D53" s="2">
        <v>1601315.875397892</v>
      </c>
      <c r="E53">
        <v>52</v>
      </c>
    </row>
    <row r="54" spans="1:5" x14ac:dyDescent="0.3">
      <c r="A54" t="s">
        <v>492</v>
      </c>
      <c r="B54" t="s">
        <v>550</v>
      </c>
      <c r="C54" t="s">
        <v>555</v>
      </c>
      <c r="D54" s="2">
        <v>1574525.19288116</v>
      </c>
      <c r="E54">
        <v>53</v>
      </c>
    </row>
    <row r="55" spans="1:5" x14ac:dyDescent="0.3">
      <c r="A55" t="s">
        <v>933</v>
      </c>
      <c r="B55" t="s">
        <v>933</v>
      </c>
      <c r="C55" t="s">
        <v>998</v>
      </c>
      <c r="D55" s="2">
        <v>1570421.508995703</v>
      </c>
      <c r="E55">
        <v>54</v>
      </c>
    </row>
    <row r="56" spans="1:5" x14ac:dyDescent="0.3">
      <c r="A56" t="s">
        <v>645</v>
      </c>
      <c r="B56" t="s">
        <v>810</v>
      </c>
      <c r="C56" t="s">
        <v>459</v>
      </c>
      <c r="D56" s="2">
        <v>1547807.760276526</v>
      </c>
      <c r="E56">
        <v>55</v>
      </c>
    </row>
    <row r="57" spans="1:5" x14ac:dyDescent="0.3">
      <c r="A57" t="s">
        <v>399</v>
      </c>
      <c r="B57" t="s">
        <v>291</v>
      </c>
      <c r="C57" t="s">
        <v>420</v>
      </c>
      <c r="D57" s="2">
        <v>1525618.3186049231</v>
      </c>
      <c r="E57">
        <v>56</v>
      </c>
    </row>
    <row r="58" spans="1:5" x14ac:dyDescent="0.3">
      <c r="A58" t="s">
        <v>13</v>
      </c>
      <c r="B58" t="s">
        <v>52</v>
      </c>
      <c r="C58" t="s">
        <v>54</v>
      </c>
      <c r="D58" s="2">
        <v>1499185.8129248109</v>
      </c>
      <c r="E58">
        <v>57</v>
      </c>
    </row>
    <row r="59" spans="1:5" x14ac:dyDescent="0.3">
      <c r="A59" t="s">
        <v>933</v>
      </c>
      <c r="B59" t="s">
        <v>94</v>
      </c>
      <c r="C59" t="s">
        <v>1002</v>
      </c>
      <c r="D59" s="2">
        <v>1472746.8402733931</v>
      </c>
      <c r="E59">
        <v>58</v>
      </c>
    </row>
    <row r="60" spans="1:5" x14ac:dyDescent="0.3">
      <c r="A60" t="s">
        <v>723</v>
      </c>
      <c r="B60" t="s">
        <v>736</v>
      </c>
      <c r="C60" t="s">
        <v>738</v>
      </c>
      <c r="D60" s="2">
        <v>1420786.392007319</v>
      </c>
      <c r="E60">
        <v>59</v>
      </c>
    </row>
    <row r="61" spans="1:5" x14ac:dyDescent="0.3">
      <c r="A61" t="s">
        <v>645</v>
      </c>
      <c r="B61" t="s">
        <v>765</v>
      </c>
      <c r="C61" t="s">
        <v>773</v>
      </c>
      <c r="D61" s="2">
        <v>1411273.3929823141</v>
      </c>
      <c r="E61">
        <v>60</v>
      </c>
    </row>
    <row r="62" spans="1:5" x14ac:dyDescent="0.3">
      <c r="A62" t="s">
        <v>184</v>
      </c>
      <c r="B62" t="s">
        <v>204</v>
      </c>
      <c r="C62" t="s">
        <v>206</v>
      </c>
      <c r="D62" s="2">
        <v>1370081.9483392159</v>
      </c>
      <c r="E62">
        <v>61</v>
      </c>
    </row>
    <row r="63" spans="1:5" x14ac:dyDescent="0.3">
      <c r="A63" t="s">
        <v>723</v>
      </c>
      <c r="B63" t="s">
        <v>741</v>
      </c>
      <c r="C63" t="s">
        <v>746</v>
      </c>
      <c r="D63" s="2">
        <v>1328402.4278027511</v>
      </c>
      <c r="E63">
        <v>62</v>
      </c>
    </row>
    <row r="64" spans="1:5" x14ac:dyDescent="0.3">
      <c r="A64" t="s">
        <v>117</v>
      </c>
      <c r="B64" t="s">
        <v>126</v>
      </c>
      <c r="C64" t="s">
        <v>129</v>
      </c>
      <c r="D64" s="2">
        <v>1268047.3905849941</v>
      </c>
      <c r="E64">
        <v>63</v>
      </c>
    </row>
    <row r="65" spans="1:5" x14ac:dyDescent="0.3">
      <c r="A65" t="s">
        <v>453</v>
      </c>
      <c r="B65" t="s">
        <v>454</v>
      </c>
      <c r="C65" t="s">
        <v>456</v>
      </c>
      <c r="D65" s="2">
        <v>1232629.339898135</v>
      </c>
      <c r="E65">
        <v>64</v>
      </c>
    </row>
    <row r="66" spans="1:5" x14ac:dyDescent="0.3">
      <c r="A66" t="s">
        <v>453</v>
      </c>
      <c r="B66" t="s">
        <v>461</v>
      </c>
      <c r="C66" t="s">
        <v>462</v>
      </c>
      <c r="D66" s="2">
        <v>1195624.1958637191</v>
      </c>
      <c r="E66">
        <v>65</v>
      </c>
    </row>
    <row r="67" spans="1:5" x14ac:dyDescent="0.3">
      <c r="A67" t="s">
        <v>579</v>
      </c>
      <c r="B67" t="s">
        <v>584</v>
      </c>
      <c r="C67" t="s">
        <v>584</v>
      </c>
      <c r="D67" s="2">
        <v>1191973.6927723819</v>
      </c>
      <c r="E67">
        <v>66</v>
      </c>
    </row>
    <row r="68" spans="1:5" x14ac:dyDescent="0.3">
      <c r="A68" t="s">
        <v>667</v>
      </c>
      <c r="B68" t="s">
        <v>114</v>
      </c>
      <c r="C68" t="s">
        <v>695</v>
      </c>
      <c r="D68" s="2">
        <v>1177805.8512893971</v>
      </c>
      <c r="E68">
        <v>67</v>
      </c>
    </row>
    <row r="69" spans="1:5" x14ac:dyDescent="0.3">
      <c r="A69" t="s">
        <v>867</v>
      </c>
      <c r="B69" t="s">
        <v>891</v>
      </c>
      <c r="C69" t="s">
        <v>893</v>
      </c>
      <c r="D69" s="2">
        <v>1163387.7441141531</v>
      </c>
      <c r="E69">
        <v>68</v>
      </c>
    </row>
    <row r="70" spans="1:5" x14ac:dyDescent="0.3">
      <c r="A70" t="s">
        <v>645</v>
      </c>
      <c r="B70" t="s">
        <v>765</v>
      </c>
      <c r="C70" t="s">
        <v>789</v>
      </c>
      <c r="D70" s="2">
        <v>1155078.5647270209</v>
      </c>
      <c r="E70">
        <v>69</v>
      </c>
    </row>
    <row r="71" spans="1:5" x14ac:dyDescent="0.3">
      <c r="A71" t="s">
        <v>453</v>
      </c>
      <c r="B71" t="s">
        <v>474</v>
      </c>
      <c r="C71" t="s">
        <v>475</v>
      </c>
      <c r="D71" s="2">
        <v>1154014.34042138</v>
      </c>
      <c r="E71">
        <v>70</v>
      </c>
    </row>
    <row r="72" spans="1:5" x14ac:dyDescent="0.3">
      <c r="A72" t="s">
        <v>645</v>
      </c>
      <c r="B72" t="s">
        <v>765</v>
      </c>
      <c r="C72" t="s">
        <v>18</v>
      </c>
      <c r="D72" s="2">
        <v>1141239.3355253041</v>
      </c>
      <c r="E72">
        <v>71</v>
      </c>
    </row>
    <row r="73" spans="1:5" x14ac:dyDescent="0.3">
      <c r="A73" t="s">
        <v>117</v>
      </c>
      <c r="B73" t="s">
        <v>117</v>
      </c>
      <c r="C73" t="s">
        <v>117</v>
      </c>
      <c r="D73" s="2">
        <v>1129922.9556225131</v>
      </c>
      <c r="E73">
        <v>72</v>
      </c>
    </row>
    <row r="74" spans="1:5" x14ac:dyDescent="0.3">
      <c r="A74" t="s">
        <v>149</v>
      </c>
      <c r="B74" t="s">
        <v>150</v>
      </c>
      <c r="C74" t="s">
        <v>152</v>
      </c>
      <c r="D74" s="2">
        <v>1128609.362609901</v>
      </c>
      <c r="E74">
        <v>73</v>
      </c>
    </row>
    <row r="75" spans="1:5" x14ac:dyDescent="0.3">
      <c r="A75" t="s">
        <v>952</v>
      </c>
      <c r="B75" t="s">
        <v>964</v>
      </c>
      <c r="C75" t="s">
        <v>969</v>
      </c>
      <c r="D75" s="2">
        <v>1127591.0962500379</v>
      </c>
      <c r="E75">
        <v>74</v>
      </c>
    </row>
    <row r="76" spans="1:5" x14ac:dyDescent="0.3">
      <c r="A76" t="s">
        <v>492</v>
      </c>
      <c r="B76" t="s">
        <v>492</v>
      </c>
      <c r="C76" t="s">
        <v>495</v>
      </c>
      <c r="D76" s="2">
        <v>1085948.6194961341</v>
      </c>
      <c r="E76">
        <v>75</v>
      </c>
    </row>
    <row r="77" spans="1:5" x14ac:dyDescent="0.3">
      <c r="A77" t="s">
        <v>90</v>
      </c>
      <c r="B77" t="s">
        <v>102</v>
      </c>
      <c r="C77" t="s">
        <v>103</v>
      </c>
      <c r="D77" s="2">
        <v>1079691.836967286</v>
      </c>
      <c r="E77">
        <v>76</v>
      </c>
    </row>
    <row r="78" spans="1:5" x14ac:dyDescent="0.3">
      <c r="A78" t="s">
        <v>13</v>
      </c>
      <c r="B78" t="s">
        <v>62</v>
      </c>
      <c r="C78" t="s">
        <v>62</v>
      </c>
      <c r="D78" s="2">
        <v>1027081.2119559631</v>
      </c>
      <c r="E78">
        <v>77</v>
      </c>
    </row>
    <row r="79" spans="1:5" x14ac:dyDescent="0.3">
      <c r="A79" t="s">
        <v>225</v>
      </c>
      <c r="B79" t="s">
        <v>237</v>
      </c>
      <c r="C79" t="s">
        <v>237</v>
      </c>
      <c r="D79" s="2">
        <v>975689.38460954104</v>
      </c>
      <c r="E79">
        <v>78</v>
      </c>
    </row>
    <row r="80" spans="1:5" x14ac:dyDescent="0.3">
      <c r="A80" t="s">
        <v>117</v>
      </c>
      <c r="B80" t="s">
        <v>126</v>
      </c>
      <c r="C80" t="s">
        <v>126</v>
      </c>
      <c r="D80" s="2">
        <v>933590.79434893501</v>
      </c>
      <c r="E80">
        <v>79</v>
      </c>
    </row>
    <row r="81" spans="1:5" x14ac:dyDescent="0.3">
      <c r="A81" t="s">
        <v>13</v>
      </c>
      <c r="B81" t="s">
        <v>39</v>
      </c>
      <c r="C81" t="s">
        <v>43</v>
      </c>
      <c r="D81" s="2">
        <v>918720.40698375076</v>
      </c>
      <c r="E81">
        <v>80</v>
      </c>
    </row>
    <row r="82" spans="1:5" x14ac:dyDescent="0.3">
      <c r="A82" t="s">
        <v>453</v>
      </c>
      <c r="B82" t="s">
        <v>454</v>
      </c>
      <c r="C82" t="s">
        <v>94</v>
      </c>
      <c r="D82" s="2">
        <v>899183.50879212038</v>
      </c>
      <c r="E82">
        <v>81</v>
      </c>
    </row>
    <row r="83" spans="1:5" x14ac:dyDescent="0.3">
      <c r="A83" t="s">
        <v>399</v>
      </c>
      <c r="B83" t="s">
        <v>447</v>
      </c>
      <c r="C83" t="s">
        <v>447</v>
      </c>
      <c r="D83" s="2">
        <v>877928.6015112293</v>
      </c>
      <c r="E83">
        <v>82</v>
      </c>
    </row>
    <row r="84" spans="1:5" x14ac:dyDescent="0.3">
      <c r="A84" t="s">
        <v>915</v>
      </c>
      <c r="B84" t="s">
        <v>928</v>
      </c>
      <c r="C84" t="s">
        <v>934</v>
      </c>
      <c r="D84" s="2">
        <v>874743.99091101834</v>
      </c>
      <c r="E84">
        <v>83</v>
      </c>
    </row>
    <row r="85" spans="1:5" x14ac:dyDescent="0.3">
      <c r="A85" t="s">
        <v>952</v>
      </c>
      <c r="B85" t="s">
        <v>970</v>
      </c>
      <c r="C85" t="s">
        <v>970</v>
      </c>
      <c r="D85" s="2">
        <v>852754.86533675657</v>
      </c>
      <c r="E85">
        <v>84</v>
      </c>
    </row>
    <row r="86" spans="1:5" x14ac:dyDescent="0.3">
      <c r="A86" t="s">
        <v>749</v>
      </c>
      <c r="B86" t="s">
        <v>762</v>
      </c>
      <c r="C86" t="s">
        <v>762</v>
      </c>
      <c r="D86" s="2">
        <v>820808.53380535613</v>
      </c>
      <c r="E86">
        <v>85</v>
      </c>
    </row>
    <row r="87" spans="1:5" x14ac:dyDescent="0.3">
      <c r="A87" t="s">
        <v>933</v>
      </c>
      <c r="B87" t="s">
        <v>94</v>
      </c>
      <c r="C87" t="s">
        <v>94</v>
      </c>
      <c r="D87" s="2">
        <v>809384.08868101123</v>
      </c>
      <c r="E87">
        <v>86</v>
      </c>
    </row>
    <row r="88" spans="1:5" x14ac:dyDescent="0.3">
      <c r="A88" t="s">
        <v>492</v>
      </c>
      <c r="B88" t="s">
        <v>550</v>
      </c>
      <c r="C88" t="s">
        <v>554</v>
      </c>
      <c r="D88" s="2">
        <v>745209.05458505056</v>
      </c>
      <c r="E88">
        <v>87</v>
      </c>
    </row>
    <row r="89" spans="1:5" x14ac:dyDescent="0.3">
      <c r="A89" t="s">
        <v>667</v>
      </c>
      <c r="B89" t="s">
        <v>114</v>
      </c>
      <c r="C89" t="s">
        <v>697</v>
      </c>
      <c r="D89" s="2">
        <v>741401.16074690316</v>
      </c>
      <c r="E89">
        <v>88</v>
      </c>
    </row>
    <row r="90" spans="1:5" x14ac:dyDescent="0.3">
      <c r="A90" t="s">
        <v>399</v>
      </c>
      <c r="B90" t="s">
        <v>439</v>
      </c>
      <c r="C90" t="s">
        <v>442</v>
      </c>
      <c r="D90" s="2">
        <v>727869.47278617765</v>
      </c>
      <c r="E90">
        <v>89</v>
      </c>
    </row>
    <row r="91" spans="1:5" x14ac:dyDescent="0.3">
      <c r="A91" t="s">
        <v>13</v>
      </c>
      <c r="B91" t="s">
        <v>36</v>
      </c>
      <c r="C91" t="s">
        <v>37</v>
      </c>
      <c r="D91" s="2">
        <v>721398.35340035835</v>
      </c>
      <c r="E91">
        <v>90</v>
      </c>
    </row>
    <row r="92" spans="1:5" x14ac:dyDescent="0.3">
      <c r="A92" t="s">
        <v>149</v>
      </c>
      <c r="B92" t="s">
        <v>165</v>
      </c>
      <c r="C92" t="s">
        <v>166</v>
      </c>
      <c r="D92" s="2">
        <v>714010.66212653113</v>
      </c>
      <c r="E92">
        <v>91</v>
      </c>
    </row>
    <row r="93" spans="1:5" x14ac:dyDescent="0.3">
      <c r="A93" t="s">
        <v>13</v>
      </c>
      <c r="B93" t="s">
        <v>14</v>
      </c>
      <c r="C93" t="s">
        <v>23</v>
      </c>
      <c r="D93" s="2">
        <v>682602.82057146681</v>
      </c>
      <c r="E93">
        <v>92</v>
      </c>
    </row>
    <row r="94" spans="1:5" x14ac:dyDescent="0.3">
      <c r="A94" t="s">
        <v>645</v>
      </c>
      <c r="B94" t="s">
        <v>765</v>
      </c>
      <c r="C94" t="s">
        <v>792</v>
      </c>
      <c r="D94" s="2">
        <v>678846.52559586661</v>
      </c>
      <c r="E94">
        <v>93</v>
      </c>
    </row>
    <row r="95" spans="1:5" x14ac:dyDescent="0.3">
      <c r="A95" t="s">
        <v>90</v>
      </c>
      <c r="B95" t="s">
        <v>91</v>
      </c>
      <c r="C95" t="s">
        <v>93</v>
      </c>
      <c r="D95" s="2">
        <v>666109.11846252973</v>
      </c>
      <c r="E95">
        <v>94</v>
      </c>
    </row>
    <row r="96" spans="1:5" x14ac:dyDescent="0.3">
      <c r="A96" t="s">
        <v>149</v>
      </c>
      <c r="B96" t="s">
        <v>150</v>
      </c>
      <c r="C96" t="s">
        <v>157</v>
      </c>
      <c r="D96" s="2">
        <v>637307.64548607846</v>
      </c>
      <c r="E96">
        <v>95</v>
      </c>
    </row>
    <row r="97" spans="1:5" x14ac:dyDescent="0.3">
      <c r="A97" t="s">
        <v>225</v>
      </c>
      <c r="B97" t="s">
        <v>226</v>
      </c>
      <c r="C97" t="s">
        <v>230</v>
      </c>
      <c r="D97" s="2">
        <v>626321.98644069524</v>
      </c>
      <c r="E97">
        <v>96</v>
      </c>
    </row>
    <row r="98" spans="1:5" x14ac:dyDescent="0.3">
      <c r="A98" t="s">
        <v>225</v>
      </c>
      <c r="B98" t="s">
        <v>247</v>
      </c>
      <c r="C98" t="s">
        <v>248</v>
      </c>
      <c r="D98" s="2">
        <v>619742.59016455628</v>
      </c>
      <c r="E98">
        <v>97</v>
      </c>
    </row>
    <row r="99" spans="1:5" x14ac:dyDescent="0.3">
      <c r="A99" t="s">
        <v>399</v>
      </c>
      <c r="B99" t="s">
        <v>429</v>
      </c>
      <c r="C99" t="s">
        <v>429</v>
      </c>
      <c r="D99" s="2">
        <v>619257.4892740614</v>
      </c>
      <c r="E99">
        <v>98</v>
      </c>
    </row>
    <row r="100" spans="1:5" x14ac:dyDescent="0.3">
      <c r="A100" t="s">
        <v>453</v>
      </c>
      <c r="B100" t="s">
        <v>474</v>
      </c>
      <c r="C100" t="s">
        <v>479</v>
      </c>
      <c r="D100" s="2">
        <v>612926.18161140557</v>
      </c>
      <c r="E100">
        <v>99</v>
      </c>
    </row>
    <row r="101" spans="1:5" x14ac:dyDescent="0.3">
      <c r="A101" t="s">
        <v>399</v>
      </c>
      <c r="B101" t="s">
        <v>432</v>
      </c>
      <c r="C101" t="s">
        <v>433</v>
      </c>
      <c r="D101" s="2">
        <v>600049.60926939035</v>
      </c>
      <c r="E101">
        <v>100</v>
      </c>
    </row>
    <row r="102" spans="1:5" x14ac:dyDescent="0.3">
      <c r="A102" t="s">
        <v>225</v>
      </c>
      <c r="B102" t="s">
        <v>226</v>
      </c>
      <c r="C102" t="s">
        <v>236</v>
      </c>
      <c r="D102" s="2">
        <v>597848.71477653552</v>
      </c>
      <c r="E102">
        <v>101</v>
      </c>
    </row>
    <row r="103" spans="1:5" x14ac:dyDescent="0.3">
      <c r="A103" t="s">
        <v>149</v>
      </c>
      <c r="B103" t="s">
        <v>181</v>
      </c>
      <c r="C103" t="s">
        <v>182</v>
      </c>
      <c r="D103" s="2">
        <v>572545.55653635354</v>
      </c>
      <c r="E103">
        <v>102</v>
      </c>
    </row>
    <row r="104" spans="1:5" x14ac:dyDescent="0.3">
      <c r="A104" t="s">
        <v>823</v>
      </c>
      <c r="B104" t="s">
        <v>850</v>
      </c>
      <c r="C104" t="s">
        <v>418</v>
      </c>
      <c r="D104" s="2">
        <v>562609.11096456531</v>
      </c>
      <c r="E104">
        <v>103</v>
      </c>
    </row>
    <row r="105" spans="1:5" x14ac:dyDescent="0.3">
      <c r="A105" t="s">
        <v>933</v>
      </c>
      <c r="B105" t="s">
        <v>168</v>
      </c>
      <c r="C105" t="s">
        <v>168</v>
      </c>
      <c r="D105" s="2">
        <v>544856.79082452157</v>
      </c>
      <c r="E105">
        <v>104</v>
      </c>
    </row>
    <row r="106" spans="1:5" x14ac:dyDescent="0.3">
      <c r="A106" t="s">
        <v>280</v>
      </c>
      <c r="B106" t="s">
        <v>323</v>
      </c>
      <c r="C106" t="s">
        <v>323</v>
      </c>
      <c r="D106" s="2">
        <v>522324.0155931965</v>
      </c>
      <c r="E106">
        <v>105</v>
      </c>
    </row>
    <row r="107" spans="1:5" x14ac:dyDescent="0.3">
      <c r="A107" t="s">
        <v>867</v>
      </c>
      <c r="B107" t="s">
        <v>885</v>
      </c>
      <c r="C107" t="s">
        <v>886</v>
      </c>
      <c r="D107" s="2">
        <v>519073.58305400232</v>
      </c>
      <c r="E107">
        <v>106</v>
      </c>
    </row>
    <row r="108" spans="1:5" x14ac:dyDescent="0.3">
      <c r="A108" t="s">
        <v>933</v>
      </c>
      <c r="B108" t="s">
        <v>933</v>
      </c>
      <c r="C108" t="s">
        <v>1000</v>
      </c>
      <c r="D108" s="2">
        <v>507547.9077851114</v>
      </c>
      <c r="E108">
        <v>107</v>
      </c>
    </row>
    <row r="109" spans="1:5" x14ac:dyDescent="0.3">
      <c r="A109" t="s">
        <v>453</v>
      </c>
      <c r="B109" t="s">
        <v>461</v>
      </c>
      <c r="C109" t="s">
        <v>464</v>
      </c>
      <c r="D109" s="2">
        <v>506289.10813979967</v>
      </c>
      <c r="E109">
        <v>108</v>
      </c>
    </row>
    <row r="110" spans="1:5" x14ac:dyDescent="0.3">
      <c r="A110" t="s">
        <v>667</v>
      </c>
      <c r="B110" t="s">
        <v>691</v>
      </c>
      <c r="C110" t="s">
        <v>691</v>
      </c>
      <c r="D110" s="2">
        <v>490988.45475165627</v>
      </c>
      <c r="E110">
        <v>109</v>
      </c>
    </row>
    <row r="111" spans="1:5" x14ac:dyDescent="0.3">
      <c r="A111" t="s">
        <v>149</v>
      </c>
      <c r="B111" t="s">
        <v>165</v>
      </c>
      <c r="C111" t="s">
        <v>169</v>
      </c>
      <c r="D111" s="2">
        <v>484876.68756514561</v>
      </c>
      <c r="E111">
        <v>110</v>
      </c>
    </row>
    <row r="112" spans="1:5" x14ac:dyDescent="0.3">
      <c r="A112" t="s">
        <v>492</v>
      </c>
      <c r="B112" t="s">
        <v>511</v>
      </c>
      <c r="C112" t="s">
        <v>511</v>
      </c>
      <c r="D112" s="2">
        <v>483830.96377593023</v>
      </c>
      <c r="E112">
        <v>111</v>
      </c>
    </row>
    <row r="113" spans="1:5" x14ac:dyDescent="0.3">
      <c r="A113" t="s">
        <v>645</v>
      </c>
      <c r="B113" t="s">
        <v>765</v>
      </c>
      <c r="C113" t="s">
        <v>782</v>
      </c>
      <c r="D113" s="2">
        <v>478003.12576709827</v>
      </c>
      <c r="E113">
        <v>112</v>
      </c>
    </row>
    <row r="114" spans="1:5" x14ac:dyDescent="0.3">
      <c r="A114" t="s">
        <v>579</v>
      </c>
      <c r="B114" t="s">
        <v>590</v>
      </c>
      <c r="C114" t="s">
        <v>459</v>
      </c>
      <c r="D114" s="2">
        <v>475547.79734862462</v>
      </c>
      <c r="E114">
        <v>113</v>
      </c>
    </row>
    <row r="115" spans="1:5" x14ac:dyDescent="0.3">
      <c r="A115" t="s">
        <v>13</v>
      </c>
      <c r="B115" t="s">
        <v>14</v>
      </c>
      <c r="C115" t="s">
        <v>18</v>
      </c>
      <c r="D115" s="2">
        <v>463271.97887775529</v>
      </c>
      <c r="E115">
        <v>114</v>
      </c>
    </row>
    <row r="116" spans="1:5" x14ac:dyDescent="0.3">
      <c r="A116" t="s">
        <v>280</v>
      </c>
      <c r="B116" t="s">
        <v>294</v>
      </c>
      <c r="C116" t="s">
        <v>294</v>
      </c>
      <c r="D116" s="2">
        <v>455235.61509311001</v>
      </c>
      <c r="E116">
        <v>115</v>
      </c>
    </row>
    <row r="117" spans="1:5" x14ac:dyDescent="0.3">
      <c r="A117" t="s">
        <v>723</v>
      </c>
      <c r="B117" t="s">
        <v>741</v>
      </c>
      <c r="C117" t="s">
        <v>742</v>
      </c>
      <c r="D117" s="2">
        <v>432935.6831054028</v>
      </c>
      <c r="E117">
        <v>116</v>
      </c>
    </row>
    <row r="118" spans="1:5" x14ac:dyDescent="0.3">
      <c r="A118" t="s">
        <v>90</v>
      </c>
      <c r="B118" t="s">
        <v>102</v>
      </c>
      <c r="C118" t="s">
        <v>106</v>
      </c>
      <c r="D118" s="2">
        <v>424283.71654470381</v>
      </c>
      <c r="E118">
        <v>117</v>
      </c>
    </row>
    <row r="119" spans="1:5" x14ac:dyDescent="0.3">
      <c r="A119" t="s">
        <v>280</v>
      </c>
      <c r="B119" t="s">
        <v>283</v>
      </c>
      <c r="C119" t="s">
        <v>283</v>
      </c>
      <c r="D119" s="2">
        <v>421825.52737399482</v>
      </c>
      <c r="E119">
        <v>118</v>
      </c>
    </row>
    <row r="120" spans="1:5" x14ac:dyDescent="0.3">
      <c r="A120" t="s">
        <v>13</v>
      </c>
      <c r="B120" t="s">
        <v>14</v>
      </c>
      <c r="C120" t="s">
        <v>31</v>
      </c>
      <c r="D120" s="2">
        <v>418408.69574824133</v>
      </c>
      <c r="E120">
        <v>119</v>
      </c>
    </row>
    <row r="121" spans="1:5" x14ac:dyDescent="0.3">
      <c r="A121" t="s">
        <v>915</v>
      </c>
      <c r="B121" t="s">
        <v>915</v>
      </c>
      <c r="C121" t="s">
        <v>944</v>
      </c>
      <c r="D121" s="2">
        <v>397905.78367427661</v>
      </c>
      <c r="E121">
        <v>120</v>
      </c>
    </row>
    <row r="122" spans="1:5" x14ac:dyDescent="0.3">
      <c r="A122" t="s">
        <v>399</v>
      </c>
      <c r="B122" t="s">
        <v>400</v>
      </c>
      <c r="C122" t="s">
        <v>403</v>
      </c>
      <c r="D122" s="2">
        <v>393672.69550736138</v>
      </c>
      <c r="E122">
        <v>121</v>
      </c>
    </row>
    <row r="123" spans="1:5" x14ac:dyDescent="0.3">
      <c r="A123" t="s">
        <v>667</v>
      </c>
      <c r="B123" t="s">
        <v>691</v>
      </c>
      <c r="C123" t="s">
        <v>693</v>
      </c>
      <c r="D123" s="2">
        <v>389147.85386502312</v>
      </c>
      <c r="E123">
        <v>122</v>
      </c>
    </row>
    <row r="124" spans="1:5" x14ac:dyDescent="0.3">
      <c r="A124" t="s">
        <v>399</v>
      </c>
      <c r="B124" t="s">
        <v>428</v>
      </c>
      <c r="C124" t="s">
        <v>428</v>
      </c>
      <c r="D124" s="2">
        <v>376765.74593504798</v>
      </c>
      <c r="E124">
        <v>123</v>
      </c>
    </row>
    <row r="125" spans="1:5" x14ac:dyDescent="0.3">
      <c r="A125" t="s">
        <v>117</v>
      </c>
      <c r="B125" t="s">
        <v>118</v>
      </c>
      <c r="C125" t="s">
        <v>118</v>
      </c>
      <c r="D125" s="2">
        <v>372470.26200946001</v>
      </c>
      <c r="E125">
        <v>124</v>
      </c>
    </row>
    <row r="126" spans="1:5" x14ac:dyDescent="0.3">
      <c r="A126" t="s">
        <v>184</v>
      </c>
      <c r="B126" t="s">
        <v>217</v>
      </c>
      <c r="C126" t="s">
        <v>218</v>
      </c>
      <c r="D126" s="2">
        <v>368832.63465038792</v>
      </c>
      <c r="E126">
        <v>125</v>
      </c>
    </row>
    <row r="127" spans="1:5" x14ac:dyDescent="0.3">
      <c r="A127" t="s">
        <v>823</v>
      </c>
      <c r="B127" t="s">
        <v>850</v>
      </c>
      <c r="C127" t="s">
        <v>160</v>
      </c>
      <c r="D127" s="2">
        <v>365179.11302959872</v>
      </c>
      <c r="E127">
        <v>126</v>
      </c>
    </row>
    <row r="128" spans="1:5" x14ac:dyDescent="0.3">
      <c r="A128" t="s">
        <v>399</v>
      </c>
      <c r="B128" t="s">
        <v>435</v>
      </c>
      <c r="C128" t="s">
        <v>436</v>
      </c>
      <c r="D128" s="2">
        <v>351553.30436088808</v>
      </c>
      <c r="E128">
        <v>127</v>
      </c>
    </row>
    <row r="129" spans="1:5" x14ac:dyDescent="0.3">
      <c r="A129" t="s">
        <v>453</v>
      </c>
      <c r="B129" t="s">
        <v>466</v>
      </c>
      <c r="C129" t="s">
        <v>466</v>
      </c>
      <c r="D129" s="2">
        <v>341527.33451383858</v>
      </c>
      <c r="E129">
        <v>128</v>
      </c>
    </row>
    <row r="130" spans="1:5" x14ac:dyDescent="0.3">
      <c r="A130" t="s">
        <v>341</v>
      </c>
      <c r="B130" t="s">
        <v>95</v>
      </c>
      <c r="C130" t="s">
        <v>171</v>
      </c>
      <c r="D130" s="2">
        <v>339249.22085231502</v>
      </c>
      <c r="E130">
        <v>129</v>
      </c>
    </row>
    <row r="131" spans="1:5" x14ac:dyDescent="0.3">
      <c r="A131" t="s">
        <v>184</v>
      </c>
      <c r="B131" t="s">
        <v>204</v>
      </c>
      <c r="C131" t="s">
        <v>207</v>
      </c>
      <c r="D131" s="2">
        <v>317149.83794280101</v>
      </c>
      <c r="E131">
        <v>130</v>
      </c>
    </row>
    <row r="132" spans="1:5" x14ac:dyDescent="0.3">
      <c r="A132" t="s">
        <v>149</v>
      </c>
      <c r="B132" t="s">
        <v>90</v>
      </c>
      <c r="C132" t="s">
        <v>90</v>
      </c>
      <c r="D132" s="2">
        <v>314107.96378620161</v>
      </c>
      <c r="E132">
        <v>131</v>
      </c>
    </row>
    <row r="133" spans="1:5" x14ac:dyDescent="0.3">
      <c r="A133" t="s">
        <v>399</v>
      </c>
      <c r="B133" t="s">
        <v>435</v>
      </c>
      <c r="C133" t="s">
        <v>437</v>
      </c>
      <c r="D133" s="2">
        <v>304343.07108332613</v>
      </c>
      <c r="E133">
        <v>132</v>
      </c>
    </row>
    <row r="134" spans="1:5" x14ac:dyDescent="0.3">
      <c r="A134" t="s">
        <v>823</v>
      </c>
      <c r="B134" t="s">
        <v>850</v>
      </c>
      <c r="C134" t="s">
        <v>852</v>
      </c>
      <c r="D134" s="2">
        <v>299551.81566150108</v>
      </c>
      <c r="E134">
        <v>133</v>
      </c>
    </row>
    <row r="135" spans="1:5" x14ac:dyDescent="0.3">
      <c r="A135" t="s">
        <v>952</v>
      </c>
      <c r="B135" t="s">
        <v>977</v>
      </c>
      <c r="C135" t="s">
        <v>981</v>
      </c>
      <c r="D135" s="2">
        <v>298039.76904928999</v>
      </c>
      <c r="E135">
        <v>134</v>
      </c>
    </row>
    <row r="136" spans="1:5" x14ac:dyDescent="0.3">
      <c r="A136" t="s">
        <v>225</v>
      </c>
      <c r="B136" t="s">
        <v>254</v>
      </c>
      <c r="C136" t="s">
        <v>254</v>
      </c>
      <c r="D136" s="2">
        <v>283362.16654837388</v>
      </c>
      <c r="E136">
        <v>135</v>
      </c>
    </row>
    <row r="137" spans="1:5" x14ac:dyDescent="0.3">
      <c r="A137" t="s">
        <v>149</v>
      </c>
      <c r="B137" t="s">
        <v>174</v>
      </c>
      <c r="C137" t="s">
        <v>175</v>
      </c>
      <c r="D137" s="2">
        <v>279331.17860413762</v>
      </c>
      <c r="E137">
        <v>136</v>
      </c>
    </row>
    <row r="138" spans="1:5" x14ac:dyDescent="0.3">
      <c r="A138" t="s">
        <v>149</v>
      </c>
      <c r="B138" t="s">
        <v>170</v>
      </c>
      <c r="C138" t="s">
        <v>170</v>
      </c>
      <c r="D138" s="2">
        <v>275533.51271680387</v>
      </c>
      <c r="E138">
        <v>137</v>
      </c>
    </row>
    <row r="139" spans="1:5" x14ac:dyDescent="0.3">
      <c r="A139" t="s">
        <v>645</v>
      </c>
      <c r="B139" t="s">
        <v>765</v>
      </c>
      <c r="C139" t="s">
        <v>790</v>
      </c>
      <c r="D139" s="2">
        <v>262898.38745464332</v>
      </c>
      <c r="E139">
        <v>138</v>
      </c>
    </row>
    <row r="140" spans="1:5" x14ac:dyDescent="0.3">
      <c r="A140" t="s">
        <v>915</v>
      </c>
      <c r="B140" t="s">
        <v>928</v>
      </c>
      <c r="C140" t="s">
        <v>929</v>
      </c>
      <c r="D140" s="2">
        <v>260759.4577104912</v>
      </c>
      <c r="E140">
        <v>139</v>
      </c>
    </row>
    <row r="141" spans="1:5" x14ac:dyDescent="0.3">
      <c r="A141" t="s">
        <v>341</v>
      </c>
      <c r="B141" t="s">
        <v>393</v>
      </c>
      <c r="C141" t="s">
        <v>398</v>
      </c>
      <c r="D141" s="2">
        <v>248399.9979391706</v>
      </c>
      <c r="E141">
        <v>140</v>
      </c>
    </row>
    <row r="142" spans="1:5" x14ac:dyDescent="0.3">
      <c r="A142" t="s">
        <v>184</v>
      </c>
      <c r="B142" t="s">
        <v>185</v>
      </c>
      <c r="C142" t="s">
        <v>191</v>
      </c>
      <c r="D142" s="2">
        <v>247617.4714186186</v>
      </c>
      <c r="E142">
        <v>141</v>
      </c>
    </row>
    <row r="143" spans="1:5" x14ac:dyDescent="0.3">
      <c r="A143" t="s">
        <v>399</v>
      </c>
      <c r="B143" t="s">
        <v>416</v>
      </c>
      <c r="C143" t="s">
        <v>418</v>
      </c>
      <c r="D143" s="2">
        <v>244666.34155491661</v>
      </c>
      <c r="E143">
        <v>142</v>
      </c>
    </row>
    <row r="144" spans="1:5" x14ac:dyDescent="0.3">
      <c r="A144" t="s">
        <v>280</v>
      </c>
      <c r="B144" t="s">
        <v>329</v>
      </c>
      <c r="C144" t="s">
        <v>334</v>
      </c>
      <c r="D144" s="2">
        <v>243796.8965665476</v>
      </c>
      <c r="E144">
        <v>143</v>
      </c>
    </row>
    <row r="145" spans="1:5" x14ac:dyDescent="0.3">
      <c r="A145" t="s">
        <v>645</v>
      </c>
      <c r="B145" t="s">
        <v>765</v>
      </c>
      <c r="C145" t="s">
        <v>788</v>
      </c>
      <c r="D145" s="2">
        <v>242224.0479895162</v>
      </c>
      <c r="E145">
        <v>144</v>
      </c>
    </row>
    <row r="146" spans="1:5" x14ac:dyDescent="0.3">
      <c r="A146" t="s">
        <v>117</v>
      </c>
      <c r="B146" t="s">
        <v>145</v>
      </c>
      <c r="C146" t="s">
        <v>145</v>
      </c>
      <c r="D146" s="2">
        <v>240149.23469166411</v>
      </c>
      <c r="E146">
        <v>145</v>
      </c>
    </row>
    <row r="147" spans="1:5" x14ac:dyDescent="0.3">
      <c r="A147" t="s">
        <v>749</v>
      </c>
      <c r="B147" t="s">
        <v>759</v>
      </c>
      <c r="C147" t="s">
        <v>761</v>
      </c>
      <c r="D147" s="2">
        <v>230591.1409271039</v>
      </c>
      <c r="E147">
        <v>146</v>
      </c>
    </row>
    <row r="148" spans="1:5" x14ac:dyDescent="0.3">
      <c r="A148" t="s">
        <v>280</v>
      </c>
      <c r="B148" t="s">
        <v>303</v>
      </c>
      <c r="C148" t="s">
        <v>303</v>
      </c>
      <c r="D148" s="2">
        <v>229106.6426245069</v>
      </c>
      <c r="E148">
        <v>147</v>
      </c>
    </row>
    <row r="149" spans="1:5" x14ac:dyDescent="0.3">
      <c r="A149" t="s">
        <v>823</v>
      </c>
      <c r="B149" t="s">
        <v>865</v>
      </c>
      <c r="C149" t="s">
        <v>866</v>
      </c>
      <c r="D149" s="2">
        <v>227328.33285382541</v>
      </c>
      <c r="E149">
        <v>148</v>
      </c>
    </row>
    <row r="150" spans="1:5" x14ac:dyDescent="0.3">
      <c r="A150" t="s">
        <v>453</v>
      </c>
      <c r="B150" t="s">
        <v>474</v>
      </c>
      <c r="C150" t="s">
        <v>476</v>
      </c>
      <c r="D150" s="2">
        <v>226101.54226620251</v>
      </c>
      <c r="E150">
        <v>149</v>
      </c>
    </row>
    <row r="151" spans="1:5" x14ac:dyDescent="0.3">
      <c r="A151" t="s">
        <v>13</v>
      </c>
      <c r="B151" t="s">
        <v>69</v>
      </c>
      <c r="C151" t="s">
        <v>69</v>
      </c>
      <c r="D151" s="2">
        <v>225953.62385510409</v>
      </c>
      <c r="E151">
        <v>150</v>
      </c>
    </row>
    <row r="152" spans="1:5" x14ac:dyDescent="0.3">
      <c r="A152" t="s">
        <v>399</v>
      </c>
      <c r="B152" t="s">
        <v>409</v>
      </c>
      <c r="C152" t="s">
        <v>409</v>
      </c>
      <c r="D152" s="2">
        <v>223173.43948576419</v>
      </c>
      <c r="E152">
        <v>151</v>
      </c>
    </row>
    <row r="153" spans="1:5" x14ac:dyDescent="0.3">
      <c r="A153" t="s">
        <v>915</v>
      </c>
      <c r="B153" t="s">
        <v>916</v>
      </c>
      <c r="C153" t="s">
        <v>917</v>
      </c>
      <c r="D153" s="2">
        <v>219693.02616348729</v>
      </c>
      <c r="E153">
        <v>152</v>
      </c>
    </row>
    <row r="154" spans="1:5" x14ac:dyDescent="0.3">
      <c r="A154" t="s">
        <v>915</v>
      </c>
      <c r="B154" t="s">
        <v>916</v>
      </c>
      <c r="C154" t="s">
        <v>922</v>
      </c>
      <c r="D154" s="2">
        <v>215732.3804154527</v>
      </c>
      <c r="E154">
        <v>153</v>
      </c>
    </row>
    <row r="155" spans="1:5" x14ac:dyDescent="0.3">
      <c r="A155" t="s">
        <v>13</v>
      </c>
      <c r="B155" t="s">
        <v>88</v>
      </c>
      <c r="C155" t="s">
        <v>88</v>
      </c>
      <c r="D155" s="2">
        <v>214250.33749061069</v>
      </c>
      <c r="E155">
        <v>154</v>
      </c>
    </row>
    <row r="156" spans="1:5" x14ac:dyDescent="0.3">
      <c r="A156" t="s">
        <v>225</v>
      </c>
      <c r="B156" t="s">
        <v>259</v>
      </c>
      <c r="C156" t="s">
        <v>261</v>
      </c>
      <c r="D156" s="2">
        <v>213808.41258623809</v>
      </c>
      <c r="E156">
        <v>155</v>
      </c>
    </row>
    <row r="157" spans="1:5" x14ac:dyDescent="0.3">
      <c r="A157" t="s">
        <v>453</v>
      </c>
      <c r="B157" t="s">
        <v>461</v>
      </c>
      <c r="C157" t="s">
        <v>317</v>
      </c>
      <c r="D157" s="2">
        <v>206763.12461532341</v>
      </c>
      <c r="E157">
        <v>156</v>
      </c>
    </row>
    <row r="158" spans="1:5" x14ac:dyDescent="0.3">
      <c r="A158" t="s">
        <v>13</v>
      </c>
      <c r="B158" t="s">
        <v>14</v>
      </c>
      <c r="C158" t="s">
        <v>34</v>
      </c>
      <c r="D158" s="2">
        <v>200578.97577107401</v>
      </c>
      <c r="E158">
        <v>157</v>
      </c>
    </row>
    <row r="159" spans="1:5" x14ac:dyDescent="0.3">
      <c r="A159" t="s">
        <v>280</v>
      </c>
      <c r="B159" t="s">
        <v>329</v>
      </c>
      <c r="C159" t="s">
        <v>329</v>
      </c>
      <c r="D159" s="2">
        <v>192986.6477915711</v>
      </c>
      <c r="E159">
        <v>158</v>
      </c>
    </row>
    <row r="160" spans="1:5" x14ac:dyDescent="0.3">
      <c r="A160" t="s">
        <v>645</v>
      </c>
      <c r="B160" t="s">
        <v>802</v>
      </c>
      <c r="C160" t="s">
        <v>805</v>
      </c>
      <c r="D160" s="2">
        <v>191955.59386017779</v>
      </c>
      <c r="E160">
        <v>159</v>
      </c>
    </row>
    <row r="161" spans="1:5" x14ac:dyDescent="0.3">
      <c r="A161" t="s">
        <v>492</v>
      </c>
      <c r="B161" t="s">
        <v>492</v>
      </c>
      <c r="C161" t="s">
        <v>499</v>
      </c>
      <c r="D161" s="2">
        <v>185905.53007866759</v>
      </c>
      <c r="E161">
        <v>160</v>
      </c>
    </row>
    <row r="162" spans="1:5" x14ac:dyDescent="0.3">
      <c r="A162" t="s">
        <v>13</v>
      </c>
      <c r="B162" t="s">
        <v>39</v>
      </c>
      <c r="C162" t="s">
        <v>46</v>
      </c>
      <c r="D162" s="2">
        <v>184702.60739187861</v>
      </c>
      <c r="E162">
        <v>161</v>
      </c>
    </row>
    <row r="163" spans="1:5" x14ac:dyDescent="0.3">
      <c r="A163" t="s">
        <v>399</v>
      </c>
      <c r="B163" t="s">
        <v>422</v>
      </c>
      <c r="C163" t="s">
        <v>424</v>
      </c>
      <c r="D163" s="2">
        <v>180576.69758365641</v>
      </c>
      <c r="E163">
        <v>162</v>
      </c>
    </row>
    <row r="164" spans="1:5" x14ac:dyDescent="0.3">
      <c r="A164" t="s">
        <v>117</v>
      </c>
      <c r="B164" t="s">
        <v>117</v>
      </c>
      <c r="C164" t="s">
        <v>134</v>
      </c>
      <c r="D164" s="2">
        <v>172399.61343572201</v>
      </c>
      <c r="E164">
        <v>163</v>
      </c>
    </row>
    <row r="165" spans="1:5" x14ac:dyDescent="0.3">
      <c r="A165" t="s">
        <v>184</v>
      </c>
      <c r="B165" t="s">
        <v>217</v>
      </c>
      <c r="C165" t="s">
        <v>1004</v>
      </c>
      <c r="D165" s="2">
        <v>170580.91570765269</v>
      </c>
      <c r="E165">
        <v>164</v>
      </c>
    </row>
    <row r="166" spans="1:5" x14ac:dyDescent="0.3">
      <c r="A166" t="s">
        <v>225</v>
      </c>
      <c r="B166" t="s">
        <v>247</v>
      </c>
      <c r="C166" t="s">
        <v>252</v>
      </c>
      <c r="D166" s="2">
        <v>170188.59787565019</v>
      </c>
      <c r="E166">
        <v>165</v>
      </c>
    </row>
    <row r="167" spans="1:5" x14ac:dyDescent="0.3">
      <c r="A167" t="s">
        <v>867</v>
      </c>
      <c r="B167" t="s">
        <v>888</v>
      </c>
      <c r="C167" t="s">
        <v>889</v>
      </c>
      <c r="D167" s="2">
        <v>170141.2064379004</v>
      </c>
      <c r="E167">
        <v>166</v>
      </c>
    </row>
    <row r="168" spans="1:5" x14ac:dyDescent="0.3">
      <c r="A168" t="s">
        <v>149</v>
      </c>
      <c r="B168" t="s">
        <v>90</v>
      </c>
      <c r="C168" t="s">
        <v>161</v>
      </c>
      <c r="D168" s="2">
        <v>166227.9683218362</v>
      </c>
      <c r="E168">
        <v>167</v>
      </c>
    </row>
    <row r="169" spans="1:5" x14ac:dyDescent="0.3">
      <c r="A169" t="s">
        <v>605</v>
      </c>
      <c r="B169" t="s">
        <v>628</v>
      </c>
      <c r="C169" t="s">
        <v>632</v>
      </c>
      <c r="D169" s="2">
        <v>163576.53279688081</v>
      </c>
      <c r="E169">
        <v>168</v>
      </c>
    </row>
    <row r="170" spans="1:5" x14ac:dyDescent="0.3">
      <c r="A170" t="s">
        <v>749</v>
      </c>
      <c r="B170" t="s">
        <v>759</v>
      </c>
      <c r="C170" t="s">
        <v>759</v>
      </c>
      <c r="D170" s="2">
        <v>163121.81343065959</v>
      </c>
      <c r="E170">
        <v>169</v>
      </c>
    </row>
    <row r="171" spans="1:5" x14ac:dyDescent="0.3">
      <c r="A171" t="s">
        <v>749</v>
      </c>
      <c r="B171" t="s">
        <v>763</v>
      </c>
      <c r="C171" t="s">
        <v>763</v>
      </c>
      <c r="D171" s="2">
        <v>160811.9951315058</v>
      </c>
      <c r="E171">
        <v>170</v>
      </c>
    </row>
    <row r="172" spans="1:5" x14ac:dyDescent="0.3">
      <c r="A172" t="s">
        <v>645</v>
      </c>
      <c r="B172" t="s">
        <v>765</v>
      </c>
      <c r="C172" t="s">
        <v>138</v>
      </c>
      <c r="D172" s="2">
        <v>160745.9902634639</v>
      </c>
      <c r="E172">
        <v>171</v>
      </c>
    </row>
    <row r="173" spans="1:5" x14ac:dyDescent="0.3">
      <c r="A173" t="s">
        <v>13</v>
      </c>
      <c r="B173" t="s">
        <v>14</v>
      </c>
      <c r="C173" t="s">
        <v>30</v>
      </c>
      <c r="D173" s="2">
        <v>159289.41201822789</v>
      </c>
      <c r="E173">
        <v>172</v>
      </c>
    </row>
    <row r="174" spans="1:5" x14ac:dyDescent="0.3">
      <c r="A174" t="s">
        <v>149</v>
      </c>
      <c r="B174" t="s">
        <v>170</v>
      </c>
      <c r="C174" t="s">
        <v>171</v>
      </c>
      <c r="D174" s="2">
        <v>153022.64504002209</v>
      </c>
      <c r="E174">
        <v>173</v>
      </c>
    </row>
    <row r="175" spans="1:5" x14ac:dyDescent="0.3">
      <c r="A175" t="s">
        <v>280</v>
      </c>
      <c r="B175" t="s">
        <v>329</v>
      </c>
      <c r="C175" t="s">
        <v>335</v>
      </c>
      <c r="D175" s="2">
        <v>147821.7988786468</v>
      </c>
      <c r="E175">
        <v>174</v>
      </c>
    </row>
    <row r="176" spans="1:5" x14ac:dyDescent="0.3">
      <c r="A176" t="s">
        <v>605</v>
      </c>
      <c r="B176" t="s">
        <v>661</v>
      </c>
      <c r="C176" t="s">
        <v>662</v>
      </c>
      <c r="D176" s="2">
        <v>147008.2023818396</v>
      </c>
      <c r="E176">
        <v>175</v>
      </c>
    </row>
    <row r="177" spans="1:5" x14ac:dyDescent="0.3">
      <c r="A177" t="s">
        <v>13</v>
      </c>
      <c r="B177" t="s">
        <v>39</v>
      </c>
      <c r="C177" t="s">
        <v>45</v>
      </c>
      <c r="D177" s="2">
        <v>141448.19250436951</v>
      </c>
      <c r="E177">
        <v>176</v>
      </c>
    </row>
    <row r="178" spans="1:5" x14ac:dyDescent="0.3">
      <c r="A178" t="s">
        <v>933</v>
      </c>
      <c r="B178" t="s">
        <v>933</v>
      </c>
      <c r="C178" t="s">
        <v>933</v>
      </c>
      <c r="D178" s="2">
        <v>140872.09759020031</v>
      </c>
      <c r="E178">
        <v>177</v>
      </c>
    </row>
    <row r="179" spans="1:5" x14ac:dyDescent="0.3">
      <c r="A179" t="s">
        <v>90</v>
      </c>
      <c r="B179" t="s">
        <v>102</v>
      </c>
      <c r="C179" t="s">
        <v>104</v>
      </c>
      <c r="D179" s="2">
        <v>137997.71538490069</v>
      </c>
      <c r="E179">
        <v>178</v>
      </c>
    </row>
    <row r="180" spans="1:5" x14ac:dyDescent="0.3">
      <c r="A180" t="s">
        <v>823</v>
      </c>
      <c r="B180" t="s">
        <v>824</v>
      </c>
      <c r="C180" t="s">
        <v>397</v>
      </c>
      <c r="D180" s="2">
        <v>136978.54943877429</v>
      </c>
      <c r="E180">
        <v>179</v>
      </c>
    </row>
    <row r="181" spans="1:5" x14ac:dyDescent="0.3">
      <c r="A181" t="s">
        <v>823</v>
      </c>
      <c r="B181" t="s">
        <v>850</v>
      </c>
      <c r="C181" t="s">
        <v>856</v>
      </c>
      <c r="D181" s="2">
        <v>136195.52367364871</v>
      </c>
      <c r="E181">
        <v>180</v>
      </c>
    </row>
    <row r="182" spans="1:5" x14ac:dyDescent="0.3">
      <c r="A182" t="s">
        <v>823</v>
      </c>
      <c r="B182" t="s">
        <v>824</v>
      </c>
      <c r="C182" t="s">
        <v>838</v>
      </c>
      <c r="D182" s="2">
        <v>135477.30649812179</v>
      </c>
      <c r="E182">
        <v>181</v>
      </c>
    </row>
    <row r="183" spans="1:5" x14ac:dyDescent="0.3">
      <c r="A183" t="s">
        <v>492</v>
      </c>
      <c r="B183" t="s">
        <v>543</v>
      </c>
      <c r="C183" t="s">
        <v>544</v>
      </c>
      <c r="D183" s="2">
        <v>132589.31382540221</v>
      </c>
      <c r="E183">
        <v>182</v>
      </c>
    </row>
    <row r="184" spans="1:5" x14ac:dyDescent="0.3">
      <c r="A184" t="s">
        <v>399</v>
      </c>
      <c r="B184" t="s">
        <v>434</v>
      </c>
      <c r="C184" t="s">
        <v>434</v>
      </c>
      <c r="D184" s="2">
        <v>132289.03361907351</v>
      </c>
      <c r="E184">
        <v>183</v>
      </c>
    </row>
    <row r="185" spans="1:5" x14ac:dyDescent="0.3">
      <c r="A185" t="s">
        <v>823</v>
      </c>
      <c r="B185" t="s">
        <v>824</v>
      </c>
      <c r="C185" t="s">
        <v>825</v>
      </c>
      <c r="D185" s="2">
        <v>128686.6232098335</v>
      </c>
      <c r="E185">
        <v>184</v>
      </c>
    </row>
    <row r="186" spans="1:5" x14ac:dyDescent="0.3">
      <c r="A186" t="s">
        <v>823</v>
      </c>
      <c r="B186" t="s">
        <v>824</v>
      </c>
      <c r="C186" t="s">
        <v>827</v>
      </c>
      <c r="D186" s="2">
        <v>126969.1996328535</v>
      </c>
      <c r="E186">
        <v>185</v>
      </c>
    </row>
    <row r="187" spans="1:5" x14ac:dyDescent="0.3">
      <c r="A187" t="s">
        <v>605</v>
      </c>
      <c r="B187" t="s">
        <v>620</v>
      </c>
      <c r="C187" t="s">
        <v>624</v>
      </c>
      <c r="D187" s="2">
        <v>123777.2656956303</v>
      </c>
      <c r="E187">
        <v>186</v>
      </c>
    </row>
    <row r="188" spans="1:5" x14ac:dyDescent="0.3">
      <c r="A188" t="s">
        <v>399</v>
      </c>
      <c r="B188" t="s">
        <v>427</v>
      </c>
      <c r="C188" t="s">
        <v>427</v>
      </c>
      <c r="D188" s="2">
        <v>117341.94515656721</v>
      </c>
      <c r="E188">
        <v>187</v>
      </c>
    </row>
    <row r="189" spans="1:5" x14ac:dyDescent="0.3">
      <c r="A189" t="s">
        <v>225</v>
      </c>
      <c r="B189" t="s">
        <v>253</v>
      </c>
      <c r="C189" t="s">
        <v>253</v>
      </c>
      <c r="D189" s="2">
        <v>114518.4438983771</v>
      </c>
      <c r="E189">
        <v>188</v>
      </c>
    </row>
    <row r="190" spans="1:5" x14ac:dyDescent="0.3">
      <c r="A190" t="s">
        <v>184</v>
      </c>
      <c r="B190" t="s">
        <v>211</v>
      </c>
      <c r="C190" t="s">
        <v>214</v>
      </c>
      <c r="D190" s="2">
        <v>113810.7207109492</v>
      </c>
      <c r="E190">
        <v>189</v>
      </c>
    </row>
    <row r="191" spans="1:5" x14ac:dyDescent="0.3">
      <c r="A191" t="s">
        <v>184</v>
      </c>
      <c r="B191" t="s">
        <v>211</v>
      </c>
      <c r="C191" t="s">
        <v>213</v>
      </c>
      <c r="D191" s="2">
        <v>109364.32029490051</v>
      </c>
      <c r="E191">
        <v>190</v>
      </c>
    </row>
    <row r="192" spans="1:5" x14ac:dyDescent="0.3">
      <c r="A192" t="s">
        <v>867</v>
      </c>
      <c r="B192" t="s">
        <v>888</v>
      </c>
      <c r="C192" t="s">
        <v>890</v>
      </c>
      <c r="D192" s="2">
        <v>109186.35268616769</v>
      </c>
      <c r="E192">
        <v>191</v>
      </c>
    </row>
    <row r="193" spans="1:5" x14ac:dyDescent="0.3">
      <c r="A193" t="s">
        <v>823</v>
      </c>
      <c r="B193" t="s">
        <v>824</v>
      </c>
      <c r="C193" t="s">
        <v>828</v>
      </c>
      <c r="D193" s="2">
        <v>107248.7716156899</v>
      </c>
      <c r="E193">
        <v>192</v>
      </c>
    </row>
    <row r="194" spans="1:5" x14ac:dyDescent="0.3">
      <c r="A194" t="s">
        <v>90</v>
      </c>
      <c r="B194" t="s">
        <v>91</v>
      </c>
      <c r="C194" t="s">
        <v>97</v>
      </c>
      <c r="D194" s="2">
        <v>106057.5057188403</v>
      </c>
      <c r="E194">
        <v>193</v>
      </c>
    </row>
    <row r="195" spans="1:5" x14ac:dyDescent="0.3">
      <c r="A195" t="s">
        <v>823</v>
      </c>
      <c r="B195" t="s">
        <v>824</v>
      </c>
      <c r="C195" t="s">
        <v>832</v>
      </c>
      <c r="D195" s="2">
        <v>103497.8767504545</v>
      </c>
      <c r="E195">
        <v>194</v>
      </c>
    </row>
    <row r="196" spans="1:5" x14ac:dyDescent="0.3">
      <c r="A196" t="s">
        <v>399</v>
      </c>
      <c r="B196" t="s">
        <v>422</v>
      </c>
      <c r="C196" t="s">
        <v>426</v>
      </c>
      <c r="D196" s="2">
        <v>95824.346780815977</v>
      </c>
      <c r="E196">
        <v>195</v>
      </c>
    </row>
    <row r="197" spans="1:5" x14ac:dyDescent="0.3">
      <c r="A197" t="s">
        <v>667</v>
      </c>
      <c r="B197" t="s">
        <v>691</v>
      </c>
      <c r="C197" t="s">
        <v>692</v>
      </c>
      <c r="D197" s="2">
        <v>94975.654618768283</v>
      </c>
      <c r="E197">
        <v>196</v>
      </c>
    </row>
    <row r="198" spans="1:5" x14ac:dyDescent="0.3">
      <c r="A198" t="s">
        <v>117</v>
      </c>
      <c r="B198" t="s">
        <v>142</v>
      </c>
      <c r="C198" t="s">
        <v>142</v>
      </c>
      <c r="D198" s="2">
        <v>94425.559874557293</v>
      </c>
      <c r="E198">
        <v>197</v>
      </c>
    </row>
    <row r="199" spans="1:5" x14ac:dyDescent="0.3">
      <c r="A199" t="s">
        <v>823</v>
      </c>
      <c r="B199" t="s">
        <v>857</v>
      </c>
      <c r="C199" t="s">
        <v>266</v>
      </c>
      <c r="D199" s="2">
        <v>92471.642418762101</v>
      </c>
      <c r="E199">
        <v>198</v>
      </c>
    </row>
    <row r="200" spans="1:5" x14ac:dyDescent="0.3">
      <c r="A200" t="s">
        <v>723</v>
      </c>
      <c r="B200" t="s">
        <v>724</v>
      </c>
      <c r="C200" t="s">
        <v>728</v>
      </c>
      <c r="D200" s="2">
        <v>91301.509773395694</v>
      </c>
      <c r="E200">
        <v>199</v>
      </c>
    </row>
    <row r="201" spans="1:5" x14ac:dyDescent="0.3">
      <c r="A201" t="s">
        <v>915</v>
      </c>
      <c r="B201" t="s">
        <v>935</v>
      </c>
      <c r="C201" t="s">
        <v>935</v>
      </c>
      <c r="D201" s="2">
        <v>91184.363744534276</v>
      </c>
      <c r="E201">
        <v>200</v>
      </c>
    </row>
    <row r="202" spans="1:5" x14ac:dyDescent="0.3">
      <c r="A202" t="s">
        <v>492</v>
      </c>
      <c r="B202" t="s">
        <v>492</v>
      </c>
      <c r="C202" t="s">
        <v>498</v>
      </c>
      <c r="D202" s="2">
        <v>90133.528429827638</v>
      </c>
      <c r="E202">
        <v>201</v>
      </c>
    </row>
    <row r="203" spans="1:5" x14ac:dyDescent="0.3">
      <c r="A203" t="s">
        <v>225</v>
      </c>
      <c r="B203" t="s">
        <v>262</v>
      </c>
      <c r="C203" t="s">
        <v>266</v>
      </c>
      <c r="D203" s="2">
        <v>89547.492882799095</v>
      </c>
      <c r="E203">
        <v>202</v>
      </c>
    </row>
    <row r="204" spans="1:5" x14ac:dyDescent="0.3">
      <c r="A204" t="s">
        <v>280</v>
      </c>
      <c r="B204" t="s">
        <v>319</v>
      </c>
      <c r="C204" t="s">
        <v>319</v>
      </c>
      <c r="D204" s="2">
        <v>85883.139435175704</v>
      </c>
      <c r="E204">
        <v>203</v>
      </c>
    </row>
    <row r="205" spans="1:5" x14ac:dyDescent="0.3">
      <c r="A205" t="s">
        <v>280</v>
      </c>
      <c r="B205" t="s">
        <v>283</v>
      </c>
      <c r="C205" t="s">
        <v>285</v>
      </c>
      <c r="D205" s="2">
        <v>85837.452662233132</v>
      </c>
      <c r="E205">
        <v>204</v>
      </c>
    </row>
    <row r="206" spans="1:5" x14ac:dyDescent="0.3">
      <c r="A206" t="s">
        <v>823</v>
      </c>
      <c r="B206" t="s">
        <v>824</v>
      </c>
      <c r="C206" t="s">
        <v>836</v>
      </c>
      <c r="D206" s="2">
        <v>85373.456272839598</v>
      </c>
      <c r="E206">
        <v>205</v>
      </c>
    </row>
    <row r="207" spans="1:5" x14ac:dyDescent="0.3">
      <c r="A207" t="s">
        <v>579</v>
      </c>
      <c r="B207" t="s">
        <v>599</v>
      </c>
      <c r="C207" t="s">
        <v>601</v>
      </c>
      <c r="D207" s="2">
        <v>84483.904804596459</v>
      </c>
      <c r="E207">
        <v>206</v>
      </c>
    </row>
    <row r="208" spans="1:5" x14ac:dyDescent="0.3">
      <c r="A208" t="s">
        <v>645</v>
      </c>
      <c r="B208" t="s">
        <v>765</v>
      </c>
      <c r="C208" t="s">
        <v>775</v>
      </c>
      <c r="D208" s="2">
        <v>83992.357466535774</v>
      </c>
      <c r="E208">
        <v>207</v>
      </c>
    </row>
    <row r="209" spans="1:5" x14ac:dyDescent="0.3">
      <c r="A209" t="s">
        <v>645</v>
      </c>
      <c r="B209" t="s">
        <v>765</v>
      </c>
      <c r="C209" t="s">
        <v>770</v>
      </c>
      <c r="D209" s="2">
        <v>83551.247613122687</v>
      </c>
      <c r="E209">
        <v>208</v>
      </c>
    </row>
    <row r="210" spans="1:5" x14ac:dyDescent="0.3">
      <c r="A210" t="s">
        <v>823</v>
      </c>
      <c r="B210" t="s">
        <v>824</v>
      </c>
      <c r="C210" t="s">
        <v>288</v>
      </c>
      <c r="D210" s="2">
        <v>83549.407851063967</v>
      </c>
      <c r="E210">
        <v>209</v>
      </c>
    </row>
    <row r="211" spans="1:5" x14ac:dyDescent="0.3">
      <c r="A211" t="s">
        <v>867</v>
      </c>
      <c r="B211" t="s">
        <v>888</v>
      </c>
      <c r="C211" t="s">
        <v>888</v>
      </c>
      <c r="D211" s="2">
        <v>82105.465573296635</v>
      </c>
      <c r="E211">
        <v>210</v>
      </c>
    </row>
    <row r="212" spans="1:5" x14ac:dyDescent="0.3">
      <c r="A212" t="s">
        <v>823</v>
      </c>
      <c r="B212" t="s">
        <v>844</v>
      </c>
      <c r="C212" t="s">
        <v>844</v>
      </c>
      <c r="D212" s="2">
        <v>81779.750551694509</v>
      </c>
      <c r="E212">
        <v>211</v>
      </c>
    </row>
    <row r="213" spans="1:5" x14ac:dyDescent="0.3">
      <c r="A213" t="s">
        <v>225</v>
      </c>
      <c r="B213" t="s">
        <v>259</v>
      </c>
      <c r="C213" t="s">
        <v>259</v>
      </c>
      <c r="D213" s="2">
        <v>81628.463245912426</v>
      </c>
      <c r="E213">
        <v>212</v>
      </c>
    </row>
    <row r="214" spans="1:5" x14ac:dyDescent="0.3">
      <c r="A214" t="s">
        <v>117</v>
      </c>
      <c r="B214" t="s">
        <v>126</v>
      </c>
      <c r="C214" t="s">
        <v>127</v>
      </c>
      <c r="D214" s="2">
        <v>76340.138015386052</v>
      </c>
      <c r="E214">
        <v>213</v>
      </c>
    </row>
    <row r="215" spans="1:5" x14ac:dyDescent="0.3">
      <c r="A215" t="s">
        <v>823</v>
      </c>
      <c r="B215" t="s">
        <v>824</v>
      </c>
      <c r="C215" t="s">
        <v>835</v>
      </c>
      <c r="D215" s="2">
        <v>74695.121044222309</v>
      </c>
      <c r="E215">
        <v>214</v>
      </c>
    </row>
    <row r="216" spans="1:5" x14ac:dyDescent="0.3">
      <c r="A216" t="s">
        <v>453</v>
      </c>
      <c r="B216" t="s">
        <v>474</v>
      </c>
      <c r="C216" t="s">
        <v>474</v>
      </c>
      <c r="D216" s="2">
        <v>70461.192995222184</v>
      </c>
      <c r="E216">
        <v>215</v>
      </c>
    </row>
    <row r="217" spans="1:5" x14ac:dyDescent="0.3">
      <c r="A217" t="s">
        <v>225</v>
      </c>
      <c r="B217" t="s">
        <v>226</v>
      </c>
      <c r="C217" t="s">
        <v>44</v>
      </c>
      <c r="D217" s="2">
        <v>65259.223776523577</v>
      </c>
      <c r="E217">
        <v>216</v>
      </c>
    </row>
    <row r="218" spans="1:5" x14ac:dyDescent="0.3">
      <c r="A218" t="s">
        <v>399</v>
      </c>
      <c r="B218" t="s">
        <v>366</v>
      </c>
      <c r="C218" t="s">
        <v>366</v>
      </c>
      <c r="D218" s="2">
        <v>63969.824663696032</v>
      </c>
      <c r="E218">
        <v>217</v>
      </c>
    </row>
    <row r="219" spans="1:5" x14ac:dyDescent="0.3">
      <c r="A219" t="s">
        <v>823</v>
      </c>
      <c r="B219" t="s">
        <v>824</v>
      </c>
      <c r="C219" t="s">
        <v>829</v>
      </c>
      <c r="D219" s="2">
        <v>63565.162455990321</v>
      </c>
      <c r="E219">
        <v>218</v>
      </c>
    </row>
    <row r="220" spans="1:5" x14ac:dyDescent="0.3">
      <c r="A220" t="s">
        <v>90</v>
      </c>
      <c r="B220" t="s">
        <v>109</v>
      </c>
      <c r="C220" t="s">
        <v>109</v>
      </c>
      <c r="D220" s="2">
        <v>62335.182647037509</v>
      </c>
      <c r="E220">
        <v>219</v>
      </c>
    </row>
    <row r="221" spans="1:5" x14ac:dyDescent="0.3">
      <c r="A221" t="s">
        <v>645</v>
      </c>
      <c r="B221" t="s">
        <v>765</v>
      </c>
      <c r="C221" t="s">
        <v>767</v>
      </c>
      <c r="D221" s="2">
        <v>61995.711108163741</v>
      </c>
      <c r="E221">
        <v>220</v>
      </c>
    </row>
    <row r="222" spans="1:5" x14ac:dyDescent="0.3">
      <c r="A222" t="s">
        <v>605</v>
      </c>
      <c r="B222" t="s">
        <v>628</v>
      </c>
      <c r="C222" t="s">
        <v>633</v>
      </c>
      <c r="D222" s="2">
        <v>60947.695826027288</v>
      </c>
      <c r="E222">
        <v>221</v>
      </c>
    </row>
    <row r="223" spans="1:5" x14ac:dyDescent="0.3">
      <c r="A223" t="s">
        <v>723</v>
      </c>
      <c r="B223" t="s">
        <v>724</v>
      </c>
      <c r="C223" t="s">
        <v>724</v>
      </c>
      <c r="D223" s="2">
        <v>60863.117867081899</v>
      </c>
      <c r="E223">
        <v>222</v>
      </c>
    </row>
    <row r="224" spans="1:5" x14ac:dyDescent="0.3">
      <c r="A224" t="s">
        <v>492</v>
      </c>
      <c r="B224" t="s">
        <v>527</v>
      </c>
      <c r="C224" t="s">
        <v>527</v>
      </c>
      <c r="D224" s="2">
        <v>60140.328289318531</v>
      </c>
      <c r="E224">
        <v>223</v>
      </c>
    </row>
    <row r="225" spans="1:5" x14ac:dyDescent="0.3">
      <c r="A225" t="s">
        <v>749</v>
      </c>
      <c r="B225" t="s">
        <v>749</v>
      </c>
      <c r="C225" t="s">
        <v>750</v>
      </c>
      <c r="D225" s="2">
        <v>59873.48899951858</v>
      </c>
      <c r="E225">
        <v>224</v>
      </c>
    </row>
    <row r="226" spans="1:5" x14ac:dyDescent="0.3">
      <c r="A226" t="s">
        <v>749</v>
      </c>
      <c r="B226" t="s">
        <v>749</v>
      </c>
      <c r="C226" t="s">
        <v>32</v>
      </c>
      <c r="D226" s="2">
        <v>59647.66567022902</v>
      </c>
      <c r="E226">
        <v>225</v>
      </c>
    </row>
    <row r="227" spans="1:5" x14ac:dyDescent="0.3">
      <c r="A227" t="s">
        <v>13</v>
      </c>
      <c r="B227" t="s">
        <v>14</v>
      </c>
      <c r="C227" t="s">
        <v>33</v>
      </c>
      <c r="D227" s="2">
        <v>58896.446346666977</v>
      </c>
      <c r="E227">
        <v>226</v>
      </c>
    </row>
    <row r="228" spans="1:5" x14ac:dyDescent="0.3">
      <c r="A228" t="s">
        <v>579</v>
      </c>
      <c r="B228" t="s">
        <v>596</v>
      </c>
      <c r="C228" t="s">
        <v>596</v>
      </c>
      <c r="D228" s="2">
        <v>58532.994399768439</v>
      </c>
      <c r="E228">
        <v>227</v>
      </c>
    </row>
    <row r="229" spans="1:5" x14ac:dyDescent="0.3">
      <c r="A229" t="s">
        <v>823</v>
      </c>
      <c r="B229" t="s">
        <v>850</v>
      </c>
      <c r="C229" t="s">
        <v>851</v>
      </c>
      <c r="D229" s="2">
        <v>57295.1904064927</v>
      </c>
      <c r="E229">
        <v>228</v>
      </c>
    </row>
    <row r="230" spans="1:5" x14ac:dyDescent="0.3">
      <c r="A230" t="s">
        <v>399</v>
      </c>
      <c r="B230" t="s">
        <v>291</v>
      </c>
      <c r="C230" t="s">
        <v>291</v>
      </c>
      <c r="D230" s="2">
        <v>56532.538635615812</v>
      </c>
      <c r="E230">
        <v>229</v>
      </c>
    </row>
    <row r="231" spans="1:5" x14ac:dyDescent="0.3">
      <c r="A231" t="s">
        <v>280</v>
      </c>
      <c r="B231" t="s">
        <v>281</v>
      </c>
      <c r="C231" t="s">
        <v>281</v>
      </c>
      <c r="D231" s="2">
        <v>55672.764346556563</v>
      </c>
      <c r="E231">
        <v>230</v>
      </c>
    </row>
    <row r="232" spans="1:5" x14ac:dyDescent="0.3">
      <c r="A232" t="s">
        <v>645</v>
      </c>
      <c r="B232" t="s">
        <v>765</v>
      </c>
      <c r="C232" t="s">
        <v>381</v>
      </c>
      <c r="D232" s="2">
        <v>55621.226864229982</v>
      </c>
      <c r="E232">
        <v>231</v>
      </c>
    </row>
    <row r="233" spans="1:5" x14ac:dyDescent="0.3">
      <c r="A233" t="s">
        <v>184</v>
      </c>
      <c r="B233" t="s">
        <v>217</v>
      </c>
      <c r="C233" t="s">
        <v>217</v>
      </c>
      <c r="D233" s="2">
        <v>54920.120736634322</v>
      </c>
      <c r="E233">
        <v>232</v>
      </c>
    </row>
    <row r="234" spans="1:5" x14ac:dyDescent="0.3">
      <c r="A234" t="s">
        <v>823</v>
      </c>
      <c r="B234" t="s">
        <v>824</v>
      </c>
      <c r="C234" t="s">
        <v>826</v>
      </c>
      <c r="D234" s="2">
        <v>53237.490515740443</v>
      </c>
      <c r="E234">
        <v>233</v>
      </c>
    </row>
    <row r="235" spans="1:5" x14ac:dyDescent="0.3">
      <c r="A235" t="s">
        <v>605</v>
      </c>
      <c r="B235" t="s">
        <v>661</v>
      </c>
      <c r="C235" t="s">
        <v>661</v>
      </c>
      <c r="D235" s="2">
        <v>52509.496205061601</v>
      </c>
      <c r="E235">
        <v>234</v>
      </c>
    </row>
    <row r="236" spans="1:5" x14ac:dyDescent="0.3">
      <c r="A236" t="s">
        <v>399</v>
      </c>
      <c r="B236" t="s">
        <v>419</v>
      </c>
      <c r="C236" t="s">
        <v>419</v>
      </c>
      <c r="D236" s="2">
        <v>52239.824929122369</v>
      </c>
      <c r="E236">
        <v>235</v>
      </c>
    </row>
    <row r="237" spans="1:5" x14ac:dyDescent="0.3">
      <c r="A237" t="s">
        <v>823</v>
      </c>
      <c r="B237" t="s">
        <v>857</v>
      </c>
      <c r="C237" t="s">
        <v>858</v>
      </c>
      <c r="D237" s="2">
        <v>51234.487792357198</v>
      </c>
      <c r="E237">
        <v>236</v>
      </c>
    </row>
    <row r="238" spans="1:5" x14ac:dyDescent="0.3">
      <c r="A238" t="s">
        <v>399</v>
      </c>
      <c r="B238" t="s">
        <v>408</v>
      </c>
      <c r="C238" t="s">
        <v>408</v>
      </c>
      <c r="D238" s="2">
        <v>50367.316760503811</v>
      </c>
      <c r="E238">
        <v>237</v>
      </c>
    </row>
    <row r="239" spans="1:5" x14ac:dyDescent="0.3">
      <c r="A239" t="s">
        <v>723</v>
      </c>
      <c r="B239" t="s">
        <v>748</v>
      </c>
      <c r="C239" t="s">
        <v>748</v>
      </c>
      <c r="D239" s="2">
        <v>49083.498892562769</v>
      </c>
      <c r="E239">
        <v>238</v>
      </c>
    </row>
    <row r="240" spans="1:5" x14ac:dyDescent="0.3">
      <c r="A240" t="s">
        <v>492</v>
      </c>
      <c r="B240" t="s">
        <v>570</v>
      </c>
      <c r="C240" t="s">
        <v>570</v>
      </c>
      <c r="D240" s="2">
        <v>49065.584217634663</v>
      </c>
      <c r="E240">
        <v>239</v>
      </c>
    </row>
    <row r="241" spans="1:5" x14ac:dyDescent="0.3">
      <c r="A241" t="s">
        <v>579</v>
      </c>
      <c r="B241" t="s">
        <v>588</v>
      </c>
      <c r="C241" t="s">
        <v>44</v>
      </c>
      <c r="D241" s="2">
        <v>47105.717670712736</v>
      </c>
      <c r="E241">
        <v>240</v>
      </c>
    </row>
    <row r="242" spans="1:5" x14ac:dyDescent="0.3">
      <c r="A242" t="s">
        <v>184</v>
      </c>
      <c r="B242" t="s">
        <v>211</v>
      </c>
      <c r="C242" t="s">
        <v>109</v>
      </c>
      <c r="D242" s="2">
        <v>45716.782130368389</v>
      </c>
      <c r="E242">
        <v>241</v>
      </c>
    </row>
    <row r="243" spans="1:5" x14ac:dyDescent="0.3">
      <c r="A243" t="s">
        <v>225</v>
      </c>
      <c r="B243" t="s">
        <v>262</v>
      </c>
      <c r="C243" t="s">
        <v>267</v>
      </c>
      <c r="D243" s="2">
        <v>42145.869748625453</v>
      </c>
      <c r="E243">
        <v>242</v>
      </c>
    </row>
    <row r="244" spans="1:5" x14ac:dyDescent="0.3">
      <c r="A244" t="s">
        <v>645</v>
      </c>
      <c r="B244" t="s">
        <v>765</v>
      </c>
      <c r="C244" t="s">
        <v>783</v>
      </c>
      <c r="D244" s="2">
        <v>41479.898953659103</v>
      </c>
      <c r="E244">
        <v>243</v>
      </c>
    </row>
    <row r="245" spans="1:5" x14ac:dyDescent="0.3">
      <c r="A245" t="s">
        <v>645</v>
      </c>
      <c r="B245" t="s">
        <v>810</v>
      </c>
      <c r="C245" t="s">
        <v>811</v>
      </c>
      <c r="D245" s="2">
        <v>40312.287640822353</v>
      </c>
      <c r="E245">
        <v>244</v>
      </c>
    </row>
    <row r="246" spans="1:5" x14ac:dyDescent="0.3">
      <c r="A246" t="s">
        <v>915</v>
      </c>
      <c r="B246" t="s">
        <v>949</v>
      </c>
      <c r="C246" t="s">
        <v>951</v>
      </c>
      <c r="D246" s="2">
        <v>40066.383368513591</v>
      </c>
      <c r="E246">
        <v>245</v>
      </c>
    </row>
    <row r="247" spans="1:5" x14ac:dyDescent="0.3">
      <c r="A247" t="s">
        <v>645</v>
      </c>
      <c r="B247" t="s">
        <v>815</v>
      </c>
      <c r="C247" t="s">
        <v>816</v>
      </c>
      <c r="D247" s="2">
        <v>39674.59409086535</v>
      </c>
      <c r="E247">
        <v>246</v>
      </c>
    </row>
    <row r="248" spans="1:5" x14ac:dyDescent="0.3">
      <c r="A248" t="s">
        <v>149</v>
      </c>
      <c r="B248" t="s">
        <v>170</v>
      </c>
      <c r="C248" t="s">
        <v>173</v>
      </c>
      <c r="D248" s="2">
        <v>39652.542836289227</v>
      </c>
      <c r="E248">
        <v>247</v>
      </c>
    </row>
    <row r="249" spans="1:5" x14ac:dyDescent="0.3">
      <c r="A249" t="s">
        <v>579</v>
      </c>
      <c r="B249" t="s">
        <v>580</v>
      </c>
      <c r="C249" t="s">
        <v>580</v>
      </c>
      <c r="D249" s="2">
        <v>39191.915543737618</v>
      </c>
      <c r="E249">
        <v>248</v>
      </c>
    </row>
    <row r="250" spans="1:5" x14ac:dyDescent="0.3">
      <c r="A250" t="s">
        <v>667</v>
      </c>
      <c r="B250" t="s">
        <v>705</v>
      </c>
      <c r="C250" t="s">
        <v>705</v>
      </c>
      <c r="D250" s="2">
        <v>38870.681198890808</v>
      </c>
      <c r="E250">
        <v>249</v>
      </c>
    </row>
    <row r="251" spans="1:5" x14ac:dyDescent="0.3">
      <c r="A251" t="s">
        <v>983</v>
      </c>
      <c r="B251" t="s">
        <v>993</v>
      </c>
      <c r="C251" t="s">
        <v>993</v>
      </c>
      <c r="D251" s="2">
        <v>37866.077957958238</v>
      </c>
      <c r="E251">
        <v>250</v>
      </c>
    </row>
    <row r="252" spans="1:5" x14ac:dyDescent="0.3">
      <c r="A252" t="s">
        <v>280</v>
      </c>
      <c r="B252" t="s">
        <v>297</v>
      </c>
      <c r="C252" t="s">
        <v>297</v>
      </c>
      <c r="D252" s="2">
        <v>36771.881200338823</v>
      </c>
      <c r="E252">
        <v>251</v>
      </c>
    </row>
    <row r="253" spans="1:5" x14ac:dyDescent="0.3">
      <c r="A253" t="s">
        <v>90</v>
      </c>
      <c r="B253" t="s">
        <v>91</v>
      </c>
      <c r="C253" t="s">
        <v>98</v>
      </c>
      <c r="D253" s="2">
        <v>36600.711502755221</v>
      </c>
      <c r="E253">
        <v>252</v>
      </c>
    </row>
    <row r="254" spans="1:5" x14ac:dyDescent="0.3">
      <c r="A254" t="s">
        <v>823</v>
      </c>
      <c r="B254" t="s">
        <v>824</v>
      </c>
      <c r="C254" t="s">
        <v>831</v>
      </c>
      <c r="D254" s="2">
        <v>36185.180302064582</v>
      </c>
      <c r="E254">
        <v>253</v>
      </c>
    </row>
    <row r="255" spans="1:5" x14ac:dyDescent="0.3">
      <c r="A255" t="s">
        <v>13</v>
      </c>
      <c r="B255" t="s">
        <v>48</v>
      </c>
      <c r="C255" t="s">
        <v>48</v>
      </c>
      <c r="D255" s="2">
        <v>35891.36744348635</v>
      </c>
      <c r="E255">
        <v>254</v>
      </c>
    </row>
    <row r="256" spans="1:5" x14ac:dyDescent="0.3">
      <c r="A256" t="s">
        <v>823</v>
      </c>
      <c r="B256" t="s">
        <v>847</v>
      </c>
      <c r="C256" t="s">
        <v>847</v>
      </c>
      <c r="D256" s="2">
        <v>34876.084701263579</v>
      </c>
      <c r="E256">
        <v>255</v>
      </c>
    </row>
    <row r="257" spans="1:5" x14ac:dyDescent="0.3">
      <c r="A257" t="s">
        <v>184</v>
      </c>
      <c r="B257" t="s">
        <v>185</v>
      </c>
      <c r="C257" t="s">
        <v>194</v>
      </c>
      <c r="D257" s="2">
        <v>34403.371707692677</v>
      </c>
      <c r="E257">
        <v>256</v>
      </c>
    </row>
    <row r="258" spans="1:5" x14ac:dyDescent="0.3">
      <c r="A258" t="s">
        <v>579</v>
      </c>
      <c r="B258" t="s">
        <v>590</v>
      </c>
      <c r="C258" t="s">
        <v>424</v>
      </c>
      <c r="D258" s="2">
        <v>34355.795429966733</v>
      </c>
      <c r="E258">
        <v>257</v>
      </c>
    </row>
    <row r="259" spans="1:5" x14ac:dyDescent="0.3">
      <c r="A259" t="s">
        <v>952</v>
      </c>
      <c r="B259" t="s">
        <v>977</v>
      </c>
      <c r="C259" t="s">
        <v>977</v>
      </c>
      <c r="D259" s="2">
        <v>33670.823513224452</v>
      </c>
      <c r="E259">
        <v>258</v>
      </c>
    </row>
    <row r="260" spans="1:5" x14ac:dyDescent="0.3">
      <c r="A260" t="s">
        <v>645</v>
      </c>
      <c r="B260" t="s">
        <v>765</v>
      </c>
      <c r="C260" t="s">
        <v>771</v>
      </c>
      <c r="D260" s="2">
        <v>33626.611388036777</v>
      </c>
      <c r="E260">
        <v>259</v>
      </c>
    </row>
    <row r="261" spans="1:5" x14ac:dyDescent="0.3">
      <c r="A261" t="s">
        <v>13</v>
      </c>
      <c r="B261" t="s">
        <v>14</v>
      </c>
      <c r="C261" t="s">
        <v>22</v>
      </c>
      <c r="D261" s="2">
        <v>33485.058123049421</v>
      </c>
      <c r="E261">
        <v>260</v>
      </c>
    </row>
    <row r="262" spans="1:5" x14ac:dyDescent="0.3">
      <c r="A262" t="s">
        <v>867</v>
      </c>
      <c r="B262" t="s">
        <v>891</v>
      </c>
      <c r="C262" t="s">
        <v>891</v>
      </c>
      <c r="D262" s="2">
        <v>32345.81444433596</v>
      </c>
      <c r="E262">
        <v>261</v>
      </c>
    </row>
    <row r="263" spans="1:5" x14ac:dyDescent="0.3">
      <c r="A263" t="s">
        <v>823</v>
      </c>
      <c r="B263" t="s">
        <v>845</v>
      </c>
      <c r="C263" t="s">
        <v>845</v>
      </c>
      <c r="D263" s="2">
        <v>32272.179980754921</v>
      </c>
      <c r="E263">
        <v>262</v>
      </c>
    </row>
    <row r="264" spans="1:5" x14ac:dyDescent="0.3">
      <c r="A264" t="s">
        <v>225</v>
      </c>
      <c r="B264" t="s">
        <v>247</v>
      </c>
      <c r="C264" t="s">
        <v>250</v>
      </c>
      <c r="D264" s="2">
        <v>31896.409127188621</v>
      </c>
      <c r="E264">
        <v>263</v>
      </c>
    </row>
    <row r="265" spans="1:5" x14ac:dyDescent="0.3">
      <c r="A265" t="s">
        <v>13</v>
      </c>
      <c r="B265" t="s">
        <v>39</v>
      </c>
      <c r="C265" t="s">
        <v>39</v>
      </c>
      <c r="D265" s="2">
        <v>31839.912590037049</v>
      </c>
      <c r="E265">
        <v>264</v>
      </c>
    </row>
    <row r="266" spans="1:5" x14ac:dyDescent="0.3">
      <c r="A266" t="s">
        <v>399</v>
      </c>
      <c r="B266" t="s">
        <v>432</v>
      </c>
      <c r="C266" t="s">
        <v>432</v>
      </c>
      <c r="D266" s="2">
        <v>31609.700115238011</v>
      </c>
      <c r="E266">
        <v>265</v>
      </c>
    </row>
    <row r="267" spans="1:5" x14ac:dyDescent="0.3">
      <c r="A267" t="s">
        <v>399</v>
      </c>
      <c r="B267" t="s">
        <v>443</v>
      </c>
      <c r="C267" t="s">
        <v>444</v>
      </c>
      <c r="D267" s="2">
        <v>31385.083358247859</v>
      </c>
      <c r="E267">
        <v>266</v>
      </c>
    </row>
    <row r="268" spans="1:5" x14ac:dyDescent="0.3">
      <c r="A268" t="s">
        <v>492</v>
      </c>
      <c r="B268" t="s">
        <v>550</v>
      </c>
      <c r="C268" t="s">
        <v>550</v>
      </c>
      <c r="D268" s="2">
        <v>31364.649912665769</v>
      </c>
      <c r="E268">
        <v>267</v>
      </c>
    </row>
    <row r="269" spans="1:5" x14ac:dyDescent="0.3">
      <c r="A269" t="s">
        <v>645</v>
      </c>
      <c r="B269" t="s">
        <v>765</v>
      </c>
      <c r="C269" t="s">
        <v>769</v>
      </c>
      <c r="D269" s="2">
        <v>30729.191324262971</v>
      </c>
      <c r="E269">
        <v>268</v>
      </c>
    </row>
    <row r="270" spans="1:5" x14ac:dyDescent="0.3">
      <c r="A270" t="s">
        <v>453</v>
      </c>
      <c r="B270" t="s">
        <v>454</v>
      </c>
      <c r="C270" t="s">
        <v>459</v>
      </c>
      <c r="D270" s="2">
        <v>30478.380385657641</v>
      </c>
      <c r="E270">
        <v>269</v>
      </c>
    </row>
    <row r="271" spans="1:5" x14ac:dyDescent="0.3">
      <c r="A271" t="s">
        <v>645</v>
      </c>
      <c r="B271" t="s">
        <v>802</v>
      </c>
      <c r="C271" t="s">
        <v>804</v>
      </c>
      <c r="D271" s="2">
        <v>30376.788247496981</v>
      </c>
      <c r="E271">
        <v>270</v>
      </c>
    </row>
    <row r="272" spans="1:5" x14ac:dyDescent="0.3">
      <c r="A272" t="s">
        <v>667</v>
      </c>
      <c r="B272" t="s">
        <v>677</v>
      </c>
      <c r="C272" t="s">
        <v>677</v>
      </c>
      <c r="D272" s="2">
        <v>30186.722512942211</v>
      </c>
      <c r="E272">
        <v>271</v>
      </c>
    </row>
    <row r="273" spans="1:5" x14ac:dyDescent="0.3">
      <c r="A273" t="s">
        <v>225</v>
      </c>
      <c r="B273" t="s">
        <v>262</v>
      </c>
      <c r="C273" t="s">
        <v>262</v>
      </c>
      <c r="D273" s="2">
        <v>28329.203760846071</v>
      </c>
      <c r="E273">
        <v>272</v>
      </c>
    </row>
    <row r="274" spans="1:5" x14ac:dyDescent="0.3">
      <c r="A274" t="s">
        <v>605</v>
      </c>
      <c r="B274" t="s">
        <v>655</v>
      </c>
      <c r="C274" t="s">
        <v>649</v>
      </c>
      <c r="D274" s="2">
        <v>27337.835914907999</v>
      </c>
      <c r="E274">
        <v>273</v>
      </c>
    </row>
    <row r="275" spans="1:5" x14ac:dyDescent="0.3">
      <c r="A275" t="s">
        <v>645</v>
      </c>
      <c r="B275" t="s">
        <v>765</v>
      </c>
      <c r="C275" t="s">
        <v>793</v>
      </c>
      <c r="D275" s="2">
        <v>27205.978780633039</v>
      </c>
      <c r="E275">
        <v>274</v>
      </c>
    </row>
    <row r="276" spans="1:5" x14ac:dyDescent="0.3">
      <c r="A276" t="s">
        <v>645</v>
      </c>
      <c r="B276" t="s">
        <v>802</v>
      </c>
      <c r="C276" t="s">
        <v>806</v>
      </c>
      <c r="D276" s="2">
        <v>26915.848586285221</v>
      </c>
      <c r="E276">
        <v>275</v>
      </c>
    </row>
    <row r="277" spans="1:5" x14ac:dyDescent="0.3">
      <c r="A277" t="s">
        <v>117</v>
      </c>
      <c r="B277" t="s">
        <v>146</v>
      </c>
      <c r="C277" t="s">
        <v>146</v>
      </c>
      <c r="D277" s="2">
        <v>26656.316965344031</v>
      </c>
      <c r="E277">
        <v>276</v>
      </c>
    </row>
    <row r="278" spans="1:5" x14ac:dyDescent="0.3">
      <c r="A278" t="s">
        <v>184</v>
      </c>
      <c r="B278" t="s">
        <v>185</v>
      </c>
      <c r="C278" t="s">
        <v>195</v>
      </c>
      <c r="D278" s="2">
        <v>26483.568382125919</v>
      </c>
      <c r="E278">
        <v>277</v>
      </c>
    </row>
    <row r="279" spans="1:5" x14ac:dyDescent="0.3">
      <c r="A279" t="s">
        <v>823</v>
      </c>
      <c r="B279" t="s">
        <v>824</v>
      </c>
      <c r="C279" t="s">
        <v>833</v>
      </c>
      <c r="D279" s="2">
        <v>26371.256451132009</v>
      </c>
      <c r="E279">
        <v>278</v>
      </c>
    </row>
    <row r="280" spans="1:5" x14ac:dyDescent="0.3">
      <c r="A280" t="s">
        <v>399</v>
      </c>
      <c r="B280" t="s">
        <v>407</v>
      </c>
      <c r="C280" t="s">
        <v>407</v>
      </c>
      <c r="D280" s="2">
        <v>25491.301148702179</v>
      </c>
      <c r="E280">
        <v>279</v>
      </c>
    </row>
    <row r="281" spans="1:5" x14ac:dyDescent="0.3">
      <c r="A281" t="s">
        <v>184</v>
      </c>
      <c r="B281" t="s">
        <v>211</v>
      </c>
      <c r="C281" t="s">
        <v>215</v>
      </c>
      <c r="D281" s="2">
        <v>25311.226702339569</v>
      </c>
      <c r="E281">
        <v>280</v>
      </c>
    </row>
    <row r="282" spans="1:5" x14ac:dyDescent="0.3">
      <c r="A282" t="s">
        <v>280</v>
      </c>
      <c r="B282" t="s">
        <v>305</v>
      </c>
      <c r="C282" t="s">
        <v>305</v>
      </c>
      <c r="D282" s="2">
        <v>25000.821448277231</v>
      </c>
      <c r="E282">
        <v>281</v>
      </c>
    </row>
    <row r="283" spans="1:5" x14ac:dyDescent="0.3">
      <c r="A283" t="s">
        <v>13</v>
      </c>
      <c r="B283" t="s">
        <v>75</v>
      </c>
      <c r="C283" t="s">
        <v>76</v>
      </c>
      <c r="D283" s="2">
        <v>24747.070155325269</v>
      </c>
      <c r="E283">
        <v>282</v>
      </c>
    </row>
    <row r="284" spans="1:5" x14ac:dyDescent="0.3">
      <c r="A284" t="s">
        <v>453</v>
      </c>
      <c r="B284" t="s">
        <v>481</v>
      </c>
      <c r="C284" t="s">
        <v>481</v>
      </c>
      <c r="D284" s="2">
        <v>24062.731603012631</v>
      </c>
      <c r="E284">
        <v>283</v>
      </c>
    </row>
    <row r="285" spans="1:5" x14ac:dyDescent="0.3">
      <c r="A285" t="s">
        <v>823</v>
      </c>
      <c r="B285" t="s">
        <v>824</v>
      </c>
      <c r="C285" t="s">
        <v>323</v>
      </c>
      <c r="D285" s="2">
        <v>23559.830364621281</v>
      </c>
      <c r="E285">
        <v>284</v>
      </c>
    </row>
    <row r="286" spans="1:5" x14ac:dyDescent="0.3">
      <c r="A286" t="s">
        <v>492</v>
      </c>
      <c r="B286" t="s">
        <v>563</v>
      </c>
      <c r="C286" t="s">
        <v>563</v>
      </c>
      <c r="D286" s="2">
        <v>23537.8372058434</v>
      </c>
      <c r="E286">
        <v>285</v>
      </c>
    </row>
    <row r="287" spans="1:5" x14ac:dyDescent="0.3">
      <c r="A287" t="s">
        <v>605</v>
      </c>
      <c r="B287" t="s">
        <v>661</v>
      </c>
      <c r="C287" t="s">
        <v>663</v>
      </c>
      <c r="D287" s="2">
        <v>21033.971987045628</v>
      </c>
      <c r="E287">
        <v>286</v>
      </c>
    </row>
    <row r="288" spans="1:5" x14ac:dyDescent="0.3">
      <c r="A288" t="s">
        <v>184</v>
      </c>
      <c r="B288" t="s">
        <v>220</v>
      </c>
      <c r="C288" t="s">
        <v>221</v>
      </c>
      <c r="D288" s="2">
        <v>20716.104453770498</v>
      </c>
      <c r="E288">
        <v>287</v>
      </c>
    </row>
    <row r="289" spans="1:5" x14ac:dyDescent="0.3">
      <c r="A289" t="s">
        <v>823</v>
      </c>
      <c r="B289" t="s">
        <v>824</v>
      </c>
      <c r="C289" t="s">
        <v>837</v>
      </c>
      <c r="D289" s="2">
        <v>20692.116524019639</v>
      </c>
      <c r="E289">
        <v>288</v>
      </c>
    </row>
    <row r="290" spans="1:5" x14ac:dyDescent="0.3">
      <c r="A290" t="s">
        <v>645</v>
      </c>
      <c r="B290" t="s">
        <v>765</v>
      </c>
      <c r="C290" t="s">
        <v>794</v>
      </c>
      <c r="D290" s="2">
        <v>20655.525978957889</v>
      </c>
      <c r="E290">
        <v>289</v>
      </c>
    </row>
    <row r="291" spans="1:5" x14ac:dyDescent="0.3">
      <c r="A291" t="s">
        <v>645</v>
      </c>
      <c r="B291" t="s">
        <v>765</v>
      </c>
      <c r="C291" t="s">
        <v>777</v>
      </c>
      <c r="D291" s="2">
        <v>20486.770861776131</v>
      </c>
      <c r="E291">
        <v>290</v>
      </c>
    </row>
    <row r="292" spans="1:5" x14ac:dyDescent="0.3">
      <c r="A292" t="s">
        <v>13</v>
      </c>
      <c r="B292" t="s">
        <v>14</v>
      </c>
      <c r="C292" t="s">
        <v>14</v>
      </c>
      <c r="D292" s="2">
        <v>19834.796442500861</v>
      </c>
      <c r="E292">
        <v>291</v>
      </c>
    </row>
    <row r="293" spans="1:5" x14ac:dyDescent="0.3">
      <c r="A293" t="s">
        <v>453</v>
      </c>
      <c r="B293" t="s">
        <v>485</v>
      </c>
      <c r="C293" t="s">
        <v>486</v>
      </c>
      <c r="D293" s="2">
        <v>19829.061387071801</v>
      </c>
      <c r="E293">
        <v>292</v>
      </c>
    </row>
    <row r="294" spans="1:5" x14ac:dyDescent="0.3">
      <c r="A294" t="s">
        <v>184</v>
      </c>
      <c r="B294" t="s">
        <v>185</v>
      </c>
      <c r="C294" t="s">
        <v>188</v>
      </c>
      <c r="D294" s="2">
        <v>18971.642012975892</v>
      </c>
      <c r="E294">
        <v>293</v>
      </c>
    </row>
    <row r="295" spans="1:5" x14ac:dyDescent="0.3">
      <c r="A295" t="s">
        <v>645</v>
      </c>
      <c r="B295" t="s">
        <v>796</v>
      </c>
      <c r="C295" t="s">
        <v>798</v>
      </c>
      <c r="D295" s="2">
        <v>17472.776214621019</v>
      </c>
      <c r="E295">
        <v>294</v>
      </c>
    </row>
    <row r="296" spans="1:5" x14ac:dyDescent="0.3">
      <c r="A296" t="s">
        <v>184</v>
      </c>
      <c r="B296" t="s">
        <v>196</v>
      </c>
      <c r="C296" t="s">
        <v>196</v>
      </c>
      <c r="D296" s="2">
        <v>17137.082292336268</v>
      </c>
      <c r="E296">
        <v>295</v>
      </c>
    </row>
    <row r="297" spans="1:5" x14ac:dyDescent="0.3">
      <c r="A297" t="s">
        <v>399</v>
      </c>
      <c r="B297" t="s">
        <v>452</v>
      </c>
      <c r="C297" t="s">
        <v>452</v>
      </c>
      <c r="D297" s="2">
        <v>17050.088884964342</v>
      </c>
      <c r="E297">
        <v>296</v>
      </c>
    </row>
    <row r="298" spans="1:5" x14ac:dyDescent="0.3">
      <c r="A298" t="s">
        <v>867</v>
      </c>
      <c r="B298" t="s">
        <v>874</v>
      </c>
      <c r="C298" t="s">
        <v>875</v>
      </c>
      <c r="D298" s="2">
        <v>17016.092460162239</v>
      </c>
      <c r="E298">
        <v>297</v>
      </c>
    </row>
    <row r="299" spans="1:5" x14ac:dyDescent="0.3">
      <c r="A299" t="s">
        <v>399</v>
      </c>
      <c r="B299" t="s">
        <v>415</v>
      </c>
      <c r="C299" t="s">
        <v>350</v>
      </c>
      <c r="D299" s="2">
        <v>16674.111869649911</v>
      </c>
      <c r="E299">
        <v>298</v>
      </c>
    </row>
    <row r="300" spans="1:5" x14ac:dyDescent="0.3">
      <c r="A300" t="s">
        <v>933</v>
      </c>
      <c r="B300" t="s">
        <v>933</v>
      </c>
      <c r="C300" t="s">
        <v>997</v>
      </c>
      <c r="D300" s="2">
        <v>16646.313682953059</v>
      </c>
      <c r="E300">
        <v>299</v>
      </c>
    </row>
    <row r="301" spans="1:5" x14ac:dyDescent="0.3">
      <c r="A301" t="s">
        <v>13</v>
      </c>
      <c r="B301" t="s">
        <v>14</v>
      </c>
      <c r="C301" t="s">
        <v>21</v>
      </c>
      <c r="D301" s="2">
        <v>16571.753379279089</v>
      </c>
      <c r="E301">
        <v>300</v>
      </c>
    </row>
    <row r="302" spans="1:5" x14ac:dyDescent="0.3">
      <c r="A302" t="s">
        <v>13</v>
      </c>
      <c r="B302" t="s">
        <v>14</v>
      </c>
      <c r="C302" t="s">
        <v>24</v>
      </c>
      <c r="D302" s="2">
        <v>16243.232819629469</v>
      </c>
      <c r="E302">
        <v>301</v>
      </c>
    </row>
    <row r="303" spans="1:5" x14ac:dyDescent="0.3">
      <c r="A303" t="s">
        <v>579</v>
      </c>
      <c r="B303" t="s">
        <v>588</v>
      </c>
      <c r="C303" t="s">
        <v>588</v>
      </c>
      <c r="D303" s="2">
        <v>16127.10434004021</v>
      </c>
      <c r="E303">
        <v>302</v>
      </c>
    </row>
    <row r="304" spans="1:5" x14ac:dyDescent="0.3">
      <c r="A304" t="s">
        <v>492</v>
      </c>
      <c r="B304" t="s">
        <v>532</v>
      </c>
      <c r="C304" t="s">
        <v>532</v>
      </c>
      <c r="D304" s="2">
        <v>15565.20896763143</v>
      </c>
      <c r="E304">
        <v>303</v>
      </c>
    </row>
    <row r="305" spans="1:5" x14ac:dyDescent="0.3">
      <c r="A305" t="s">
        <v>184</v>
      </c>
      <c r="B305" t="s">
        <v>220</v>
      </c>
      <c r="C305" t="s">
        <v>220</v>
      </c>
      <c r="D305" s="2">
        <v>15358.105793356041</v>
      </c>
      <c r="E305">
        <v>304</v>
      </c>
    </row>
    <row r="306" spans="1:5" x14ac:dyDescent="0.3">
      <c r="A306" t="s">
        <v>667</v>
      </c>
      <c r="B306" t="s">
        <v>707</v>
      </c>
      <c r="C306" t="s">
        <v>707</v>
      </c>
      <c r="D306" s="2">
        <v>14804.293268158881</v>
      </c>
      <c r="E306">
        <v>305</v>
      </c>
    </row>
    <row r="307" spans="1:5" x14ac:dyDescent="0.3">
      <c r="A307" t="s">
        <v>605</v>
      </c>
      <c r="B307" t="s">
        <v>636</v>
      </c>
      <c r="C307" t="s">
        <v>637</v>
      </c>
      <c r="D307" s="2">
        <v>14633.54322122486</v>
      </c>
      <c r="E307">
        <v>306</v>
      </c>
    </row>
    <row r="308" spans="1:5" x14ac:dyDescent="0.3">
      <c r="A308" t="s">
        <v>667</v>
      </c>
      <c r="B308" t="s">
        <v>668</v>
      </c>
      <c r="C308" t="s">
        <v>669</v>
      </c>
      <c r="D308" s="2">
        <v>14427.53253442676</v>
      </c>
      <c r="E308">
        <v>307</v>
      </c>
    </row>
    <row r="309" spans="1:5" x14ac:dyDescent="0.3">
      <c r="A309" t="s">
        <v>225</v>
      </c>
      <c r="B309" t="s">
        <v>226</v>
      </c>
      <c r="C309" t="s">
        <v>226</v>
      </c>
      <c r="D309" s="2">
        <v>14380.784334163691</v>
      </c>
      <c r="E309">
        <v>308</v>
      </c>
    </row>
    <row r="310" spans="1:5" x14ac:dyDescent="0.3">
      <c r="A310" t="s">
        <v>453</v>
      </c>
      <c r="B310" t="s">
        <v>454</v>
      </c>
      <c r="C310" t="s">
        <v>455</v>
      </c>
      <c r="D310" s="2">
        <v>14367.705483528411</v>
      </c>
      <c r="E310">
        <v>309</v>
      </c>
    </row>
    <row r="311" spans="1:5" x14ac:dyDescent="0.3">
      <c r="A311" t="s">
        <v>823</v>
      </c>
      <c r="B311" t="s">
        <v>824</v>
      </c>
      <c r="C311" t="s">
        <v>830</v>
      </c>
      <c r="D311" s="2">
        <v>14323.05696194017</v>
      </c>
      <c r="E311">
        <v>310</v>
      </c>
    </row>
    <row r="312" spans="1:5" x14ac:dyDescent="0.3">
      <c r="A312" t="s">
        <v>280</v>
      </c>
      <c r="B312" t="s">
        <v>323</v>
      </c>
      <c r="C312" t="s">
        <v>324</v>
      </c>
      <c r="D312" s="2">
        <v>14149.030019189249</v>
      </c>
      <c r="E312">
        <v>311</v>
      </c>
    </row>
    <row r="313" spans="1:5" x14ac:dyDescent="0.3">
      <c r="A313" t="s">
        <v>90</v>
      </c>
      <c r="B313" t="s">
        <v>91</v>
      </c>
      <c r="C313" t="s">
        <v>91</v>
      </c>
      <c r="D313" s="2">
        <v>14122.504604788441</v>
      </c>
      <c r="E313">
        <v>312</v>
      </c>
    </row>
    <row r="314" spans="1:5" x14ac:dyDescent="0.3">
      <c r="A314" t="s">
        <v>184</v>
      </c>
      <c r="B314" t="s">
        <v>204</v>
      </c>
      <c r="C314" t="s">
        <v>204</v>
      </c>
      <c r="D314" s="2">
        <v>14050.985249177949</v>
      </c>
      <c r="E314">
        <v>313</v>
      </c>
    </row>
    <row r="315" spans="1:5" x14ac:dyDescent="0.3">
      <c r="A315" t="s">
        <v>823</v>
      </c>
      <c r="B315" t="s">
        <v>857</v>
      </c>
      <c r="C315" t="s">
        <v>861</v>
      </c>
      <c r="D315" s="2">
        <v>13523.054518966719</v>
      </c>
      <c r="E315">
        <v>314</v>
      </c>
    </row>
    <row r="316" spans="1:5" x14ac:dyDescent="0.3">
      <c r="A316" t="s">
        <v>823</v>
      </c>
      <c r="B316" t="s">
        <v>857</v>
      </c>
      <c r="C316" t="s">
        <v>862</v>
      </c>
      <c r="D316" s="2">
        <v>12795.62708881367</v>
      </c>
      <c r="E316">
        <v>315</v>
      </c>
    </row>
    <row r="317" spans="1:5" x14ac:dyDescent="0.3">
      <c r="A317" t="s">
        <v>983</v>
      </c>
      <c r="B317" t="s">
        <v>984</v>
      </c>
      <c r="C317" t="s">
        <v>987</v>
      </c>
      <c r="D317" s="2">
        <v>12677.488113556101</v>
      </c>
      <c r="E317">
        <v>316</v>
      </c>
    </row>
    <row r="318" spans="1:5" x14ac:dyDescent="0.3">
      <c r="A318" t="s">
        <v>492</v>
      </c>
      <c r="B318" t="s">
        <v>492</v>
      </c>
      <c r="C318" t="s">
        <v>492</v>
      </c>
      <c r="D318" s="2">
        <v>12512.762010218081</v>
      </c>
      <c r="E318">
        <v>317</v>
      </c>
    </row>
    <row r="319" spans="1:5" x14ac:dyDescent="0.3">
      <c r="A319" t="s">
        <v>605</v>
      </c>
      <c r="B319" t="s">
        <v>628</v>
      </c>
      <c r="C319" t="s">
        <v>628</v>
      </c>
      <c r="D319" s="2">
        <v>12506.846430317761</v>
      </c>
      <c r="E319">
        <v>318</v>
      </c>
    </row>
    <row r="320" spans="1:5" x14ac:dyDescent="0.3">
      <c r="A320" t="s">
        <v>184</v>
      </c>
      <c r="B320" t="s">
        <v>185</v>
      </c>
      <c r="C320" t="s">
        <v>187</v>
      </c>
      <c r="D320" s="2">
        <v>12442.59007647641</v>
      </c>
      <c r="E320">
        <v>319</v>
      </c>
    </row>
    <row r="321" spans="1:5" x14ac:dyDescent="0.3">
      <c r="A321" t="s">
        <v>645</v>
      </c>
      <c r="B321" t="s">
        <v>796</v>
      </c>
      <c r="C321" t="s">
        <v>796</v>
      </c>
      <c r="D321" s="2">
        <v>12191.64753146683</v>
      </c>
      <c r="E321">
        <v>320</v>
      </c>
    </row>
    <row r="322" spans="1:5" x14ac:dyDescent="0.3">
      <c r="A322" t="s">
        <v>579</v>
      </c>
      <c r="B322" t="s">
        <v>596</v>
      </c>
      <c r="C322" t="s">
        <v>597</v>
      </c>
      <c r="D322" s="2">
        <v>11808.11294556629</v>
      </c>
      <c r="E322">
        <v>321</v>
      </c>
    </row>
    <row r="323" spans="1:5" x14ac:dyDescent="0.3">
      <c r="A323" t="s">
        <v>184</v>
      </c>
      <c r="B323" t="s">
        <v>220</v>
      </c>
      <c r="C323" t="s">
        <v>222</v>
      </c>
      <c r="D323" s="2">
        <v>11648.887435687609</v>
      </c>
      <c r="E323">
        <v>322</v>
      </c>
    </row>
    <row r="324" spans="1:5" x14ac:dyDescent="0.3">
      <c r="A324" t="s">
        <v>13</v>
      </c>
      <c r="B324" t="s">
        <v>48</v>
      </c>
      <c r="C324" t="s">
        <v>50</v>
      </c>
      <c r="D324" s="2">
        <v>11641.019848075999</v>
      </c>
      <c r="E324">
        <v>323</v>
      </c>
    </row>
    <row r="325" spans="1:5" x14ac:dyDescent="0.3">
      <c r="A325" t="s">
        <v>723</v>
      </c>
      <c r="B325" t="s">
        <v>732</v>
      </c>
      <c r="C325" t="s">
        <v>732</v>
      </c>
      <c r="D325" s="2">
        <v>11122.78632676121</v>
      </c>
      <c r="E325">
        <v>324</v>
      </c>
    </row>
    <row r="326" spans="1:5" x14ac:dyDescent="0.3">
      <c r="A326" t="s">
        <v>915</v>
      </c>
      <c r="B326" t="s">
        <v>949</v>
      </c>
      <c r="C326" t="s">
        <v>950</v>
      </c>
      <c r="D326" s="2">
        <v>10573.56049104205</v>
      </c>
      <c r="E326">
        <v>325</v>
      </c>
    </row>
    <row r="327" spans="1:5" x14ac:dyDescent="0.3">
      <c r="A327" t="s">
        <v>823</v>
      </c>
      <c r="B327" t="s">
        <v>824</v>
      </c>
      <c r="C327" t="s">
        <v>824</v>
      </c>
      <c r="D327" s="2">
        <v>10113.81519169137</v>
      </c>
      <c r="E327">
        <v>326</v>
      </c>
    </row>
    <row r="328" spans="1:5" x14ac:dyDescent="0.3">
      <c r="A328" t="s">
        <v>341</v>
      </c>
      <c r="B328" t="s">
        <v>341</v>
      </c>
      <c r="C328" t="s">
        <v>348</v>
      </c>
      <c r="D328" s="2">
        <v>9937.1800186758592</v>
      </c>
      <c r="E328">
        <v>327</v>
      </c>
    </row>
    <row r="329" spans="1:5" x14ac:dyDescent="0.3">
      <c r="A329" t="s">
        <v>280</v>
      </c>
      <c r="B329" t="s">
        <v>339</v>
      </c>
      <c r="C329" t="s">
        <v>207</v>
      </c>
      <c r="D329" s="2">
        <v>9772.4314061058485</v>
      </c>
      <c r="E329">
        <v>328</v>
      </c>
    </row>
    <row r="330" spans="1:5" x14ac:dyDescent="0.3">
      <c r="A330" t="s">
        <v>645</v>
      </c>
      <c r="B330" t="s">
        <v>802</v>
      </c>
      <c r="C330" t="s">
        <v>803</v>
      </c>
      <c r="D330" s="2">
        <v>9644.6700117824003</v>
      </c>
      <c r="E330">
        <v>329</v>
      </c>
    </row>
    <row r="331" spans="1:5" x14ac:dyDescent="0.3">
      <c r="A331" t="s">
        <v>645</v>
      </c>
      <c r="B331" t="s">
        <v>765</v>
      </c>
      <c r="C331" t="s">
        <v>786</v>
      </c>
      <c r="D331" s="2">
        <v>9475.6001466516209</v>
      </c>
      <c r="E331">
        <v>330</v>
      </c>
    </row>
    <row r="332" spans="1:5" x14ac:dyDescent="0.3">
      <c r="A332" t="s">
        <v>13</v>
      </c>
      <c r="B332" t="s">
        <v>14</v>
      </c>
      <c r="C332" t="s">
        <v>27</v>
      </c>
      <c r="D332" s="2">
        <v>9384.7087348270725</v>
      </c>
      <c r="E332">
        <v>331</v>
      </c>
    </row>
    <row r="333" spans="1:5" x14ac:dyDescent="0.3">
      <c r="A333" t="s">
        <v>645</v>
      </c>
      <c r="B333" t="s">
        <v>815</v>
      </c>
      <c r="C333" t="s">
        <v>817</v>
      </c>
      <c r="D333" s="2">
        <v>9197.8129816562378</v>
      </c>
      <c r="E333">
        <v>332</v>
      </c>
    </row>
    <row r="334" spans="1:5" x14ac:dyDescent="0.3">
      <c r="A334" t="s">
        <v>823</v>
      </c>
      <c r="B334" t="s">
        <v>848</v>
      </c>
      <c r="C334" t="s">
        <v>848</v>
      </c>
      <c r="D334" s="2">
        <v>8737.4991749067067</v>
      </c>
      <c r="E334">
        <v>333</v>
      </c>
    </row>
    <row r="335" spans="1:5" x14ac:dyDescent="0.3">
      <c r="A335" t="s">
        <v>823</v>
      </c>
      <c r="B335" t="s">
        <v>824</v>
      </c>
      <c r="C335" t="s">
        <v>834</v>
      </c>
      <c r="D335" s="2">
        <v>8466.9147955691806</v>
      </c>
      <c r="E335">
        <v>334</v>
      </c>
    </row>
    <row r="336" spans="1:5" x14ac:dyDescent="0.3">
      <c r="A336" t="s">
        <v>399</v>
      </c>
      <c r="B336" t="s">
        <v>422</v>
      </c>
      <c r="C336" t="s">
        <v>422</v>
      </c>
      <c r="D336" s="2">
        <v>8295.6025251912979</v>
      </c>
      <c r="E336">
        <v>335</v>
      </c>
    </row>
    <row r="337" spans="1:5" x14ac:dyDescent="0.3">
      <c r="A337" t="s">
        <v>823</v>
      </c>
      <c r="B337" t="s">
        <v>865</v>
      </c>
      <c r="C337" t="s">
        <v>865</v>
      </c>
      <c r="D337" s="2">
        <v>8221.9635929919568</v>
      </c>
      <c r="E337">
        <v>336</v>
      </c>
    </row>
    <row r="338" spans="1:5" x14ac:dyDescent="0.3">
      <c r="A338" t="s">
        <v>867</v>
      </c>
      <c r="B338" t="s">
        <v>868</v>
      </c>
      <c r="C338" t="s">
        <v>868</v>
      </c>
      <c r="D338" s="2">
        <v>8091.6599928842443</v>
      </c>
      <c r="E338">
        <v>337</v>
      </c>
    </row>
    <row r="339" spans="1:5" x14ac:dyDescent="0.3">
      <c r="A339" t="s">
        <v>13</v>
      </c>
      <c r="B339" t="s">
        <v>75</v>
      </c>
      <c r="C339" t="s">
        <v>77</v>
      </c>
      <c r="D339" s="2">
        <v>8031.6542317205458</v>
      </c>
      <c r="E339">
        <v>338</v>
      </c>
    </row>
    <row r="340" spans="1:5" x14ac:dyDescent="0.3">
      <c r="A340" t="s">
        <v>399</v>
      </c>
      <c r="B340" t="s">
        <v>416</v>
      </c>
      <c r="C340" t="s">
        <v>417</v>
      </c>
      <c r="D340" s="2">
        <v>8008.1856598957665</v>
      </c>
      <c r="E340">
        <v>339</v>
      </c>
    </row>
    <row r="341" spans="1:5" x14ac:dyDescent="0.3">
      <c r="A341" t="s">
        <v>225</v>
      </c>
      <c r="B341" t="s">
        <v>226</v>
      </c>
      <c r="C341" t="s">
        <v>232</v>
      </c>
      <c r="D341" s="2">
        <v>7510.6386944319211</v>
      </c>
      <c r="E341">
        <v>340</v>
      </c>
    </row>
    <row r="342" spans="1:5" x14ac:dyDescent="0.3">
      <c r="A342" t="s">
        <v>605</v>
      </c>
      <c r="B342" t="s">
        <v>90</v>
      </c>
      <c r="C342" t="s">
        <v>471</v>
      </c>
      <c r="D342" s="2">
        <v>7445.7801721401966</v>
      </c>
      <c r="E342">
        <v>341</v>
      </c>
    </row>
    <row r="343" spans="1:5" x14ac:dyDescent="0.3">
      <c r="A343" t="s">
        <v>605</v>
      </c>
      <c r="B343" t="s">
        <v>665</v>
      </c>
      <c r="C343" t="s">
        <v>665</v>
      </c>
      <c r="D343" s="2">
        <v>6687.4586019890139</v>
      </c>
      <c r="E343">
        <v>342</v>
      </c>
    </row>
    <row r="344" spans="1:5" x14ac:dyDescent="0.3">
      <c r="A344" t="s">
        <v>399</v>
      </c>
      <c r="B344" t="s">
        <v>400</v>
      </c>
      <c r="C344" t="s">
        <v>404</v>
      </c>
      <c r="D344" s="2">
        <v>6419.0963492294732</v>
      </c>
      <c r="E344">
        <v>343</v>
      </c>
    </row>
    <row r="345" spans="1:5" x14ac:dyDescent="0.3">
      <c r="A345" t="s">
        <v>13</v>
      </c>
      <c r="B345" t="s">
        <v>14</v>
      </c>
      <c r="C345" t="s">
        <v>15</v>
      </c>
      <c r="D345" s="2">
        <v>6406.6923968802839</v>
      </c>
      <c r="E345">
        <v>344</v>
      </c>
    </row>
    <row r="346" spans="1:5" x14ac:dyDescent="0.3">
      <c r="A346" t="s">
        <v>605</v>
      </c>
      <c r="B346" t="s">
        <v>638</v>
      </c>
      <c r="C346" t="s">
        <v>639</v>
      </c>
      <c r="D346" s="2">
        <v>6365.9031354942481</v>
      </c>
      <c r="E346">
        <v>345</v>
      </c>
    </row>
    <row r="347" spans="1:5" x14ac:dyDescent="0.3">
      <c r="A347" t="s">
        <v>13</v>
      </c>
      <c r="B347" t="s">
        <v>64</v>
      </c>
      <c r="C347" t="s">
        <v>65</v>
      </c>
      <c r="D347" s="2">
        <v>6297.2781387741989</v>
      </c>
      <c r="E347">
        <v>346</v>
      </c>
    </row>
    <row r="348" spans="1:5" x14ac:dyDescent="0.3">
      <c r="A348" t="s">
        <v>399</v>
      </c>
      <c r="B348" t="s">
        <v>439</v>
      </c>
      <c r="C348" t="s">
        <v>439</v>
      </c>
      <c r="D348" s="2">
        <v>6150.1801018014758</v>
      </c>
      <c r="E348">
        <v>347</v>
      </c>
    </row>
    <row r="349" spans="1:5" x14ac:dyDescent="0.3">
      <c r="A349" t="s">
        <v>225</v>
      </c>
      <c r="B349" t="s">
        <v>271</v>
      </c>
      <c r="C349" t="s">
        <v>271</v>
      </c>
      <c r="D349" s="2">
        <v>6120.7786549148559</v>
      </c>
      <c r="E349">
        <v>348</v>
      </c>
    </row>
    <row r="350" spans="1:5" x14ac:dyDescent="0.3">
      <c r="A350" t="s">
        <v>453</v>
      </c>
      <c r="B350" t="s">
        <v>466</v>
      </c>
      <c r="C350" t="s">
        <v>468</v>
      </c>
      <c r="D350" s="2">
        <v>6118.0288923978624</v>
      </c>
      <c r="E350">
        <v>349</v>
      </c>
    </row>
    <row r="351" spans="1:5" x14ac:dyDescent="0.3">
      <c r="A351" t="s">
        <v>13</v>
      </c>
      <c r="B351" t="s">
        <v>14</v>
      </c>
      <c r="C351" t="s">
        <v>29</v>
      </c>
      <c r="D351" s="2">
        <v>6012.4534718843961</v>
      </c>
      <c r="E351">
        <v>350</v>
      </c>
    </row>
    <row r="352" spans="1:5" x14ac:dyDescent="0.3">
      <c r="A352" t="s">
        <v>667</v>
      </c>
      <c r="B352" t="s">
        <v>702</v>
      </c>
      <c r="C352" t="s">
        <v>702</v>
      </c>
      <c r="D352" s="2">
        <v>5838.891379421133</v>
      </c>
      <c r="E352">
        <v>351</v>
      </c>
    </row>
    <row r="353" spans="1:5" x14ac:dyDescent="0.3">
      <c r="A353" t="s">
        <v>184</v>
      </c>
      <c r="B353" t="s">
        <v>185</v>
      </c>
      <c r="C353" t="s">
        <v>186</v>
      </c>
      <c r="D353" s="2">
        <v>5719.8460389285428</v>
      </c>
      <c r="E353">
        <v>352</v>
      </c>
    </row>
    <row r="354" spans="1:5" x14ac:dyDescent="0.3">
      <c r="A354" t="s">
        <v>341</v>
      </c>
      <c r="B354" t="s">
        <v>95</v>
      </c>
      <c r="C354" t="s">
        <v>95</v>
      </c>
      <c r="D354" s="2">
        <v>5617.1701207674814</v>
      </c>
      <c r="E354">
        <v>353</v>
      </c>
    </row>
    <row r="355" spans="1:5" x14ac:dyDescent="0.3">
      <c r="A355" t="s">
        <v>605</v>
      </c>
      <c r="B355" t="s">
        <v>28</v>
      </c>
      <c r="C355" t="s">
        <v>647</v>
      </c>
      <c r="D355" s="2">
        <v>5268.0473894643164</v>
      </c>
      <c r="E355">
        <v>354</v>
      </c>
    </row>
    <row r="356" spans="1:5" x14ac:dyDescent="0.3">
      <c r="A356" t="s">
        <v>723</v>
      </c>
      <c r="B356" t="s">
        <v>736</v>
      </c>
      <c r="C356" t="s">
        <v>737</v>
      </c>
      <c r="D356" s="2">
        <v>5061.9956614408493</v>
      </c>
      <c r="E356">
        <v>355</v>
      </c>
    </row>
    <row r="357" spans="1:5" x14ac:dyDescent="0.3">
      <c r="A357" t="s">
        <v>605</v>
      </c>
      <c r="B357" t="s">
        <v>636</v>
      </c>
      <c r="C357" t="s">
        <v>95</v>
      </c>
      <c r="D357" s="2">
        <v>4976.4418618313703</v>
      </c>
      <c r="E357">
        <v>356</v>
      </c>
    </row>
    <row r="358" spans="1:5" x14ac:dyDescent="0.3">
      <c r="A358" t="s">
        <v>492</v>
      </c>
      <c r="B358" t="s">
        <v>515</v>
      </c>
      <c r="C358" t="s">
        <v>515</v>
      </c>
      <c r="D358" s="2">
        <v>4882.719383913015</v>
      </c>
      <c r="E358">
        <v>357</v>
      </c>
    </row>
    <row r="359" spans="1:5" x14ac:dyDescent="0.3">
      <c r="A359" t="s">
        <v>645</v>
      </c>
      <c r="B359" t="s">
        <v>765</v>
      </c>
      <c r="C359" t="s">
        <v>787</v>
      </c>
      <c r="D359" s="2">
        <v>4875.8612381002786</v>
      </c>
      <c r="E359">
        <v>358</v>
      </c>
    </row>
    <row r="360" spans="1:5" x14ac:dyDescent="0.3">
      <c r="A360" t="s">
        <v>184</v>
      </c>
      <c r="B360" t="s">
        <v>185</v>
      </c>
      <c r="C360" t="s">
        <v>192</v>
      </c>
      <c r="D360" s="2">
        <v>4863.6296277487027</v>
      </c>
      <c r="E360">
        <v>359</v>
      </c>
    </row>
    <row r="361" spans="1:5" x14ac:dyDescent="0.3">
      <c r="A361" t="s">
        <v>13</v>
      </c>
      <c r="B361" t="s">
        <v>36</v>
      </c>
      <c r="C361" t="s">
        <v>36</v>
      </c>
      <c r="D361" s="2">
        <v>4808.0093762407232</v>
      </c>
      <c r="E361">
        <v>360</v>
      </c>
    </row>
    <row r="362" spans="1:5" x14ac:dyDescent="0.3">
      <c r="A362" t="s">
        <v>341</v>
      </c>
      <c r="B362" t="s">
        <v>373</v>
      </c>
      <c r="C362" t="s">
        <v>374</v>
      </c>
      <c r="D362" s="2">
        <v>4796.2897768721059</v>
      </c>
      <c r="E362">
        <v>361</v>
      </c>
    </row>
    <row r="363" spans="1:5" x14ac:dyDescent="0.3">
      <c r="A363" t="s">
        <v>645</v>
      </c>
      <c r="B363" t="s">
        <v>765</v>
      </c>
      <c r="C363" t="s">
        <v>768</v>
      </c>
      <c r="D363" s="2">
        <v>4509.3027933823114</v>
      </c>
      <c r="E363">
        <v>362</v>
      </c>
    </row>
    <row r="364" spans="1:5" x14ac:dyDescent="0.3">
      <c r="A364" t="s">
        <v>579</v>
      </c>
      <c r="B364" t="s">
        <v>599</v>
      </c>
      <c r="C364" t="s">
        <v>600</v>
      </c>
      <c r="D364" s="2">
        <v>4362.8254591803252</v>
      </c>
      <c r="E364">
        <v>363</v>
      </c>
    </row>
    <row r="365" spans="1:5" x14ac:dyDescent="0.3">
      <c r="A365" t="s">
        <v>915</v>
      </c>
      <c r="B365" t="s">
        <v>924</v>
      </c>
      <c r="C365" t="s">
        <v>926</v>
      </c>
      <c r="D365" s="2">
        <v>4120.969556336162</v>
      </c>
      <c r="E365">
        <v>364</v>
      </c>
    </row>
    <row r="366" spans="1:5" x14ac:dyDescent="0.3">
      <c r="A366" t="s">
        <v>952</v>
      </c>
      <c r="B366" t="s">
        <v>977</v>
      </c>
      <c r="C366" t="s">
        <v>978</v>
      </c>
      <c r="D366" s="2">
        <v>4091.7266712816918</v>
      </c>
      <c r="E366">
        <v>365</v>
      </c>
    </row>
    <row r="367" spans="1:5" x14ac:dyDescent="0.3">
      <c r="A367" t="s">
        <v>952</v>
      </c>
      <c r="B367" t="s">
        <v>964</v>
      </c>
      <c r="C367" t="s">
        <v>965</v>
      </c>
      <c r="D367" s="2">
        <v>3963.9108391273662</v>
      </c>
      <c r="E367">
        <v>366</v>
      </c>
    </row>
    <row r="368" spans="1:5" x14ac:dyDescent="0.3">
      <c r="A368" t="s">
        <v>184</v>
      </c>
      <c r="B368" t="s">
        <v>185</v>
      </c>
      <c r="C368" t="s">
        <v>185</v>
      </c>
      <c r="D368" s="2">
        <v>3806.4345369211351</v>
      </c>
      <c r="E368">
        <v>367</v>
      </c>
    </row>
    <row r="369" spans="1:5" x14ac:dyDescent="0.3">
      <c r="A369" t="s">
        <v>823</v>
      </c>
      <c r="B369" t="s">
        <v>839</v>
      </c>
      <c r="C369" t="s">
        <v>15</v>
      </c>
      <c r="D369" s="2">
        <v>3799.5587214950701</v>
      </c>
      <c r="E369">
        <v>368</v>
      </c>
    </row>
    <row r="370" spans="1:5" x14ac:dyDescent="0.3">
      <c r="A370" t="s">
        <v>399</v>
      </c>
      <c r="B370" t="s">
        <v>366</v>
      </c>
      <c r="C370" t="s">
        <v>414</v>
      </c>
      <c r="D370" s="2">
        <v>3553.9124590040801</v>
      </c>
      <c r="E370">
        <v>369</v>
      </c>
    </row>
    <row r="371" spans="1:5" x14ac:dyDescent="0.3">
      <c r="A371" t="s">
        <v>823</v>
      </c>
      <c r="B371" t="s">
        <v>850</v>
      </c>
      <c r="C371" t="s">
        <v>854</v>
      </c>
      <c r="D371" s="2">
        <v>3464.097110754019</v>
      </c>
      <c r="E371">
        <v>370</v>
      </c>
    </row>
    <row r="372" spans="1:5" x14ac:dyDescent="0.3">
      <c r="A372" t="s">
        <v>399</v>
      </c>
      <c r="B372" t="s">
        <v>448</v>
      </c>
      <c r="C372" t="s">
        <v>449</v>
      </c>
      <c r="D372" s="2">
        <v>3021.769847877169</v>
      </c>
      <c r="E372">
        <v>371</v>
      </c>
    </row>
    <row r="373" spans="1:5" x14ac:dyDescent="0.3">
      <c r="A373" t="s">
        <v>915</v>
      </c>
      <c r="B373" t="s">
        <v>924</v>
      </c>
      <c r="C373" t="s">
        <v>925</v>
      </c>
      <c r="D373" s="2">
        <v>2988.4019547933872</v>
      </c>
      <c r="E373">
        <v>372</v>
      </c>
    </row>
    <row r="374" spans="1:5" x14ac:dyDescent="0.3">
      <c r="A374" t="s">
        <v>579</v>
      </c>
      <c r="B374" t="s">
        <v>603</v>
      </c>
      <c r="C374" t="s">
        <v>603</v>
      </c>
      <c r="D374" s="2">
        <v>2945.178854100197</v>
      </c>
      <c r="E374">
        <v>373</v>
      </c>
    </row>
    <row r="375" spans="1:5" x14ac:dyDescent="0.3">
      <c r="A375" t="s">
        <v>225</v>
      </c>
      <c r="B375" t="s">
        <v>226</v>
      </c>
      <c r="C375" t="s">
        <v>235</v>
      </c>
      <c r="D375" s="2">
        <v>2822.9207304557272</v>
      </c>
      <c r="E375">
        <v>374</v>
      </c>
    </row>
    <row r="376" spans="1:5" x14ac:dyDescent="0.3">
      <c r="A376" t="s">
        <v>605</v>
      </c>
      <c r="B376" t="s">
        <v>606</v>
      </c>
      <c r="C376" t="s">
        <v>608</v>
      </c>
      <c r="D376" s="2">
        <v>2802.9195477394578</v>
      </c>
      <c r="E376">
        <v>375</v>
      </c>
    </row>
    <row r="377" spans="1:5" x14ac:dyDescent="0.3">
      <c r="A377" t="s">
        <v>645</v>
      </c>
      <c r="B377" t="s">
        <v>802</v>
      </c>
      <c r="C377" t="s">
        <v>809</v>
      </c>
      <c r="D377" s="2">
        <v>2770.1419149221169</v>
      </c>
      <c r="E377">
        <v>376</v>
      </c>
    </row>
    <row r="378" spans="1:5" x14ac:dyDescent="0.3">
      <c r="A378" t="s">
        <v>453</v>
      </c>
      <c r="B378" t="s">
        <v>466</v>
      </c>
      <c r="C378" t="s">
        <v>160</v>
      </c>
      <c r="D378" s="2">
        <v>2768.6480822772951</v>
      </c>
      <c r="E378">
        <v>377</v>
      </c>
    </row>
    <row r="379" spans="1:5" x14ac:dyDescent="0.3">
      <c r="A379" t="s">
        <v>184</v>
      </c>
      <c r="B379" t="s">
        <v>204</v>
      </c>
      <c r="C379" t="s">
        <v>210</v>
      </c>
      <c r="D379" s="2">
        <v>2586.7112276805642</v>
      </c>
      <c r="E379">
        <v>378</v>
      </c>
    </row>
    <row r="380" spans="1:5" x14ac:dyDescent="0.3">
      <c r="A380" t="s">
        <v>645</v>
      </c>
      <c r="B380" t="s">
        <v>802</v>
      </c>
      <c r="C380" t="s">
        <v>387</v>
      </c>
      <c r="D380" s="2">
        <v>2450.0969396179639</v>
      </c>
      <c r="E380">
        <v>379</v>
      </c>
    </row>
    <row r="381" spans="1:5" x14ac:dyDescent="0.3">
      <c r="A381" t="s">
        <v>579</v>
      </c>
      <c r="B381" t="s">
        <v>580</v>
      </c>
      <c r="C381" t="s">
        <v>583</v>
      </c>
      <c r="D381" s="2">
        <v>2447.2480628791068</v>
      </c>
      <c r="E381">
        <v>380</v>
      </c>
    </row>
    <row r="382" spans="1:5" x14ac:dyDescent="0.3">
      <c r="A382" t="s">
        <v>723</v>
      </c>
      <c r="B382" t="s">
        <v>724</v>
      </c>
      <c r="C382" t="s">
        <v>729</v>
      </c>
      <c r="D382" s="2">
        <v>2443.2791322317162</v>
      </c>
      <c r="E382">
        <v>381</v>
      </c>
    </row>
    <row r="383" spans="1:5" x14ac:dyDescent="0.3">
      <c r="A383" t="s">
        <v>605</v>
      </c>
      <c r="B383" t="s">
        <v>628</v>
      </c>
      <c r="C383" t="s">
        <v>634</v>
      </c>
      <c r="D383" s="2">
        <v>2300.3561291830142</v>
      </c>
      <c r="E383">
        <v>382</v>
      </c>
    </row>
    <row r="384" spans="1:5" x14ac:dyDescent="0.3">
      <c r="A384" t="s">
        <v>184</v>
      </c>
      <c r="B384" t="s">
        <v>185</v>
      </c>
      <c r="C384" t="s">
        <v>190</v>
      </c>
      <c r="D384" s="2">
        <v>2230.3467404248031</v>
      </c>
      <c r="E384">
        <v>383</v>
      </c>
    </row>
    <row r="385" spans="1:5" x14ac:dyDescent="0.3">
      <c r="A385" t="s">
        <v>605</v>
      </c>
      <c r="B385" t="s">
        <v>645</v>
      </c>
      <c r="C385" t="s">
        <v>645</v>
      </c>
      <c r="D385" s="2">
        <v>2204.4300924690001</v>
      </c>
      <c r="E385">
        <v>384</v>
      </c>
    </row>
    <row r="386" spans="1:5" x14ac:dyDescent="0.3">
      <c r="A386" t="s">
        <v>933</v>
      </c>
      <c r="B386" t="s">
        <v>933</v>
      </c>
      <c r="C386" t="s">
        <v>999</v>
      </c>
      <c r="D386" s="2">
        <v>1938.5715925957579</v>
      </c>
      <c r="E386">
        <v>385</v>
      </c>
    </row>
    <row r="387" spans="1:5" x14ac:dyDescent="0.3">
      <c r="A387" t="s">
        <v>149</v>
      </c>
      <c r="B387" t="s">
        <v>150</v>
      </c>
      <c r="C387" t="s">
        <v>150</v>
      </c>
      <c r="D387" s="2">
        <v>1869.27798129332</v>
      </c>
      <c r="E387">
        <v>386</v>
      </c>
    </row>
    <row r="388" spans="1:5" x14ac:dyDescent="0.3">
      <c r="A388" t="s">
        <v>579</v>
      </c>
      <c r="B388" t="s">
        <v>590</v>
      </c>
      <c r="C388" t="s">
        <v>590</v>
      </c>
      <c r="D388" s="2">
        <v>1854.5817741233</v>
      </c>
      <c r="E388">
        <v>387</v>
      </c>
    </row>
    <row r="389" spans="1:5" x14ac:dyDescent="0.3">
      <c r="A389" t="s">
        <v>225</v>
      </c>
      <c r="B389" t="s">
        <v>237</v>
      </c>
      <c r="C389" t="s">
        <v>238</v>
      </c>
      <c r="D389" s="2">
        <v>1821.1212071980899</v>
      </c>
      <c r="E389">
        <v>388</v>
      </c>
    </row>
    <row r="390" spans="1:5" x14ac:dyDescent="0.3">
      <c r="A390" t="s">
        <v>605</v>
      </c>
      <c r="B390" t="s">
        <v>28</v>
      </c>
      <c r="C390" t="s">
        <v>135</v>
      </c>
      <c r="D390" s="2">
        <v>1790.107191710448</v>
      </c>
      <c r="E390">
        <v>389</v>
      </c>
    </row>
    <row r="391" spans="1:5" x14ac:dyDescent="0.3">
      <c r="A391" t="s">
        <v>605</v>
      </c>
      <c r="B391" t="s">
        <v>620</v>
      </c>
      <c r="C391" t="s">
        <v>620</v>
      </c>
      <c r="D391" s="2">
        <v>1593.7866855484181</v>
      </c>
      <c r="E391">
        <v>390</v>
      </c>
    </row>
    <row r="392" spans="1:5" x14ac:dyDescent="0.3">
      <c r="A392" t="s">
        <v>605</v>
      </c>
      <c r="B392" t="s">
        <v>636</v>
      </c>
      <c r="C392" t="s">
        <v>636</v>
      </c>
      <c r="D392" s="2">
        <v>1509.5666349041121</v>
      </c>
      <c r="E392">
        <v>391</v>
      </c>
    </row>
    <row r="393" spans="1:5" x14ac:dyDescent="0.3">
      <c r="A393" t="s">
        <v>723</v>
      </c>
      <c r="B393" t="s">
        <v>736</v>
      </c>
      <c r="C393" t="s">
        <v>323</v>
      </c>
      <c r="D393" s="2">
        <v>1470.481087792768</v>
      </c>
      <c r="E393">
        <v>392</v>
      </c>
    </row>
    <row r="394" spans="1:5" x14ac:dyDescent="0.3">
      <c r="A394" t="s">
        <v>492</v>
      </c>
      <c r="B394" t="s">
        <v>492</v>
      </c>
      <c r="C394" t="s">
        <v>502</v>
      </c>
      <c r="D394" s="2">
        <v>1285.0090084610929</v>
      </c>
      <c r="E394">
        <v>393</v>
      </c>
    </row>
    <row r="395" spans="1:5" x14ac:dyDescent="0.3">
      <c r="A395" t="s">
        <v>645</v>
      </c>
      <c r="B395" t="s">
        <v>796</v>
      </c>
      <c r="C395" t="s">
        <v>801</v>
      </c>
      <c r="D395" s="2">
        <v>1192.202244388212</v>
      </c>
      <c r="E395">
        <v>394</v>
      </c>
    </row>
    <row r="396" spans="1:5" x14ac:dyDescent="0.3">
      <c r="A396" t="s">
        <v>605</v>
      </c>
      <c r="B396" t="s">
        <v>90</v>
      </c>
      <c r="C396" t="s">
        <v>613</v>
      </c>
      <c r="D396" s="2">
        <v>1064.9969747138041</v>
      </c>
      <c r="E396">
        <v>395</v>
      </c>
    </row>
    <row r="397" spans="1:5" x14ac:dyDescent="0.3">
      <c r="A397" t="s">
        <v>280</v>
      </c>
      <c r="B397" t="s">
        <v>302</v>
      </c>
      <c r="C397" t="s">
        <v>302</v>
      </c>
      <c r="D397" s="2">
        <v>1042.9081158388681</v>
      </c>
      <c r="E397">
        <v>396</v>
      </c>
    </row>
    <row r="398" spans="1:5" x14ac:dyDescent="0.3">
      <c r="A398" t="s">
        <v>952</v>
      </c>
      <c r="B398" t="s">
        <v>953</v>
      </c>
      <c r="C398" t="s">
        <v>954</v>
      </c>
      <c r="D398" s="2">
        <v>1033.567417239741</v>
      </c>
      <c r="E398">
        <v>397</v>
      </c>
    </row>
    <row r="399" spans="1:5" x14ac:dyDescent="0.3">
      <c r="A399" t="s">
        <v>492</v>
      </c>
      <c r="B399" t="s">
        <v>505</v>
      </c>
      <c r="C399" t="s">
        <v>506</v>
      </c>
      <c r="D399" s="2">
        <v>999.86995473729962</v>
      </c>
      <c r="E399">
        <v>398</v>
      </c>
    </row>
    <row r="400" spans="1:5" x14ac:dyDescent="0.3">
      <c r="A400" t="s">
        <v>605</v>
      </c>
      <c r="B400" t="s">
        <v>577</v>
      </c>
      <c r="C400" t="s">
        <v>577</v>
      </c>
      <c r="D400" s="2">
        <v>945.88958126511079</v>
      </c>
      <c r="E400">
        <v>399</v>
      </c>
    </row>
    <row r="401" spans="1:5" x14ac:dyDescent="0.3">
      <c r="A401" t="s">
        <v>645</v>
      </c>
      <c r="B401" t="s">
        <v>765</v>
      </c>
      <c r="C401" t="s">
        <v>766</v>
      </c>
      <c r="D401" s="2">
        <v>944.07833585930337</v>
      </c>
      <c r="E401">
        <v>400</v>
      </c>
    </row>
    <row r="402" spans="1:5" x14ac:dyDescent="0.3">
      <c r="A402" t="s">
        <v>341</v>
      </c>
      <c r="B402" t="s">
        <v>341</v>
      </c>
      <c r="C402" t="s">
        <v>349</v>
      </c>
      <c r="D402" s="2">
        <v>922.35949883333001</v>
      </c>
      <c r="E402">
        <v>401</v>
      </c>
    </row>
    <row r="403" spans="1:5" x14ac:dyDescent="0.3">
      <c r="A403" t="s">
        <v>341</v>
      </c>
      <c r="B403" t="s">
        <v>341</v>
      </c>
      <c r="C403" t="s">
        <v>341</v>
      </c>
      <c r="D403" s="2">
        <v>895.02249356130233</v>
      </c>
      <c r="E403">
        <v>402</v>
      </c>
    </row>
    <row r="404" spans="1:5" s="3" customFormat="1" x14ac:dyDescent="0.3">
      <c r="A404" s="3" t="s">
        <v>399</v>
      </c>
      <c r="B404" s="3" t="s">
        <v>400</v>
      </c>
      <c r="C404" s="3" t="s">
        <v>400</v>
      </c>
      <c r="D404" s="4">
        <v>887.62490296324927</v>
      </c>
      <c r="E404">
        <v>403</v>
      </c>
    </row>
    <row r="405" spans="1:5" x14ac:dyDescent="0.3">
      <c r="A405" t="s">
        <v>605</v>
      </c>
      <c r="B405" t="s">
        <v>649</v>
      </c>
      <c r="C405" t="s">
        <v>651</v>
      </c>
      <c r="D405" s="2">
        <v>805.49055642965197</v>
      </c>
      <c r="E405">
        <v>404</v>
      </c>
    </row>
    <row r="406" spans="1:5" x14ac:dyDescent="0.3">
      <c r="A406" t="s">
        <v>605</v>
      </c>
      <c r="B406" t="s">
        <v>649</v>
      </c>
      <c r="C406" t="s">
        <v>650</v>
      </c>
      <c r="D406" s="2">
        <v>775.7065662036772</v>
      </c>
      <c r="E406">
        <v>405</v>
      </c>
    </row>
    <row r="407" spans="1:5" x14ac:dyDescent="0.3">
      <c r="A407" t="s">
        <v>341</v>
      </c>
      <c r="B407" t="s">
        <v>389</v>
      </c>
      <c r="C407" t="s">
        <v>389</v>
      </c>
      <c r="D407" s="2">
        <v>736.7328398030013</v>
      </c>
      <c r="E407">
        <v>406</v>
      </c>
    </row>
    <row r="408" spans="1:5" x14ac:dyDescent="0.3">
      <c r="A408" t="s">
        <v>341</v>
      </c>
      <c r="B408" t="s">
        <v>365</v>
      </c>
      <c r="C408" t="s">
        <v>370</v>
      </c>
      <c r="D408" s="2">
        <v>632.35442319772778</v>
      </c>
      <c r="E408">
        <v>407</v>
      </c>
    </row>
    <row r="409" spans="1:5" x14ac:dyDescent="0.3">
      <c r="A409" t="s">
        <v>605</v>
      </c>
      <c r="B409" t="s">
        <v>638</v>
      </c>
      <c r="C409" t="s">
        <v>638</v>
      </c>
      <c r="D409" s="2">
        <v>611.52642391111851</v>
      </c>
      <c r="E409">
        <v>408</v>
      </c>
    </row>
    <row r="410" spans="1:5" x14ac:dyDescent="0.3">
      <c r="A410" t="s">
        <v>605</v>
      </c>
      <c r="B410" t="s">
        <v>625</v>
      </c>
      <c r="C410" t="s">
        <v>625</v>
      </c>
      <c r="D410" s="2">
        <v>495.12688134016872</v>
      </c>
      <c r="E410">
        <v>409</v>
      </c>
    </row>
    <row r="411" spans="1:5" x14ac:dyDescent="0.3">
      <c r="A411" t="s">
        <v>341</v>
      </c>
      <c r="B411" t="s">
        <v>365</v>
      </c>
      <c r="C411" t="s">
        <v>365</v>
      </c>
      <c r="D411" s="2">
        <v>385.57607004731727</v>
      </c>
      <c r="E411">
        <v>410</v>
      </c>
    </row>
    <row r="412" spans="1:5" x14ac:dyDescent="0.3">
      <c r="A412" t="s">
        <v>605</v>
      </c>
      <c r="B412" t="s">
        <v>398</v>
      </c>
      <c r="C412" t="s">
        <v>398</v>
      </c>
      <c r="D412" s="2">
        <v>356.11028136226571</v>
      </c>
      <c r="E412">
        <v>411</v>
      </c>
    </row>
    <row r="413" spans="1:5" x14ac:dyDescent="0.3">
      <c r="A413" t="s">
        <v>225</v>
      </c>
      <c r="B413" t="s">
        <v>237</v>
      </c>
      <c r="C413" t="s">
        <v>246</v>
      </c>
      <c r="D413" s="2">
        <v>341.31491655755968</v>
      </c>
      <c r="E413">
        <v>412</v>
      </c>
    </row>
    <row r="414" spans="1:5" x14ac:dyDescent="0.3">
      <c r="A414" t="s">
        <v>605</v>
      </c>
      <c r="B414" t="s">
        <v>606</v>
      </c>
      <c r="C414" t="s">
        <v>606</v>
      </c>
      <c r="D414" s="2">
        <v>335.03982179628298</v>
      </c>
      <c r="E414">
        <v>413</v>
      </c>
    </row>
    <row r="415" spans="1:5" x14ac:dyDescent="0.3">
      <c r="A415" t="s">
        <v>605</v>
      </c>
      <c r="B415" t="s">
        <v>606</v>
      </c>
      <c r="C415" t="s">
        <v>65</v>
      </c>
      <c r="D415" s="2">
        <v>334.97282241887319</v>
      </c>
      <c r="E415">
        <v>414</v>
      </c>
    </row>
    <row r="416" spans="1:5" x14ac:dyDescent="0.3">
      <c r="A416" t="s">
        <v>605</v>
      </c>
      <c r="B416" t="s">
        <v>606</v>
      </c>
      <c r="C416" t="s">
        <v>611</v>
      </c>
      <c r="D416" s="2">
        <v>301.32123834119682</v>
      </c>
      <c r="E416">
        <v>415</v>
      </c>
    </row>
    <row r="417" spans="1:5" x14ac:dyDescent="0.3">
      <c r="A417" t="s">
        <v>184</v>
      </c>
      <c r="B417" t="s">
        <v>185</v>
      </c>
      <c r="C417" t="s">
        <v>189</v>
      </c>
      <c r="D417" s="2">
        <v>280.90655706961428</v>
      </c>
      <c r="E417">
        <v>416</v>
      </c>
    </row>
    <row r="418" spans="1:5" x14ac:dyDescent="0.3">
      <c r="A418" t="s">
        <v>645</v>
      </c>
      <c r="B418" t="s">
        <v>822</v>
      </c>
      <c r="C418" t="s">
        <v>822</v>
      </c>
      <c r="D418" s="2">
        <v>235.77457795932631</v>
      </c>
      <c r="E418">
        <v>417</v>
      </c>
    </row>
    <row r="419" spans="1:5" x14ac:dyDescent="0.3">
      <c r="A419" t="s">
        <v>605</v>
      </c>
      <c r="B419" t="s">
        <v>664</v>
      </c>
      <c r="C419" t="s">
        <v>664</v>
      </c>
      <c r="D419" s="2">
        <v>175.32829698544131</v>
      </c>
      <c r="E419">
        <v>418</v>
      </c>
    </row>
    <row r="420" spans="1:5" x14ac:dyDescent="0.3">
      <c r="A420" t="s">
        <v>605</v>
      </c>
      <c r="B420" t="s">
        <v>615</v>
      </c>
      <c r="C420" t="s">
        <v>617</v>
      </c>
      <c r="D420" s="2">
        <v>174.23715781930301</v>
      </c>
      <c r="E420">
        <v>419</v>
      </c>
    </row>
    <row r="421" spans="1:5" x14ac:dyDescent="0.3">
      <c r="A421" t="s">
        <v>605</v>
      </c>
      <c r="B421" t="s">
        <v>658</v>
      </c>
      <c r="C421" t="s">
        <v>660</v>
      </c>
      <c r="D421" s="2">
        <v>160.6619245858825</v>
      </c>
      <c r="E421">
        <v>420</v>
      </c>
    </row>
    <row r="422" spans="1:5" x14ac:dyDescent="0.3">
      <c r="A422" t="s">
        <v>605</v>
      </c>
      <c r="B422" t="s">
        <v>652</v>
      </c>
      <c r="C422" t="s">
        <v>652</v>
      </c>
      <c r="D422" s="2">
        <v>155.9002433483044</v>
      </c>
      <c r="E422">
        <v>421</v>
      </c>
    </row>
    <row r="423" spans="1:5" x14ac:dyDescent="0.3">
      <c r="A423" t="s">
        <v>667</v>
      </c>
      <c r="B423" t="s">
        <v>712</v>
      </c>
      <c r="C423" t="s">
        <v>712</v>
      </c>
      <c r="D423" s="2">
        <v>140.03198865373781</v>
      </c>
      <c r="E423">
        <v>422</v>
      </c>
    </row>
    <row r="424" spans="1:5" x14ac:dyDescent="0.3">
      <c r="A424" t="s">
        <v>605</v>
      </c>
      <c r="B424" t="s">
        <v>649</v>
      </c>
      <c r="C424" t="s">
        <v>169</v>
      </c>
      <c r="D424" s="2">
        <v>135.33813308792151</v>
      </c>
      <c r="E424">
        <v>423</v>
      </c>
    </row>
    <row r="425" spans="1:5" x14ac:dyDescent="0.3">
      <c r="A425" t="s">
        <v>605</v>
      </c>
      <c r="B425" t="s">
        <v>635</v>
      </c>
      <c r="C425" t="s">
        <v>635</v>
      </c>
      <c r="D425" s="2">
        <v>132.9079787982441</v>
      </c>
      <c r="E425">
        <v>424</v>
      </c>
    </row>
    <row r="426" spans="1:5" x14ac:dyDescent="0.3">
      <c r="A426" t="s">
        <v>579</v>
      </c>
      <c r="B426" t="s">
        <v>602</v>
      </c>
      <c r="C426" t="s">
        <v>602</v>
      </c>
      <c r="D426" s="2">
        <v>123.8056770799365</v>
      </c>
      <c r="E426">
        <v>425</v>
      </c>
    </row>
    <row r="427" spans="1:5" x14ac:dyDescent="0.3">
      <c r="A427" t="s">
        <v>605</v>
      </c>
      <c r="B427" t="s">
        <v>615</v>
      </c>
      <c r="C427" t="s">
        <v>350</v>
      </c>
      <c r="D427" s="2">
        <v>116.73187669602289</v>
      </c>
      <c r="E427">
        <v>426</v>
      </c>
    </row>
    <row r="428" spans="1:5" x14ac:dyDescent="0.3">
      <c r="A428" t="s">
        <v>605</v>
      </c>
      <c r="B428" t="s">
        <v>615</v>
      </c>
      <c r="C428" t="s">
        <v>615</v>
      </c>
      <c r="D428" s="2">
        <v>106.4617241715294</v>
      </c>
      <c r="E428">
        <v>427</v>
      </c>
    </row>
    <row r="429" spans="1:5" x14ac:dyDescent="0.3">
      <c r="A429" t="s">
        <v>605</v>
      </c>
      <c r="B429" t="s">
        <v>84</v>
      </c>
      <c r="C429" t="s">
        <v>84</v>
      </c>
      <c r="D429" s="2">
        <v>78.800148805981507</v>
      </c>
      <c r="E429">
        <v>428</v>
      </c>
    </row>
    <row r="430" spans="1:5" x14ac:dyDescent="0.3">
      <c r="A430" t="s">
        <v>605</v>
      </c>
      <c r="B430" t="s">
        <v>658</v>
      </c>
      <c r="C430" t="s">
        <v>658</v>
      </c>
      <c r="D430" s="2">
        <v>73.429912846563511</v>
      </c>
      <c r="E430">
        <v>429</v>
      </c>
    </row>
    <row r="431" spans="1:5" x14ac:dyDescent="0.3">
      <c r="A431" t="s">
        <v>983</v>
      </c>
      <c r="B431" t="s">
        <v>984</v>
      </c>
      <c r="C431" t="s">
        <v>985</v>
      </c>
      <c r="D431" s="2">
        <v>24.943054560939661</v>
      </c>
      <c r="E431">
        <v>430</v>
      </c>
    </row>
    <row r="432" spans="1:5" x14ac:dyDescent="0.3">
      <c r="A432" t="s">
        <v>184</v>
      </c>
      <c r="B432" t="s">
        <v>185</v>
      </c>
      <c r="C432" t="s">
        <v>193</v>
      </c>
      <c r="D432" s="2">
        <v>17.517310854774021</v>
      </c>
      <c r="E432">
        <v>431</v>
      </c>
    </row>
    <row r="433" spans="1:5" x14ac:dyDescent="0.3">
      <c r="A433" t="s">
        <v>915</v>
      </c>
      <c r="B433" t="s">
        <v>924</v>
      </c>
      <c r="C433" t="s">
        <v>924</v>
      </c>
      <c r="D433" s="2">
        <v>2.228687412522921</v>
      </c>
      <c r="E433">
        <v>432</v>
      </c>
    </row>
  </sheetData>
  <autoFilter ref="A1:D433" xr:uid="{A1AC4385-D2B3-4D93-BACF-21AF88A7A5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trabajoGeneral</vt:lpstr>
      <vt:lpstr>trabajoSexo</vt:lpstr>
      <vt:lpstr>index</vt:lpstr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Joseph Peñafiel Falcón</cp:lastModifiedBy>
  <dcterms:created xsi:type="dcterms:W3CDTF">2025-10-16T01:36:15Z</dcterms:created>
  <dcterms:modified xsi:type="dcterms:W3CDTF">2026-01-22T18:49:39Z</dcterms:modified>
</cp:coreProperties>
</file>