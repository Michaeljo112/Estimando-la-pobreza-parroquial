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chael\Documents\ml_zc\"/>
    </mc:Choice>
  </mc:AlternateContent>
  <xr:revisionPtr revIDLastSave="0" documentId="13_ncr:1_{CF74DA55-6E23-4C59-BDFD-D75B31F67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indice" sheetId="5" r:id="rId2"/>
  </sheets>
  <definedNames>
    <definedName name="_xlnm._FilterDatabase" localSheetId="0" hidden="1">data!$A$1:$W$1042</definedName>
    <definedName name="_xlnm._FilterDatabase" localSheetId="1" hidden="1">indice!$A$1:$J$462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0" i="5" l="1"/>
  <c r="I150" i="5"/>
  <c r="H2" i="5"/>
  <c r="I48" i="5"/>
  <c r="I374" i="5"/>
  <c r="I46" i="5"/>
  <c r="I95" i="5"/>
  <c r="I52" i="5"/>
  <c r="I68" i="5"/>
  <c r="I96" i="5"/>
  <c r="I40" i="5"/>
  <c r="I178" i="5"/>
  <c r="I83" i="5"/>
  <c r="I91" i="5"/>
  <c r="I361" i="5"/>
  <c r="I277" i="5"/>
  <c r="I213" i="5"/>
  <c r="I54" i="5"/>
  <c r="I164" i="5"/>
  <c r="I350" i="5"/>
  <c r="I370" i="5"/>
  <c r="I412" i="5"/>
  <c r="I299" i="5"/>
  <c r="I331" i="5"/>
  <c r="I330" i="5"/>
  <c r="I212" i="5"/>
  <c r="I144" i="5"/>
  <c r="I169" i="5"/>
  <c r="I84" i="5"/>
  <c r="I122" i="5"/>
  <c r="I177" i="5"/>
  <c r="I184" i="5"/>
  <c r="I371" i="5"/>
  <c r="I353" i="5"/>
  <c r="I42" i="5"/>
  <c r="I101" i="5"/>
  <c r="I12" i="5"/>
  <c r="I375" i="5"/>
  <c r="I38" i="5"/>
  <c r="I358" i="5"/>
  <c r="I298" i="5"/>
  <c r="I59" i="5"/>
  <c r="I247" i="5"/>
  <c r="I222" i="5"/>
  <c r="I205" i="5"/>
  <c r="I242" i="5"/>
  <c r="I98" i="5"/>
  <c r="I57" i="5"/>
  <c r="I404" i="5"/>
  <c r="I85" i="5"/>
  <c r="I154" i="5"/>
  <c r="I36" i="5"/>
  <c r="I116" i="5"/>
  <c r="I424" i="5"/>
  <c r="I220" i="5"/>
  <c r="I92" i="5"/>
  <c r="I265" i="5"/>
  <c r="I208" i="5"/>
  <c r="I88" i="5"/>
  <c r="I223" i="5"/>
  <c r="I450" i="5"/>
  <c r="I79" i="5"/>
  <c r="I142" i="5"/>
  <c r="I369" i="5"/>
  <c r="I392" i="5"/>
  <c r="I263" i="5"/>
  <c r="I173" i="5"/>
  <c r="I417" i="5"/>
  <c r="I108" i="5"/>
  <c r="I340" i="5"/>
  <c r="I132" i="5"/>
  <c r="I301" i="5"/>
  <c r="I236" i="5"/>
  <c r="I239" i="5"/>
  <c r="I309" i="5"/>
  <c r="I93" i="5"/>
  <c r="I382" i="5"/>
  <c r="I364" i="5"/>
  <c r="I129" i="5"/>
  <c r="I188" i="5"/>
  <c r="I249" i="5"/>
  <c r="I62" i="5"/>
  <c r="I158" i="5"/>
  <c r="I189" i="5"/>
  <c r="I384" i="5"/>
  <c r="I365" i="5"/>
  <c r="I28" i="5"/>
  <c r="I127" i="5"/>
  <c r="I311" i="5"/>
  <c r="I11" i="5"/>
  <c r="I111" i="5"/>
  <c r="I442" i="5"/>
  <c r="I130" i="5"/>
  <c r="I45" i="5"/>
  <c r="I266" i="5"/>
  <c r="I281" i="5"/>
  <c r="I419" i="5"/>
  <c r="I165" i="5"/>
  <c r="I121" i="5"/>
  <c r="I55" i="5"/>
  <c r="I71" i="5"/>
  <c r="I181" i="5"/>
  <c r="I414" i="5"/>
  <c r="I341" i="5"/>
  <c r="I30" i="5"/>
  <c r="I156" i="5"/>
  <c r="I105" i="5"/>
  <c r="I143" i="5"/>
  <c r="I346" i="5"/>
  <c r="I347" i="5"/>
  <c r="I77" i="5"/>
  <c r="I125" i="5"/>
  <c r="I195" i="5"/>
  <c r="I6" i="5"/>
  <c r="I34" i="5"/>
  <c r="I268" i="5"/>
  <c r="I285" i="5"/>
  <c r="I155" i="5"/>
  <c r="I17" i="5"/>
  <c r="I207" i="5"/>
  <c r="I69" i="5"/>
  <c r="I310" i="5"/>
  <c r="I137" i="5"/>
  <c r="I31" i="5"/>
  <c r="I123" i="5"/>
  <c r="I13" i="5"/>
  <c r="I287" i="5"/>
  <c r="I458" i="5"/>
  <c r="I421" i="5"/>
  <c r="I264" i="5"/>
  <c r="I114" i="5"/>
  <c r="I427" i="5"/>
  <c r="I226" i="5"/>
  <c r="I229" i="5"/>
  <c r="I279" i="5"/>
  <c r="I416" i="5"/>
  <c r="I182" i="5"/>
  <c r="I171" i="5"/>
  <c r="I73" i="5"/>
  <c r="I300" i="5"/>
  <c r="I75" i="5"/>
  <c r="I228" i="5"/>
  <c r="I151" i="5"/>
  <c r="I106" i="5"/>
  <c r="I196" i="5"/>
  <c r="I272" i="5"/>
  <c r="I320" i="5"/>
  <c r="I47" i="5"/>
  <c r="I383" i="5"/>
  <c r="I286" i="5"/>
  <c r="I100" i="5"/>
  <c r="I260" i="5"/>
  <c r="I246" i="5"/>
  <c r="I339" i="5"/>
  <c r="I290" i="5"/>
  <c r="I63" i="5"/>
  <c r="I202" i="5"/>
  <c r="I335" i="5"/>
  <c r="I267" i="5"/>
  <c r="I26" i="5"/>
  <c r="I398" i="5"/>
  <c r="I291" i="5"/>
  <c r="I245" i="5"/>
  <c r="I104" i="5"/>
  <c r="I294" i="5"/>
  <c r="I235" i="5"/>
  <c r="I348" i="5"/>
  <c r="I153" i="5"/>
  <c r="I50" i="5"/>
  <c r="I148" i="5"/>
  <c r="I87" i="5"/>
  <c r="I227" i="5"/>
  <c r="I81" i="5"/>
  <c r="I136" i="5"/>
  <c r="I395" i="5"/>
  <c r="I139" i="5"/>
  <c r="I373" i="5"/>
  <c r="I256" i="5"/>
  <c r="I51" i="5"/>
  <c r="I152" i="5"/>
  <c r="I283" i="5"/>
  <c r="I342" i="5"/>
  <c r="I363" i="5"/>
  <c r="I275" i="5"/>
  <c r="I237" i="5"/>
  <c r="I446" i="5"/>
  <c r="I107" i="5"/>
  <c r="I257" i="5"/>
  <c r="I113" i="5"/>
  <c r="I322" i="5"/>
  <c r="I243" i="5"/>
  <c r="I102" i="5"/>
  <c r="I218" i="5"/>
  <c r="I112" i="5"/>
  <c r="I426" i="5"/>
  <c r="I160" i="5"/>
  <c r="I168" i="5"/>
  <c r="I49" i="5"/>
  <c r="I161" i="5"/>
  <c r="I97" i="5"/>
  <c r="I321" i="5"/>
  <c r="I457" i="5"/>
  <c r="I22" i="5"/>
  <c r="I197" i="5"/>
  <c r="I21" i="5"/>
  <c r="I431" i="5"/>
  <c r="I64" i="5"/>
  <c r="I428" i="5"/>
  <c r="I27" i="5"/>
  <c r="I203" i="5"/>
  <c r="I157" i="5"/>
  <c r="I120" i="5"/>
  <c r="I351" i="5"/>
  <c r="I336" i="5"/>
  <c r="I232" i="5"/>
  <c r="I248" i="5"/>
  <c r="I362" i="5"/>
  <c r="I432" i="5"/>
  <c r="I402" i="5"/>
  <c r="I297" i="5"/>
  <c r="I434" i="5"/>
  <c r="I124" i="5"/>
  <c r="I221" i="5"/>
  <c r="I103" i="5"/>
  <c r="I214" i="5"/>
  <c r="I76" i="5"/>
  <c r="I24" i="5"/>
  <c r="I430" i="5"/>
  <c r="I109" i="5"/>
  <c r="I270" i="5"/>
  <c r="I32" i="5"/>
  <c r="I194" i="5"/>
  <c r="I451" i="5"/>
  <c r="I119" i="5"/>
  <c r="I215" i="5"/>
  <c r="I145" i="5"/>
  <c r="I357" i="5"/>
  <c r="I20" i="5"/>
  <c r="I379" i="5"/>
  <c r="I284" i="5"/>
  <c r="I269" i="5"/>
  <c r="I128" i="5"/>
  <c r="I443" i="5"/>
  <c r="I29" i="5"/>
  <c r="I250" i="5"/>
  <c r="I393" i="5"/>
  <c r="I238" i="5"/>
  <c r="I314" i="5"/>
  <c r="I325" i="5"/>
  <c r="I377" i="5"/>
  <c r="I199" i="5"/>
  <c r="I211" i="5"/>
  <c r="I355" i="5"/>
  <c r="I193" i="5"/>
  <c r="I390" i="5"/>
  <c r="I241" i="5"/>
  <c r="I135" i="5"/>
  <c r="I410" i="5"/>
  <c r="I278" i="5"/>
  <c r="I420" i="5"/>
  <c r="I439" i="5"/>
  <c r="I449" i="5"/>
  <c r="I436" i="5"/>
  <c r="I305" i="5"/>
  <c r="I437" i="5"/>
  <c r="I403" i="5"/>
  <c r="I261" i="5"/>
  <c r="I425" i="5"/>
  <c r="I117" i="5"/>
  <c r="I190" i="5"/>
  <c r="I397" i="5"/>
  <c r="I455" i="5"/>
  <c r="I422" i="5"/>
  <c r="I180" i="5"/>
  <c r="I316" i="5"/>
  <c r="I37" i="5"/>
  <c r="I349" i="5"/>
  <c r="I65" i="5"/>
  <c r="I345" i="5"/>
  <c r="I329" i="5"/>
  <c r="I204" i="5"/>
  <c r="I262" i="5"/>
  <c r="I408" i="5"/>
  <c r="I276" i="5"/>
  <c r="I217" i="5"/>
  <c r="I185" i="5"/>
  <c r="I302" i="5"/>
  <c r="I170" i="5"/>
  <c r="I273" i="5"/>
  <c r="I186" i="5"/>
  <c r="I288" i="5"/>
  <c r="I90" i="5"/>
  <c r="I141" i="5"/>
  <c r="I334" i="5"/>
  <c r="I166" i="5"/>
  <c r="I389" i="5"/>
  <c r="I319" i="5"/>
  <c r="I230" i="5"/>
  <c r="I72" i="5"/>
  <c r="I296" i="5"/>
  <c r="I409" i="5"/>
  <c r="I453" i="5"/>
  <c r="I234" i="5"/>
  <c r="I323" i="5"/>
  <c r="I60" i="5"/>
  <c r="I80" i="5"/>
  <c r="I396" i="5"/>
  <c r="I385" i="5"/>
  <c r="I258" i="5"/>
  <c r="I337" i="5"/>
  <c r="I387" i="5"/>
  <c r="I41" i="5"/>
  <c r="I191" i="5"/>
  <c r="I391" i="5"/>
  <c r="I140" i="5"/>
  <c r="I367" i="5"/>
  <c r="I405" i="5"/>
  <c r="I74" i="5"/>
  <c r="I206" i="5"/>
  <c r="I56" i="5"/>
  <c r="I354" i="5"/>
  <c r="I70" i="5"/>
  <c r="I253" i="5"/>
  <c r="I418" i="5"/>
  <c r="I429" i="5"/>
  <c r="I167" i="5"/>
  <c r="I231" i="5"/>
  <c r="I399" i="5"/>
  <c r="I447" i="5"/>
  <c r="I86" i="5"/>
  <c r="I89" i="5"/>
  <c r="I386" i="5"/>
  <c r="I435" i="5"/>
  <c r="I172" i="5"/>
  <c r="I146" i="5"/>
  <c r="I271" i="5"/>
  <c r="I66" i="5"/>
  <c r="I445" i="5"/>
  <c r="I433" i="5"/>
  <c r="I183" i="5"/>
  <c r="I2" i="5"/>
  <c r="I441" i="5"/>
  <c r="I462" i="5"/>
  <c r="I43" i="5"/>
  <c r="I23" i="5"/>
  <c r="I138" i="5"/>
  <c r="I454" i="5"/>
  <c r="I440" i="5"/>
  <c r="I216" i="5"/>
  <c r="I406" i="5"/>
  <c r="I240" i="5"/>
  <c r="I78" i="5"/>
  <c r="I3" i="5"/>
  <c r="I318" i="5"/>
  <c r="I61" i="5"/>
  <c r="I366" i="5"/>
  <c r="I82" i="5"/>
  <c r="I251" i="5"/>
  <c r="I352" i="5"/>
  <c r="I317" i="5"/>
  <c r="I282" i="5"/>
  <c r="I14" i="5"/>
  <c r="I200" i="5"/>
  <c r="I413" i="5"/>
  <c r="I315" i="5"/>
  <c r="I147" i="5"/>
  <c r="I333" i="5"/>
  <c r="I7" i="5"/>
  <c r="I423" i="5"/>
  <c r="I368" i="5"/>
  <c r="I313" i="5"/>
  <c r="I255" i="5"/>
  <c r="I224" i="5"/>
  <c r="I312" i="5"/>
  <c r="I131" i="5"/>
  <c r="I15" i="5"/>
  <c r="I134" i="5"/>
  <c r="I274" i="5"/>
  <c r="I58" i="5"/>
  <c r="I67" i="5"/>
  <c r="I126" i="5"/>
  <c r="I356" i="5"/>
  <c r="I280" i="5"/>
  <c r="I378" i="5"/>
  <c r="I18" i="5"/>
  <c r="I307" i="5"/>
  <c r="I308" i="5"/>
  <c r="I254" i="5"/>
  <c r="I198" i="5"/>
  <c r="I233" i="5"/>
  <c r="I259" i="5"/>
  <c r="I306" i="5"/>
  <c r="I448" i="5"/>
  <c r="I53" i="5"/>
  <c r="I99" i="5"/>
  <c r="I39" i="5"/>
  <c r="I460" i="5"/>
  <c r="I244" i="5"/>
  <c r="I44" i="5"/>
  <c r="I9" i="5"/>
  <c r="I192" i="5"/>
  <c r="I210" i="5"/>
  <c r="I304" i="5"/>
  <c r="I110" i="5"/>
  <c r="I293" i="5"/>
  <c r="I8" i="5"/>
  <c r="I94" i="5"/>
  <c r="I332" i="5"/>
  <c r="I187" i="5"/>
  <c r="I176" i="5"/>
  <c r="I35" i="5"/>
  <c r="I162" i="5"/>
  <c r="I327" i="5"/>
  <c r="I359" i="5"/>
  <c r="I380" i="5"/>
  <c r="I407" i="5"/>
  <c r="I438" i="5"/>
  <c r="I292" i="5"/>
  <c r="I343" i="5"/>
  <c r="I415" i="5"/>
  <c r="I394" i="5"/>
  <c r="I33" i="5"/>
  <c r="I328" i="5"/>
  <c r="I225" i="5"/>
  <c r="I400" i="5"/>
  <c r="I388" i="5"/>
  <c r="I360" i="5"/>
  <c r="I411" i="5"/>
  <c r="I252" i="5"/>
  <c r="I459" i="5"/>
  <c r="I19" i="5"/>
  <c r="I289" i="5"/>
  <c r="I461" i="5"/>
  <c r="I401" i="5"/>
  <c r="I381" i="5"/>
  <c r="I115" i="5"/>
  <c r="I201" i="5"/>
  <c r="I452" i="5"/>
  <c r="I326" i="5"/>
  <c r="I159" i="5"/>
  <c r="I344" i="5"/>
  <c r="I10" i="5"/>
  <c r="I444" i="5"/>
  <c r="I174" i="5"/>
  <c r="I209" i="5"/>
  <c r="I5" i="5"/>
  <c r="I25" i="5"/>
  <c r="I303" i="5"/>
  <c r="I295" i="5"/>
  <c r="I163" i="5"/>
  <c r="I372" i="5"/>
  <c r="I133" i="5"/>
  <c r="I338" i="5"/>
  <c r="I324" i="5"/>
  <c r="I118" i="5"/>
  <c r="I219" i="5"/>
  <c r="I456" i="5"/>
  <c r="I149" i="5"/>
  <c r="I376" i="5"/>
  <c r="I175" i="5"/>
  <c r="I16" i="5"/>
  <c r="I4" i="5"/>
  <c r="I179" i="5"/>
  <c r="H48" i="5"/>
  <c r="H374" i="5"/>
  <c r="H46" i="5"/>
  <c r="H95" i="5"/>
  <c r="H52" i="5"/>
  <c r="H68" i="5"/>
  <c r="H96" i="5"/>
  <c r="H40" i="5"/>
  <c r="H178" i="5"/>
  <c r="H83" i="5"/>
  <c r="H91" i="5"/>
  <c r="H361" i="5"/>
  <c r="H277" i="5"/>
  <c r="H213" i="5"/>
  <c r="H54" i="5"/>
  <c r="H164" i="5"/>
  <c r="H350" i="5"/>
  <c r="H370" i="5"/>
  <c r="H412" i="5"/>
  <c r="H299" i="5"/>
  <c r="H331" i="5"/>
  <c r="H330" i="5"/>
  <c r="H212" i="5"/>
  <c r="H144" i="5"/>
  <c r="H169" i="5"/>
  <c r="H84" i="5"/>
  <c r="H122" i="5"/>
  <c r="H177" i="5"/>
  <c r="H184" i="5"/>
  <c r="H371" i="5"/>
  <c r="H353" i="5"/>
  <c r="H42" i="5"/>
  <c r="H101" i="5"/>
  <c r="H12" i="5"/>
  <c r="H375" i="5"/>
  <c r="H38" i="5"/>
  <c r="H358" i="5"/>
  <c r="H298" i="5"/>
  <c r="H59" i="5"/>
  <c r="H247" i="5"/>
  <c r="H222" i="5"/>
  <c r="H205" i="5"/>
  <c r="H242" i="5"/>
  <c r="H98" i="5"/>
  <c r="H57" i="5"/>
  <c r="H404" i="5"/>
  <c r="H85" i="5"/>
  <c r="H154" i="5"/>
  <c r="H36" i="5"/>
  <c r="H116" i="5"/>
  <c r="H424" i="5"/>
  <c r="H220" i="5"/>
  <c r="H92" i="5"/>
  <c r="H265" i="5"/>
  <c r="H208" i="5"/>
  <c r="H88" i="5"/>
  <c r="H223" i="5"/>
  <c r="H450" i="5"/>
  <c r="H79" i="5"/>
  <c r="H142" i="5"/>
  <c r="H369" i="5"/>
  <c r="H392" i="5"/>
  <c r="H263" i="5"/>
  <c r="H173" i="5"/>
  <c r="H417" i="5"/>
  <c r="H108" i="5"/>
  <c r="H340" i="5"/>
  <c r="H132" i="5"/>
  <c r="H301" i="5"/>
  <c r="H236" i="5"/>
  <c r="H239" i="5"/>
  <c r="H309" i="5"/>
  <c r="H93" i="5"/>
  <c r="H382" i="5"/>
  <c r="H364" i="5"/>
  <c r="H129" i="5"/>
  <c r="H188" i="5"/>
  <c r="H249" i="5"/>
  <c r="H62" i="5"/>
  <c r="H158" i="5"/>
  <c r="H189" i="5"/>
  <c r="H384" i="5"/>
  <c r="H365" i="5"/>
  <c r="H28" i="5"/>
  <c r="H127" i="5"/>
  <c r="H311" i="5"/>
  <c r="H11" i="5"/>
  <c r="H111" i="5"/>
  <c r="H442" i="5"/>
  <c r="H130" i="5"/>
  <c r="H45" i="5"/>
  <c r="H266" i="5"/>
  <c r="H281" i="5"/>
  <c r="H419" i="5"/>
  <c r="H165" i="5"/>
  <c r="H121" i="5"/>
  <c r="H55" i="5"/>
  <c r="H71" i="5"/>
  <c r="H181" i="5"/>
  <c r="H414" i="5"/>
  <c r="H341" i="5"/>
  <c r="H30" i="5"/>
  <c r="H156" i="5"/>
  <c r="H105" i="5"/>
  <c r="H143" i="5"/>
  <c r="H346" i="5"/>
  <c r="H347" i="5"/>
  <c r="H77" i="5"/>
  <c r="H125" i="5"/>
  <c r="H195" i="5"/>
  <c r="H6" i="5"/>
  <c r="H34" i="5"/>
  <c r="H268" i="5"/>
  <c r="H285" i="5"/>
  <c r="H155" i="5"/>
  <c r="H17" i="5"/>
  <c r="H207" i="5"/>
  <c r="H69" i="5"/>
  <c r="H310" i="5"/>
  <c r="H137" i="5"/>
  <c r="H31" i="5"/>
  <c r="H123" i="5"/>
  <c r="H13" i="5"/>
  <c r="H287" i="5"/>
  <c r="H458" i="5"/>
  <c r="H421" i="5"/>
  <c r="H264" i="5"/>
  <c r="H114" i="5"/>
  <c r="H427" i="5"/>
  <c r="H226" i="5"/>
  <c r="H229" i="5"/>
  <c r="H279" i="5"/>
  <c r="H416" i="5"/>
  <c r="H182" i="5"/>
  <c r="H171" i="5"/>
  <c r="H73" i="5"/>
  <c r="H300" i="5"/>
  <c r="H75" i="5"/>
  <c r="H228" i="5"/>
  <c r="H151" i="5"/>
  <c r="H106" i="5"/>
  <c r="H196" i="5"/>
  <c r="H272" i="5"/>
  <c r="H320" i="5"/>
  <c r="H47" i="5"/>
  <c r="H383" i="5"/>
  <c r="H286" i="5"/>
  <c r="H100" i="5"/>
  <c r="H260" i="5"/>
  <c r="H246" i="5"/>
  <c r="H339" i="5"/>
  <c r="H290" i="5"/>
  <c r="H63" i="5"/>
  <c r="H202" i="5"/>
  <c r="H335" i="5"/>
  <c r="H267" i="5"/>
  <c r="H26" i="5"/>
  <c r="H398" i="5"/>
  <c r="H291" i="5"/>
  <c r="H245" i="5"/>
  <c r="H104" i="5"/>
  <c r="H294" i="5"/>
  <c r="H235" i="5"/>
  <c r="H348" i="5"/>
  <c r="H153" i="5"/>
  <c r="H50" i="5"/>
  <c r="H148" i="5"/>
  <c r="H87" i="5"/>
  <c r="H227" i="5"/>
  <c r="H81" i="5"/>
  <c r="H136" i="5"/>
  <c r="H395" i="5"/>
  <c r="H139" i="5"/>
  <c r="H373" i="5"/>
  <c r="H256" i="5"/>
  <c r="H51" i="5"/>
  <c r="H152" i="5"/>
  <c r="H283" i="5"/>
  <c r="H342" i="5"/>
  <c r="H363" i="5"/>
  <c r="H275" i="5"/>
  <c r="H237" i="5"/>
  <c r="H446" i="5"/>
  <c r="H107" i="5"/>
  <c r="H257" i="5"/>
  <c r="H113" i="5"/>
  <c r="H322" i="5"/>
  <c r="H243" i="5"/>
  <c r="H102" i="5"/>
  <c r="H218" i="5"/>
  <c r="H112" i="5"/>
  <c r="H426" i="5"/>
  <c r="H160" i="5"/>
  <c r="H168" i="5"/>
  <c r="H49" i="5"/>
  <c r="H161" i="5"/>
  <c r="H97" i="5"/>
  <c r="H321" i="5"/>
  <c r="H457" i="5"/>
  <c r="H22" i="5"/>
  <c r="H197" i="5"/>
  <c r="H21" i="5"/>
  <c r="H431" i="5"/>
  <c r="H64" i="5"/>
  <c r="H428" i="5"/>
  <c r="H27" i="5"/>
  <c r="H203" i="5"/>
  <c r="H157" i="5"/>
  <c r="H120" i="5"/>
  <c r="H351" i="5"/>
  <c r="H336" i="5"/>
  <c r="H232" i="5"/>
  <c r="H248" i="5"/>
  <c r="H362" i="5"/>
  <c r="H432" i="5"/>
  <c r="H402" i="5"/>
  <c r="H297" i="5"/>
  <c r="H434" i="5"/>
  <c r="H124" i="5"/>
  <c r="H221" i="5"/>
  <c r="H103" i="5"/>
  <c r="H214" i="5"/>
  <c r="H76" i="5"/>
  <c r="H24" i="5"/>
  <c r="H430" i="5"/>
  <c r="H109" i="5"/>
  <c r="H270" i="5"/>
  <c r="H32" i="5"/>
  <c r="H194" i="5"/>
  <c r="H451" i="5"/>
  <c r="H119" i="5"/>
  <c r="H215" i="5"/>
  <c r="H145" i="5"/>
  <c r="H357" i="5"/>
  <c r="H20" i="5"/>
  <c r="H379" i="5"/>
  <c r="H284" i="5"/>
  <c r="H269" i="5"/>
  <c r="H128" i="5"/>
  <c r="H443" i="5"/>
  <c r="H29" i="5"/>
  <c r="H250" i="5"/>
  <c r="H393" i="5"/>
  <c r="H238" i="5"/>
  <c r="H314" i="5"/>
  <c r="H325" i="5"/>
  <c r="H377" i="5"/>
  <c r="H199" i="5"/>
  <c r="H211" i="5"/>
  <c r="H355" i="5"/>
  <c r="H193" i="5"/>
  <c r="H390" i="5"/>
  <c r="H241" i="5"/>
  <c r="H135" i="5"/>
  <c r="H410" i="5"/>
  <c r="H278" i="5"/>
  <c r="H420" i="5"/>
  <c r="H439" i="5"/>
  <c r="H449" i="5"/>
  <c r="H436" i="5"/>
  <c r="H305" i="5"/>
  <c r="H437" i="5"/>
  <c r="H403" i="5"/>
  <c r="H261" i="5"/>
  <c r="H425" i="5"/>
  <c r="H117" i="5"/>
  <c r="H190" i="5"/>
  <c r="H397" i="5"/>
  <c r="H455" i="5"/>
  <c r="H422" i="5"/>
  <c r="H180" i="5"/>
  <c r="H316" i="5"/>
  <c r="H37" i="5"/>
  <c r="H349" i="5"/>
  <c r="H65" i="5"/>
  <c r="H345" i="5"/>
  <c r="H329" i="5"/>
  <c r="H204" i="5"/>
  <c r="H262" i="5"/>
  <c r="H408" i="5"/>
  <c r="H276" i="5"/>
  <c r="H217" i="5"/>
  <c r="H185" i="5"/>
  <c r="H302" i="5"/>
  <c r="H170" i="5"/>
  <c r="H273" i="5"/>
  <c r="H186" i="5"/>
  <c r="H288" i="5"/>
  <c r="H90" i="5"/>
  <c r="H141" i="5"/>
  <c r="H334" i="5"/>
  <c r="H166" i="5"/>
  <c r="H389" i="5"/>
  <c r="H319" i="5"/>
  <c r="H230" i="5"/>
  <c r="H72" i="5"/>
  <c r="H296" i="5"/>
  <c r="H409" i="5"/>
  <c r="H453" i="5"/>
  <c r="H234" i="5"/>
  <c r="H323" i="5"/>
  <c r="H60" i="5"/>
  <c r="H80" i="5"/>
  <c r="H396" i="5"/>
  <c r="H385" i="5"/>
  <c r="H258" i="5"/>
  <c r="H337" i="5"/>
  <c r="H387" i="5"/>
  <c r="H41" i="5"/>
  <c r="H191" i="5"/>
  <c r="H391" i="5"/>
  <c r="H140" i="5"/>
  <c r="H367" i="5"/>
  <c r="H405" i="5"/>
  <c r="H74" i="5"/>
  <c r="H206" i="5"/>
  <c r="H56" i="5"/>
  <c r="H354" i="5"/>
  <c r="H70" i="5"/>
  <c r="H253" i="5"/>
  <c r="H418" i="5"/>
  <c r="H429" i="5"/>
  <c r="H167" i="5"/>
  <c r="H231" i="5"/>
  <c r="H399" i="5"/>
  <c r="H447" i="5"/>
  <c r="H86" i="5"/>
  <c r="H89" i="5"/>
  <c r="H386" i="5"/>
  <c r="H435" i="5"/>
  <c r="H172" i="5"/>
  <c r="H146" i="5"/>
  <c r="H271" i="5"/>
  <c r="H66" i="5"/>
  <c r="H445" i="5"/>
  <c r="H433" i="5"/>
  <c r="H183" i="5"/>
  <c r="H441" i="5"/>
  <c r="H462" i="5"/>
  <c r="H43" i="5"/>
  <c r="H23" i="5"/>
  <c r="H138" i="5"/>
  <c r="H454" i="5"/>
  <c r="H440" i="5"/>
  <c r="H216" i="5"/>
  <c r="H406" i="5"/>
  <c r="H240" i="5"/>
  <c r="H78" i="5"/>
  <c r="H3" i="5"/>
  <c r="H318" i="5"/>
  <c r="H61" i="5"/>
  <c r="H366" i="5"/>
  <c r="H82" i="5"/>
  <c r="H251" i="5"/>
  <c r="H352" i="5"/>
  <c r="H317" i="5"/>
  <c r="H282" i="5"/>
  <c r="H14" i="5"/>
  <c r="H200" i="5"/>
  <c r="H413" i="5"/>
  <c r="H315" i="5"/>
  <c r="H147" i="5"/>
  <c r="H333" i="5"/>
  <c r="H7" i="5"/>
  <c r="H423" i="5"/>
  <c r="H368" i="5"/>
  <c r="H313" i="5"/>
  <c r="H255" i="5"/>
  <c r="H224" i="5"/>
  <c r="H312" i="5"/>
  <c r="H131" i="5"/>
  <c r="H15" i="5"/>
  <c r="H134" i="5"/>
  <c r="H274" i="5"/>
  <c r="H58" i="5"/>
  <c r="H67" i="5"/>
  <c r="H126" i="5"/>
  <c r="H356" i="5"/>
  <c r="H280" i="5"/>
  <c r="H378" i="5"/>
  <c r="H18" i="5"/>
  <c r="H307" i="5"/>
  <c r="H308" i="5"/>
  <c r="H254" i="5"/>
  <c r="H198" i="5"/>
  <c r="H233" i="5"/>
  <c r="H259" i="5"/>
  <c r="H306" i="5"/>
  <c r="H448" i="5"/>
  <c r="H53" i="5"/>
  <c r="H99" i="5"/>
  <c r="H39" i="5"/>
  <c r="H460" i="5"/>
  <c r="H244" i="5"/>
  <c r="H44" i="5"/>
  <c r="H9" i="5"/>
  <c r="H192" i="5"/>
  <c r="H210" i="5"/>
  <c r="H304" i="5"/>
  <c r="H110" i="5"/>
  <c r="H293" i="5"/>
  <c r="H8" i="5"/>
  <c r="H94" i="5"/>
  <c r="H332" i="5"/>
  <c r="H187" i="5"/>
  <c r="H176" i="5"/>
  <c r="H35" i="5"/>
  <c r="H162" i="5"/>
  <c r="H327" i="5"/>
  <c r="H359" i="5"/>
  <c r="H380" i="5"/>
  <c r="H407" i="5"/>
  <c r="H438" i="5"/>
  <c r="H292" i="5"/>
  <c r="H343" i="5"/>
  <c r="H415" i="5"/>
  <c r="H394" i="5"/>
  <c r="H33" i="5"/>
  <c r="H328" i="5"/>
  <c r="H225" i="5"/>
  <c r="H400" i="5"/>
  <c r="H388" i="5"/>
  <c r="H360" i="5"/>
  <c r="H411" i="5"/>
  <c r="H252" i="5"/>
  <c r="H459" i="5"/>
  <c r="H19" i="5"/>
  <c r="H289" i="5"/>
  <c r="H461" i="5"/>
  <c r="H401" i="5"/>
  <c r="H381" i="5"/>
  <c r="H115" i="5"/>
  <c r="H201" i="5"/>
  <c r="H452" i="5"/>
  <c r="H326" i="5"/>
  <c r="H159" i="5"/>
  <c r="H344" i="5"/>
  <c r="H10" i="5"/>
  <c r="H444" i="5"/>
  <c r="H174" i="5"/>
  <c r="H209" i="5"/>
  <c r="H5" i="5"/>
  <c r="H25" i="5"/>
  <c r="H303" i="5"/>
  <c r="H295" i="5"/>
  <c r="H163" i="5"/>
  <c r="H372" i="5"/>
  <c r="H133" i="5"/>
  <c r="H338" i="5"/>
  <c r="H324" i="5"/>
  <c r="H118" i="5"/>
  <c r="H219" i="5"/>
  <c r="H456" i="5"/>
  <c r="H149" i="5"/>
  <c r="H376" i="5"/>
  <c r="H175" i="5"/>
  <c r="H16" i="5"/>
  <c r="H4" i="5"/>
  <c r="H179" i="5"/>
</calcChain>
</file>

<file path=xl/sharedStrings.xml><?xml version="1.0" encoding="utf-8"?>
<sst xmlns="http://schemas.openxmlformats.org/spreadsheetml/2006/main" count="6070" uniqueCount="2060">
  <si>
    <t>ADM3_PCODE</t>
  </si>
  <si>
    <t>Año</t>
  </si>
  <si>
    <t>viirs</t>
  </si>
  <si>
    <t>pop</t>
  </si>
  <si>
    <t>m2_auo</t>
  </si>
  <si>
    <t>edi</t>
  </si>
  <si>
    <t>crts</t>
  </si>
  <si>
    <t>dt</t>
  </si>
  <si>
    <t>ct</t>
  </si>
  <si>
    <t>ds</t>
  </si>
  <si>
    <t>cs</t>
  </si>
  <si>
    <t>nra</t>
  </si>
  <si>
    <t>edu</t>
  </si>
  <si>
    <t>ndvi</t>
  </si>
  <si>
    <t>mndwi</t>
  </si>
  <si>
    <t>area</t>
  </si>
  <si>
    <t>icl</t>
  </si>
  <si>
    <t>Provincia</t>
  </si>
  <si>
    <t>Cantón</t>
  </si>
  <si>
    <t>Parroquia</t>
  </si>
  <si>
    <t>Personas</t>
  </si>
  <si>
    <t>No pobres</t>
  </si>
  <si>
    <t>Pobres</t>
  </si>
  <si>
    <t>Azuay</t>
  </si>
  <si>
    <t>Cuenca</t>
  </si>
  <si>
    <t>Baños</t>
  </si>
  <si>
    <t>Cumbe</t>
  </si>
  <si>
    <t>Chaucha</t>
  </si>
  <si>
    <t>Checa</t>
  </si>
  <si>
    <t>inf</t>
  </si>
  <si>
    <t>Chiquintad</t>
  </si>
  <si>
    <t>Llacao</t>
  </si>
  <si>
    <t>Molleturo</t>
  </si>
  <si>
    <t>Nulti</t>
  </si>
  <si>
    <t>Octavio Cordero Palacios</t>
  </si>
  <si>
    <t>Paccha</t>
  </si>
  <si>
    <t>Quingeo</t>
  </si>
  <si>
    <t>Ricaurte</t>
  </si>
  <si>
    <t>San Joaquín</t>
  </si>
  <si>
    <t>Santa Ana</t>
  </si>
  <si>
    <t>Sayausí</t>
  </si>
  <si>
    <t>Sidcay</t>
  </si>
  <si>
    <t>Sinincay</t>
  </si>
  <si>
    <t>Tarqui</t>
  </si>
  <si>
    <t>Turi</t>
  </si>
  <si>
    <t>Valle</t>
  </si>
  <si>
    <t>Victoria del Portete</t>
  </si>
  <si>
    <t>Girón</t>
  </si>
  <si>
    <t>La Asunción</t>
  </si>
  <si>
    <t>San Gerardo</t>
  </si>
  <si>
    <t>Gualaceo</t>
  </si>
  <si>
    <t>Daniel Córdova Toral</t>
  </si>
  <si>
    <t>Jadán</t>
  </si>
  <si>
    <t>Mariano Moreno</t>
  </si>
  <si>
    <t>Remigio Crespo Toral</t>
  </si>
  <si>
    <t>San Juan</t>
  </si>
  <si>
    <t>Zhidmad</t>
  </si>
  <si>
    <t>Luis Cordero Vega</t>
  </si>
  <si>
    <t>Simón Bolívar</t>
  </si>
  <si>
    <t>Nabón</t>
  </si>
  <si>
    <t>Cochapata</t>
  </si>
  <si>
    <t>El Progreso</t>
  </si>
  <si>
    <t>Las Nieves</t>
  </si>
  <si>
    <t>Paute</t>
  </si>
  <si>
    <t>Bulán</t>
  </si>
  <si>
    <t>Chicán</t>
  </si>
  <si>
    <t>El Cabo</t>
  </si>
  <si>
    <t>Guarainag</t>
  </si>
  <si>
    <t>San Cristóbal</t>
  </si>
  <si>
    <t>Tomebamba</t>
  </si>
  <si>
    <t>Dug Dug</t>
  </si>
  <si>
    <t>Pucará</t>
  </si>
  <si>
    <t>San Rafael de Sharug</t>
  </si>
  <si>
    <t>San Fernando</t>
  </si>
  <si>
    <t>Chumblín</t>
  </si>
  <si>
    <t>Santa Isabel</t>
  </si>
  <si>
    <t>Abdón Calderón</t>
  </si>
  <si>
    <t>El Carmen de Pijilí</t>
  </si>
  <si>
    <t>Shaglli</t>
  </si>
  <si>
    <t>San Salvador de Cañaribamba</t>
  </si>
  <si>
    <t>Sígsig</t>
  </si>
  <si>
    <t>Jima</t>
  </si>
  <si>
    <t>Güel</t>
  </si>
  <si>
    <t>Ludo</t>
  </si>
  <si>
    <t>San Bartolomé</t>
  </si>
  <si>
    <t>San José de Raranga</t>
  </si>
  <si>
    <t>Oña</t>
  </si>
  <si>
    <t>San Felipe de Oña</t>
  </si>
  <si>
    <t>Susudel</t>
  </si>
  <si>
    <t>Chordeleg</t>
  </si>
  <si>
    <t>Principal</t>
  </si>
  <si>
    <t>La Unión</t>
  </si>
  <si>
    <t>Luis Galarza Orellana</t>
  </si>
  <si>
    <t>San Martín de Puzhio</t>
  </si>
  <si>
    <t>El Pan</t>
  </si>
  <si>
    <t>San Vicente</t>
  </si>
  <si>
    <t>Sevilla de Oro</t>
  </si>
  <si>
    <t>Amaluza</t>
  </si>
  <si>
    <t>Palmas</t>
  </si>
  <si>
    <t>Guachapala</t>
  </si>
  <si>
    <t>Camilo Ponce Enríquez</t>
  </si>
  <si>
    <t>Bolívar</t>
  </si>
  <si>
    <t>Guaranda</t>
  </si>
  <si>
    <t>Facundo Vela</t>
  </si>
  <si>
    <t>Julio E. Moreno</t>
  </si>
  <si>
    <t>Salinas</t>
  </si>
  <si>
    <t>San Lorenzo</t>
  </si>
  <si>
    <t>San Simón</t>
  </si>
  <si>
    <t>Santa Fe</t>
  </si>
  <si>
    <t>Simiátug</t>
  </si>
  <si>
    <t>San Luis de Pambil</t>
  </si>
  <si>
    <t>Chillanes</t>
  </si>
  <si>
    <t>San José del Tambo</t>
  </si>
  <si>
    <t>Chimbo</t>
  </si>
  <si>
    <t>San José de Chimbo</t>
  </si>
  <si>
    <t>Asunción</t>
  </si>
  <si>
    <t>La Magdalena</t>
  </si>
  <si>
    <t>San Sebastián</t>
  </si>
  <si>
    <t>Telimbela</t>
  </si>
  <si>
    <t>Echeandía</t>
  </si>
  <si>
    <t>San Miguel</t>
  </si>
  <si>
    <t>Balsapamba</t>
  </si>
  <si>
    <t>Bilován</t>
  </si>
  <si>
    <t>Régulo de Mora</t>
  </si>
  <si>
    <t>San Pablo</t>
  </si>
  <si>
    <t>Santiago</t>
  </si>
  <si>
    <t>Caluma</t>
  </si>
  <si>
    <t>Las Naves</t>
  </si>
  <si>
    <t>Cañar</t>
  </si>
  <si>
    <t>Azogues</t>
  </si>
  <si>
    <t>Cojitambo</t>
  </si>
  <si>
    <t>Guapán</t>
  </si>
  <si>
    <t>Javier Loyola</t>
  </si>
  <si>
    <t>Luis Cordero</t>
  </si>
  <si>
    <t>Pindilig</t>
  </si>
  <si>
    <t>Rivera</t>
  </si>
  <si>
    <t>Taday</t>
  </si>
  <si>
    <t>Biblián</t>
  </si>
  <si>
    <t>Nazón</t>
  </si>
  <si>
    <t>San Francisco de Sageo</t>
  </si>
  <si>
    <t>Turupamba</t>
  </si>
  <si>
    <t>Jerusalén</t>
  </si>
  <si>
    <t>Chontamarca</t>
  </si>
  <si>
    <t>Chorocopte</t>
  </si>
  <si>
    <t>General Morales</t>
  </si>
  <si>
    <t>Gualleturo</t>
  </si>
  <si>
    <t>Honorato Vásquez</t>
  </si>
  <si>
    <t>Ingapirca</t>
  </si>
  <si>
    <t>Juncal</t>
  </si>
  <si>
    <t>San Antonio</t>
  </si>
  <si>
    <t>Zhud</t>
  </si>
  <si>
    <t>Ventura</t>
  </si>
  <si>
    <t>Ducur</t>
  </si>
  <si>
    <t>La Troncal</t>
  </si>
  <si>
    <t>Manuel J. Calle</t>
  </si>
  <si>
    <t>Pancho Negro</t>
  </si>
  <si>
    <t>El Tambo</t>
  </si>
  <si>
    <t>Déleg</t>
  </si>
  <si>
    <t>Solano</t>
  </si>
  <si>
    <t>Suscal</t>
  </si>
  <si>
    <t>Carchi</t>
  </si>
  <si>
    <t>Tulcán</t>
  </si>
  <si>
    <t>El Carmelo</t>
  </si>
  <si>
    <t>Julio Andrade</t>
  </si>
  <si>
    <t>Maldonado</t>
  </si>
  <si>
    <t>Pioter</t>
  </si>
  <si>
    <t>Tobar Donoso</t>
  </si>
  <si>
    <t>Tufiño</t>
  </si>
  <si>
    <t>Urbina</t>
  </si>
  <si>
    <t>El Chical</t>
  </si>
  <si>
    <t>Santa Martha de Cuba</t>
  </si>
  <si>
    <t>García Moreno</t>
  </si>
  <si>
    <t>Los Andes</t>
  </si>
  <si>
    <t>Monte Olivo</t>
  </si>
  <si>
    <t>San Vicente de Pusir</t>
  </si>
  <si>
    <t>San Rafael</t>
  </si>
  <si>
    <t>Espejo</t>
  </si>
  <si>
    <t>El Ángel</t>
  </si>
  <si>
    <t>El Goaltal</t>
  </si>
  <si>
    <t>La Libertad</t>
  </si>
  <si>
    <t>San Isidro</t>
  </si>
  <si>
    <t>Mira</t>
  </si>
  <si>
    <t>Concepción</t>
  </si>
  <si>
    <t>Jijón y Caamaño</t>
  </si>
  <si>
    <t>Juan Montalvo</t>
  </si>
  <si>
    <t>Montúfar</t>
  </si>
  <si>
    <t>San Gabriel</t>
  </si>
  <si>
    <t>Cristóbal Colón</t>
  </si>
  <si>
    <t>Chitán de Navarrete</t>
  </si>
  <si>
    <t>Fernández Salvador</t>
  </si>
  <si>
    <t>La Paz</t>
  </si>
  <si>
    <t>Piartal</t>
  </si>
  <si>
    <t>San Pedro de Huaca</t>
  </si>
  <si>
    <t>Huaca</t>
  </si>
  <si>
    <t>Mariscal Sucre</t>
  </si>
  <si>
    <t>Cotopaxi</t>
  </si>
  <si>
    <t>Latacunga</t>
  </si>
  <si>
    <t>Aláquez</t>
  </si>
  <si>
    <t>Belisario Quevedo</t>
  </si>
  <si>
    <t>Guaytacama</t>
  </si>
  <si>
    <t>Joseguango Bajo</t>
  </si>
  <si>
    <t>Mulaló</t>
  </si>
  <si>
    <t>Once de Noviembre</t>
  </si>
  <si>
    <t>Poaló</t>
  </si>
  <si>
    <t>San Juan de Pastocalle</t>
  </si>
  <si>
    <t>Tanicuchí</t>
  </si>
  <si>
    <t>Toacaso</t>
  </si>
  <si>
    <t>La Maná</t>
  </si>
  <si>
    <t>Guasaganda</t>
  </si>
  <si>
    <t>Pucayacu</t>
  </si>
  <si>
    <t>Pangua</t>
  </si>
  <si>
    <t>El Corazón</t>
  </si>
  <si>
    <t>Moraspungo</t>
  </si>
  <si>
    <t>Pinllopata</t>
  </si>
  <si>
    <t>Ramón Campaña</t>
  </si>
  <si>
    <t>Pujilí</t>
  </si>
  <si>
    <t>Angamarca</t>
  </si>
  <si>
    <t>Guangaje</t>
  </si>
  <si>
    <t>La Victoria</t>
  </si>
  <si>
    <t>Pilaló</t>
  </si>
  <si>
    <t>Tingo</t>
  </si>
  <si>
    <t>Zumbahua</t>
  </si>
  <si>
    <t>Salcedo</t>
  </si>
  <si>
    <t>Antonio José Holguín</t>
  </si>
  <si>
    <t>Cusubamba</t>
  </si>
  <si>
    <t>Mulalillo</t>
  </si>
  <si>
    <t>Mulliquindil</t>
  </si>
  <si>
    <t>Pansaleo</t>
  </si>
  <si>
    <t>Saquisilí</t>
  </si>
  <si>
    <t>Chantilín</t>
  </si>
  <si>
    <t>Cochapamba</t>
  </si>
  <si>
    <t>Sigchos</t>
  </si>
  <si>
    <t>Chugchillán</t>
  </si>
  <si>
    <t>Isinliví</t>
  </si>
  <si>
    <t>Las Pampas</t>
  </si>
  <si>
    <t>Palo Quemado</t>
  </si>
  <si>
    <t>Chimborazo</t>
  </si>
  <si>
    <t>Riobamba</t>
  </si>
  <si>
    <t>Cacha</t>
  </si>
  <si>
    <t>Calpi</t>
  </si>
  <si>
    <t>Cubijíes</t>
  </si>
  <si>
    <t>Flores</t>
  </si>
  <si>
    <t>Licán</t>
  </si>
  <si>
    <t>Licto</t>
  </si>
  <si>
    <t>Pungalá</t>
  </si>
  <si>
    <t>Punín</t>
  </si>
  <si>
    <t>Quimiag</t>
  </si>
  <si>
    <t>San Luis</t>
  </si>
  <si>
    <t>Alausí</t>
  </si>
  <si>
    <t>Achupallas</t>
  </si>
  <si>
    <t>Guasuntos</t>
  </si>
  <si>
    <t>Huigra</t>
  </si>
  <si>
    <t>Multitud</t>
  </si>
  <si>
    <t>Pistishi</t>
  </si>
  <si>
    <t>Pumallacta</t>
  </si>
  <si>
    <t>Sevilla</t>
  </si>
  <si>
    <t>Sibambe</t>
  </si>
  <si>
    <t>Tixán</t>
  </si>
  <si>
    <t>Colta</t>
  </si>
  <si>
    <t>Villa la Unión</t>
  </si>
  <si>
    <t>Cañi</t>
  </si>
  <si>
    <t>Columbe</t>
  </si>
  <si>
    <t>Juan de Velasco</t>
  </si>
  <si>
    <t>Santiago de Quito</t>
  </si>
  <si>
    <t>Chambo</t>
  </si>
  <si>
    <t>Chunchi</t>
  </si>
  <si>
    <t>Capzol</t>
  </si>
  <si>
    <t>Compud</t>
  </si>
  <si>
    <t>Gonzol</t>
  </si>
  <si>
    <t>Llagos</t>
  </si>
  <si>
    <t>Guamote</t>
  </si>
  <si>
    <t>Cebadas</t>
  </si>
  <si>
    <t>Palmira</t>
  </si>
  <si>
    <t>Guano</t>
  </si>
  <si>
    <t>Guanando</t>
  </si>
  <si>
    <t>Ilapo</t>
  </si>
  <si>
    <t>La Providencia</t>
  </si>
  <si>
    <t>San Andrés</t>
  </si>
  <si>
    <t>San Isidro De Patulú</t>
  </si>
  <si>
    <t>San José del Chazo</t>
  </si>
  <si>
    <t>Santa Fé de Galán</t>
  </si>
  <si>
    <t>Valparaíso</t>
  </si>
  <si>
    <t>Pallatanga</t>
  </si>
  <si>
    <t>Penipe</t>
  </si>
  <si>
    <t>El Altar</t>
  </si>
  <si>
    <t>Matus</t>
  </si>
  <si>
    <t>Puela</t>
  </si>
  <si>
    <t>San Antonio de Bayushig</t>
  </si>
  <si>
    <t>La Candelaria</t>
  </si>
  <si>
    <t>Bilbao</t>
  </si>
  <si>
    <t>Cumandá</t>
  </si>
  <si>
    <t>El Oro</t>
  </si>
  <si>
    <t>Machala</t>
  </si>
  <si>
    <t>El Retiro</t>
  </si>
  <si>
    <t>Arenillas</t>
  </si>
  <si>
    <t>Chacras</t>
  </si>
  <si>
    <t>Palmales</t>
  </si>
  <si>
    <t>Carcabón</t>
  </si>
  <si>
    <t>La Cuca</t>
  </si>
  <si>
    <t>Atahualpa</t>
  </si>
  <si>
    <t>Ayapamba</t>
  </si>
  <si>
    <t>Cordoncillo</t>
  </si>
  <si>
    <t>Milagro</t>
  </si>
  <si>
    <t>San José</t>
  </si>
  <si>
    <t>San Juan de Cerro Azul</t>
  </si>
  <si>
    <t>Balsas</t>
  </si>
  <si>
    <t>Bellamaría</t>
  </si>
  <si>
    <t>Chilla</t>
  </si>
  <si>
    <t>El Guabo</t>
  </si>
  <si>
    <t>Barbones</t>
  </si>
  <si>
    <t>La Iberia</t>
  </si>
  <si>
    <t>Tendales</t>
  </si>
  <si>
    <t>Río Bonito</t>
  </si>
  <si>
    <t>Huaquillas</t>
  </si>
  <si>
    <t>Marcabelí</t>
  </si>
  <si>
    <t>El Ingenio</t>
  </si>
  <si>
    <t>Pasaje</t>
  </si>
  <si>
    <t>Buenavista</t>
  </si>
  <si>
    <t>Casacay</t>
  </si>
  <si>
    <t>La Peaña</t>
  </si>
  <si>
    <t>Progreso</t>
  </si>
  <si>
    <t>Uzhcurrumi</t>
  </si>
  <si>
    <t>Cañaquemada</t>
  </si>
  <si>
    <t>Piñas</t>
  </si>
  <si>
    <t>Capiro</t>
  </si>
  <si>
    <t>La Bocana</t>
  </si>
  <si>
    <t>Moromoro</t>
  </si>
  <si>
    <t>Piedras</t>
  </si>
  <si>
    <t>San Roque</t>
  </si>
  <si>
    <t>Saracay</t>
  </si>
  <si>
    <t>Portovelo</t>
  </si>
  <si>
    <t>Curtincapa</t>
  </si>
  <si>
    <t>Morales</t>
  </si>
  <si>
    <t>Salatí</t>
  </si>
  <si>
    <t>Santa Rosa</t>
  </si>
  <si>
    <t>Bellavista</t>
  </si>
  <si>
    <t>Jambelí</t>
  </si>
  <si>
    <t>La Avanzada</t>
  </si>
  <si>
    <t>Torata</t>
  </si>
  <si>
    <t>Victoria</t>
  </si>
  <si>
    <t>Zaruma</t>
  </si>
  <si>
    <t>Abañín</t>
  </si>
  <si>
    <t>Arcapamba</t>
  </si>
  <si>
    <t>Guanazán</t>
  </si>
  <si>
    <t>Guizhaguiña</t>
  </si>
  <si>
    <t>Huertas</t>
  </si>
  <si>
    <t>Malvas</t>
  </si>
  <si>
    <t>Muluncay Grande</t>
  </si>
  <si>
    <t>Sinsao</t>
  </si>
  <si>
    <t>Salvias</t>
  </si>
  <si>
    <t>Las Lajas</t>
  </si>
  <si>
    <t>El Paraíso</t>
  </si>
  <si>
    <t>Esmeraldas</t>
  </si>
  <si>
    <t>Camarones</t>
  </si>
  <si>
    <t>Coronel Carlos Concha Torres</t>
  </si>
  <si>
    <t>Chinca</t>
  </si>
  <si>
    <t>Majua</t>
  </si>
  <si>
    <t>San Mateo</t>
  </si>
  <si>
    <t>Tabiazo</t>
  </si>
  <si>
    <t>Tachina</t>
  </si>
  <si>
    <t>Vuelta Larga</t>
  </si>
  <si>
    <t>Eloy Alfaro</t>
  </si>
  <si>
    <t>Valdez</t>
  </si>
  <si>
    <t>Anchayacu</t>
  </si>
  <si>
    <t>Borbón</t>
  </si>
  <si>
    <t>La Tola</t>
  </si>
  <si>
    <t>Luis Vargas Torres</t>
  </si>
  <si>
    <t>Pampanal de Bolívar</t>
  </si>
  <si>
    <t>San Francisco de Onzole</t>
  </si>
  <si>
    <t>Santo Domingo de Onzole</t>
  </si>
  <si>
    <t>Selva Alegre</t>
  </si>
  <si>
    <t>Telembí</t>
  </si>
  <si>
    <t>Colón Eloy del María</t>
  </si>
  <si>
    <t>San José de Cayapas</t>
  </si>
  <si>
    <t>Timbiré</t>
  </si>
  <si>
    <t>Santa Lucía de las Peñas</t>
  </si>
  <si>
    <t>Muisne</t>
  </si>
  <si>
    <t>Daule</t>
  </si>
  <si>
    <t>Galera</t>
  </si>
  <si>
    <t>Quingue</t>
  </si>
  <si>
    <t>Sálima</t>
  </si>
  <si>
    <t>San Francisco</t>
  </si>
  <si>
    <t>San Gregorio</t>
  </si>
  <si>
    <t>San José de Chamanga</t>
  </si>
  <si>
    <t>Quinindé</t>
  </si>
  <si>
    <t>Rosa Zárate</t>
  </si>
  <si>
    <t>Cube</t>
  </si>
  <si>
    <t>Chura</t>
  </si>
  <si>
    <t>Malimpia</t>
  </si>
  <si>
    <t>Viche</t>
  </si>
  <si>
    <t>Alto Tambo</t>
  </si>
  <si>
    <t>Ancón</t>
  </si>
  <si>
    <t>Calderón</t>
  </si>
  <si>
    <t>Carondelet</t>
  </si>
  <si>
    <t>5 de Junio</t>
  </si>
  <si>
    <t>Mataje</t>
  </si>
  <si>
    <t>San Javier de Cachaví</t>
  </si>
  <si>
    <t>Santa Rita</t>
  </si>
  <si>
    <t>Tambillo</t>
  </si>
  <si>
    <t>Tululbí</t>
  </si>
  <si>
    <t>Atacames</t>
  </si>
  <si>
    <t>Súa</t>
  </si>
  <si>
    <t>Tonchigüe</t>
  </si>
  <si>
    <t>Tonsupa</t>
  </si>
  <si>
    <t>Rioverde</t>
  </si>
  <si>
    <t>Chontaduro</t>
  </si>
  <si>
    <t>Chumundé</t>
  </si>
  <si>
    <t>Lagarto</t>
  </si>
  <si>
    <t>Montalvo</t>
  </si>
  <si>
    <t>Rocafuerte</t>
  </si>
  <si>
    <t>Guayas</t>
  </si>
  <si>
    <t>Guayaquil</t>
  </si>
  <si>
    <t>Juan Gómez Rendón</t>
  </si>
  <si>
    <t>Morro</t>
  </si>
  <si>
    <t>Posorja</t>
  </si>
  <si>
    <t>Puná</t>
  </si>
  <si>
    <t>Tenguel</t>
  </si>
  <si>
    <t>Alfredo Baquerizo Moreno (Juján)</t>
  </si>
  <si>
    <t>Balao</t>
  </si>
  <si>
    <t>Balzar</t>
  </si>
  <si>
    <t>Colimes</t>
  </si>
  <si>
    <t>San Jacinto</t>
  </si>
  <si>
    <t>Juan Bautista Aguirre</t>
  </si>
  <si>
    <t>Laurel</t>
  </si>
  <si>
    <t>Limonal</t>
  </si>
  <si>
    <t>Los Lojas</t>
  </si>
  <si>
    <t>Durán</t>
  </si>
  <si>
    <t>El Empalme</t>
  </si>
  <si>
    <t>Velasco Ibarra</t>
  </si>
  <si>
    <t>El Rosario</t>
  </si>
  <si>
    <t>El Triunfo</t>
  </si>
  <si>
    <t>Chobo</t>
  </si>
  <si>
    <t>Roberto Astudillo</t>
  </si>
  <si>
    <t>Naranjal</t>
  </si>
  <si>
    <t>Jesús María</t>
  </si>
  <si>
    <t>San Carlos</t>
  </si>
  <si>
    <t>Santa Rosa de Flandes</t>
  </si>
  <si>
    <t>Taura</t>
  </si>
  <si>
    <t>Naranjito</t>
  </si>
  <si>
    <t>Palestina</t>
  </si>
  <si>
    <t>Pedro Carbo</t>
  </si>
  <si>
    <t>Valle de la Virgen</t>
  </si>
  <si>
    <t>Sabanilla</t>
  </si>
  <si>
    <t>Samborondón</t>
  </si>
  <si>
    <t>Tarifa</t>
  </si>
  <si>
    <t>Santa Lucía</t>
  </si>
  <si>
    <t>Salitre</t>
  </si>
  <si>
    <t>El Salitre</t>
  </si>
  <si>
    <t>General Vernaza</t>
  </si>
  <si>
    <t>Junquillal</t>
  </si>
  <si>
    <t>San Jacinto de Yaguachi</t>
  </si>
  <si>
    <t>General Pedro J. Montero</t>
  </si>
  <si>
    <t>Yaguachi Viejo</t>
  </si>
  <si>
    <t>Virgen de Fátima</t>
  </si>
  <si>
    <t>Playas</t>
  </si>
  <si>
    <t>General Villamil</t>
  </si>
  <si>
    <t>Coronel Lorenzo de Garaycoa</t>
  </si>
  <si>
    <t>Coronel Marcelino Maridueña</t>
  </si>
  <si>
    <t>Lomas de Sargentillo</t>
  </si>
  <si>
    <t>Nobol</t>
  </si>
  <si>
    <t>Narcisa de Jesús</t>
  </si>
  <si>
    <t>General  Antonio Elizalde</t>
  </si>
  <si>
    <t>General Antonio Elizalde</t>
  </si>
  <si>
    <t>Isidro Ayora</t>
  </si>
  <si>
    <t>Imbabura</t>
  </si>
  <si>
    <t>Ibarra</t>
  </si>
  <si>
    <t>San Miguel de Ibarra</t>
  </si>
  <si>
    <t>Ambuquí</t>
  </si>
  <si>
    <t>Angochagua</t>
  </si>
  <si>
    <t>Carolina</t>
  </si>
  <si>
    <t>La Esperanza</t>
  </si>
  <si>
    <t>Lita</t>
  </si>
  <si>
    <t>Antonio Ante</t>
  </si>
  <si>
    <t>Atuntaqui</t>
  </si>
  <si>
    <t>Imbaya</t>
  </si>
  <si>
    <t>San Francisco de Natabuela</t>
  </si>
  <si>
    <t>San José de Chaltura</t>
  </si>
  <si>
    <t>Cotacachi</t>
  </si>
  <si>
    <t>Apuela</t>
  </si>
  <si>
    <t>Imantag</t>
  </si>
  <si>
    <t>Peñaherrera</t>
  </si>
  <si>
    <t>Plaza Gutiérrez</t>
  </si>
  <si>
    <t>Quiroga</t>
  </si>
  <si>
    <t>Seis De Julio de Cuellaje</t>
  </si>
  <si>
    <t>Vacas Galindo</t>
  </si>
  <si>
    <t>Otavalo</t>
  </si>
  <si>
    <t>Dr. Miguel Egas Cabezas</t>
  </si>
  <si>
    <t>Eugenio Espejo</t>
  </si>
  <si>
    <t>González Suárez</t>
  </si>
  <si>
    <t>Pataquí</t>
  </si>
  <si>
    <t>San José de Quichinche</t>
  </si>
  <si>
    <t>San Juan de Ilumán</t>
  </si>
  <si>
    <t>Pimampiro</t>
  </si>
  <si>
    <t>Chugá</t>
  </si>
  <si>
    <t>Mariano Acosta</t>
  </si>
  <si>
    <t>San Francisco de Sigsipamba</t>
  </si>
  <si>
    <t>San Miguel de Urcuquí</t>
  </si>
  <si>
    <t>Urcuquí</t>
  </si>
  <si>
    <t>Cahuasquí</t>
  </si>
  <si>
    <t>La Merced de Buenos Aires</t>
  </si>
  <si>
    <t>Pablo Arenas</t>
  </si>
  <si>
    <t>San Blas</t>
  </si>
  <si>
    <t>Tumbabiro</t>
  </si>
  <si>
    <t>Loja</t>
  </si>
  <si>
    <t>Chantaco</t>
  </si>
  <si>
    <t>Chuquiribamba</t>
  </si>
  <si>
    <t>El Cisne</t>
  </si>
  <si>
    <t>Gualel</t>
  </si>
  <si>
    <t>Jimbilla</t>
  </si>
  <si>
    <t>Malacatos</t>
  </si>
  <si>
    <t>San Lucas</t>
  </si>
  <si>
    <t>San Pedro de Vilcabamba</t>
  </si>
  <si>
    <t>Taquil</t>
  </si>
  <si>
    <t>Vilcabamba</t>
  </si>
  <si>
    <t>Yangana</t>
  </si>
  <si>
    <t>Quinara</t>
  </si>
  <si>
    <t>Calvas</t>
  </si>
  <si>
    <t>Cariamanga</t>
  </si>
  <si>
    <t>Colaisaca</t>
  </si>
  <si>
    <t>El Lucero</t>
  </si>
  <si>
    <t>Utuana</t>
  </si>
  <si>
    <t>Sanguillín</t>
  </si>
  <si>
    <t>Catamayo</t>
  </si>
  <si>
    <t>Guayquichuma</t>
  </si>
  <si>
    <t>San Pedro de la Bendita</t>
  </si>
  <si>
    <t>Zambi</t>
  </si>
  <si>
    <t>Celica</t>
  </si>
  <si>
    <t>Cruzpamba</t>
  </si>
  <si>
    <t>Pózul</t>
  </si>
  <si>
    <t>Teniente Maximiliano Rodríguez Loaiza</t>
  </si>
  <si>
    <t>Chaguarpamba</t>
  </si>
  <si>
    <t>Santa Rufina</t>
  </si>
  <si>
    <t>Amarillos</t>
  </si>
  <si>
    <t>Espíndola</t>
  </si>
  <si>
    <t>Jimbura</t>
  </si>
  <si>
    <t>Santa Teresita</t>
  </si>
  <si>
    <t>27 de Abril</t>
  </si>
  <si>
    <t>El Airo</t>
  </si>
  <si>
    <t>Gonzanamá</t>
  </si>
  <si>
    <t>Changaimina</t>
  </si>
  <si>
    <t>Nambacola</t>
  </si>
  <si>
    <t>Purunuma</t>
  </si>
  <si>
    <t>Sacapalca</t>
  </si>
  <si>
    <t>Macará</t>
  </si>
  <si>
    <t>Larama</t>
  </si>
  <si>
    <t>Sabiango</t>
  </si>
  <si>
    <t>Paltas</t>
  </si>
  <si>
    <t>Catacocha</t>
  </si>
  <si>
    <t>Cangonamá</t>
  </si>
  <si>
    <t>Guachanamá</t>
  </si>
  <si>
    <t>Lauro Guerrero</t>
  </si>
  <si>
    <t>Orianga</t>
  </si>
  <si>
    <t>Casanga</t>
  </si>
  <si>
    <t>Yamana</t>
  </si>
  <si>
    <t>Puyango</t>
  </si>
  <si>
    <t>Alamor</t>
  </si>
  <si>
    <t>Ciano</t>
  </si>
  <si>
    <t>El Arenal</t>
  </si>
  <si>
    <t>El Limo</t>
  </si>
  <si>
    <t>Mercadillo</t>
  </si>
  <si>
    <t>Vicentino</t>
  </si>
  <si>
    <t>Saraguro</t>
  </si>
  <si>
    <t>El Paraíso de Celen</t>
  </si>
  <si>
    <t>El Tablón</t>
  </si>
  <si>
    <t>Lluzhapa</t>
  </si>
  <si>
    <t>Manú</t>
  </si>
  <si>
    <t>San Antonio de Qumbe</t>
  </si>
  <si>
    <t>San Pablo de Tenta</t>
  </si>
  <si>
    <t>San Sebastián de Yúluc</t>
  </si>
  <si>
    <t>Urdaneta</t>
  </si>
  <si>
    <t>Sumaypamba</t>
  </si>
  <si>
    <t>Sozoranga</t>
  </si>
  <si>
    <t>Nueva Fátima</t>
  </si>
  <si>
    <t>Tacamoros</t>
  </si>
  <si>
    <t>Zapotillo</t>
  </si>
  <si>
    <t>Mangahurco</t>
  </si>
  <si>
    <t>Garzareal</t>
  </si>
  <si>
    <t>Limones</t>
  </si>
  <si>
    <t>Paletillas</t>
  </si>
  <si>
    <t>Bolaspamba</t>
  </si>
  <si>
    <t>Cazaderos</t>
  </si>
  <si>
    <t>Pindal</t>
  </si>
  <si>
    <t>Chaquinal</t>
  </si>
  <si>
    <t>12 de Diciembre</t>
  </si>
  <si>
    <t>Milagros</t>
  </si>
  <si>
    <t>Quilanga</t>
  </si>
  <si>
    <t>Fundochamba</t>
  </si>
  <si>
    <t>San Antonio de las Aradas</t>
  </si>
  <si>
    <t>Olmedo</t>
  </si>
  <si>
    <t>La Tingue</t>
  </si>
  <si>
    <t>Los Ríos</t>
  </si>
  <si>
    <t>Babahoyo</t>
  </si>
  <si>
    <t>Caracol</t>
  </si>
  <si>
    <t>Febres Cordero</t>
  </si>
  <si>
    <t>Pimocha</t>
  </si>
  <si>
    <t>Baba</t>
  </si>
  <si>
    <t>Guare</t>
  </si>
  <si>
    <t>Isla de Bejucal</t>
  </si>
  <si>
    <t>La Esmeralda</t>
  </si>
  <si>
    <t>Puebloviejo</t>
  </si>
  <si>
    <t>Puerto Pechiche</t>
  </si>
  <si>
    <t>Quevedo</t>
  </si>
  <si>
    <t>Catarama</t>
  </si>
  <si>
    <t>Ventanas</t>
  </si>
  <si>
    <t>Zapotal</t>
  </si>
  <si>
    <t>Chacarita</t>
  </si>
  <si>
    <t>Los Ángeles</t>
  </si>
  <si>
    <t>Vinces</t>
  </si>
  <si>
    <t>Antonio Sotomayor</t>
  </si>
  <si>
    <t>Palenque</t>
  </si>
  <si>
    <t>Buena Fe</t>
  </si>
  <si>
    <t>San Jacinto de Buena Fe</t>
  </si>
  <si>
    <t>Patricia Pilar</t>
  </si>
  <si>
    <t>Valencia</t>
  </si>
  <si>
    <t>Mocache</t>
  </si>
  <si>
    <t>Quinsaloma</t>
  </si>
  <si>
    <t>Manabí</t>
  </si>
  <si>
    <t>Portoviejo</t>
  </si>
  <si>
    <t>Alhajuela</t>
  </si>
  <si>
    <t>Crucita</t>
  </si>
  <si>
    <t>Pueblo Nuevo</t>
  </si>
  <si>
    <t>Riochico</t>
  </si>
  <si>
    <t>San Plácido</t>
  </si>
  <si>
    <t>Chirijos</t>
  </si>
  <si>
    <t>Calceta</t>
  </si>
  <si>
    <t>Membrillo</t>
  </si>
  <si>
    <t>Chone</t>
  </si>
  <si>
    <t>Boyacá</t>
  </si>
  <si>
    <t>Canuto</t>
  </si>
  <si>
    <t>Convento</t>
  </si>
  <si>
    <t>Chibunga</t>
  </si>
  <si>
    <t>El Carmen</t>
  </si>
  <si>
    <t>Wilfrido Loor Moreira</t>
  </si>
  <si>
    <t>San Pedro de Suma</t>
  </si>
  <si>
    <t>Santa María</t>
  </si>
  <si>
    <t>El Paraíso la 14</t>
  </si>
  <si>
    <t>Flavio Alfaro</t>
  </si>
  <si>
    <t>San Francisco de Novillo</t>
  </si>
  <si>
    <t>Zapallo</t>
  </si>
  <si>
    <t>Jipijapa</t>
  </si>
  <si>
    <t>América</t>
  </si>
  <si>
    <t>El Anegado</t>
  </si>
  <si>
    <t>Julcuy</t>
  </si>
  <si>
    <t>Membrillal</t>
  </si>
  <si>
    <t>Pedro Pablo Gómez</t>
  </si>
  <si>
    <t>Puerto Cayo</t>
  </si>
  <si>
    <t>Junín</t>
  </si>
  <si>
    <t>Manta</t>
  </si>
  <si>
    <t>Santa Marianita</t>
  </si>
  <si>
    <t>Montecristi</t>
  </si>
  <si>
    <t>La Pila</t>
  </si>
  <si>
    <t>Paján</t>
  </si>
  <si>
    <t>Campozano</t>
  </si>
  <si>
    <t>Cascol</t>
  </si>
  <si>
    <t>Guale</t>
  </si>
  <si>
    <t>Lascano</t>
  </si>
  <si>
    <t>Pichincha</t>
  </si>
  <si>
    <t>Barraganete</t>
  </si>
  <si>
    <t>Santa Ana de Vuelta Larga</t>
  </si>
  <si>
    <t>Ayacucho</t>
  </si>
  <si>
    <t>Sucre</t>
  </si>
  <si>
    <t>Bahía de Caráquez</t>
  </si>
  <si>
    <t>Charapotó</t>
  </si>
  <si>
    <t>Tosagua</t>
  </si>
  <si>
    <t>Bachillero</t>
  </si>
  <si>
    <t>Ángel Pedro Giler</t>
  </si>
  <si>
    <t>24 de Mayo</t>
  </si>
  <si>
    <t>Noboa</t>
  </si>
  <si>
    <t>Arquitecto Sixto Durán Ballén</t>
  </si>
  <si>
    <t>Pedernales</t>
  </si>
  <si>
    <t>Cojimíes</t>
  </si>
  <si>
    <t>Diez de Agosto</t>
  </si>
  <si>
    <t>Puerto López</t>
  </si>
  <si>
    <t>Machalilla</t>
  </si>
  <si>
    <t>Salango</t>
  </si>
  <si>
    <t>Jama</t>
  </si>
  <si>
    <t>Jaramijó</t>
  </si>
  <si>
    <t>Canoa</t>
  </si>
  <si>
    <t>Morona Santiago</t>
  </si>
  <si>
    <t>Morona</t>
  </si>
  <si>
    <t>Macas</t>
  </si>
  <si>
    <t>Alshi</t>
  </si>
  <si>
    <t>General Proaño</t>
  </si>
  <si>
    <t>Sevilla Don Bosco</t>
  </si>
  <si>
    <t>Sinaí</t>
  </si>
  <si>
    <t>Zuña</t>
  </si>
  <si>
    <t>Cuchaentza</t>
  </si>
  <si>
    <t>Río Blanco</t>
  </si>
  <si>
    <t>Gualaquiza</t>
  </si>
  <si>
    <t>Amazonas</t>
  </si>
  <si>
    <t>Bermejos</t>
  </si>
  <si>
    <t>Bomboíza</t>
  </si>
  <si>
    <t>Chigüinda</t>
  </si>
  <si>
    <t>Nueva Tarqui</t>
  </si>
  <si>
    <t>San Miguel de Cuyes</t>
  </si>
  <si>
    <t>El Ideal</t>
  </si>
  <si>
    <t>Limón Indanza</t>
  </si>
  <si>
    <t>General Leonidas Plaza Gutiérrez</t>
  </si>
  <si>
    <t>Indanza</t>
  </si>
  <si>
    <t>San Miguel de Conchay</t>
  </si>
  <si>
    <t>Santa Susana de Chiviaza</t>
  </si>
  <si>
    <t>Yunganza</t>
  </si>
  <si>
    <t>Palora</t>
  </si>
  <si>
    <t>Arapicos</t>
  </si>
  <si>
    <t>Sangay</t>
  </si>
  <si>
    <t>16 de Agosto</t>
  </si>
  <si>
    <t>Santiago de Méndez</t>
  </si>
  <si>
    <t>Copal</t>
  </si>
  <si>
    <t>Chupianza</t>
  </si>
  <si>
    <t>Patuca</t>
  </si>
  <si>
    <t>San Luis de el Acho</t>
  </si>
  <si>
    <t>Tayuza</t>
  </si>
  <si>
    <t>San Francisco de Chinimbimi</t>
  </si>
  <si>
    <t>Sucúa</t>
  </si>
  <si>
    <t>Huambi</t>
  </si>
  <si>
    <t>Santa Marianita de Jesús</t>
  </si>
  <si>
    <t>Huamboya</t>
  </si>
  <si>
    <t>Chiguaza</t>
  </si>
  <si>
    <t>San Juan Bosco</t>
  </si>
  <si>
    <t>Pan de Azúcar</t>
  </si>
  <si>
    <t>San Carlos de Limón</t>
  </si>
  <si>
    <t>San Jacinto de Wakambeis</t>
  </si>
  <si>
    <t>Santiago de Pananza</t>
  </si>
  <si>
    <t>Taisha</t>
  </si>
  <si>
    <t>Huasaga</t>
  </si>
  <si>
    <t>Macuma</t>
  </si>
  <si>
    <t>Tuutinentsa</t>
  </si>
  <si>
    <t>Pumpuentsa</t>
  </si>
  <si>
    <t>Logroño</t>
  </si>
  <si>
    <t>Yaupi</t>
  </si>
  <si>
    <t>Shimpis</t>
  </si>
  <si>
    <t>Pablo Sexto</t>
  </si>
  <si>
    <t>Tiwintza</t>
  </si>
  <si>
    <t>San José de Morona</t>
  </si>
  <si>
    <t>Napo</t>
  </si>
  <si>
    <t>Tena</t>
  </si>
  <si>
    <t>Ahuano</t>
  </si>
  <si>
    <t>Chontapunta</t>
  </si>
  <si>
    <t>Pano</t>
  </si>
  <si>
    <t>Puerto Misahuallí</t>
  </si>
  <si>
    <t>Puerto Napo</t>
  </si>
  <si>
    <t>Tálag</t>
  </si>
  <si>
    <t>San Juan de Muyuna</t>
  </si>
  <si>
    <t>Archidona</t>
  </si>
  <si>
    <t>Cotundo</t>
  </si>
  <si>
    <t>San Pablo de Ushpayacu</t>
  </si>
  <si>
    <t>Hatun Sumaku</t>
  </si>
  <si>
    <t>El Chaco</t>
  </si>
  <si>
    <t>Gonzalo Díaz de Pineda</t>
  </si>
  <si>
    <t>Linares</t>
  </si>
  <si>
    <t>Oyacachi</t>
  </si>
  <si>
    <t>Sardinas</t>
  </si>
  <si>
    <t>Quijos</t>
  </si>
  <si>
    <t>Baeza</t>
  </si>
  <si>
    <t>Cosanga</t>
  </si>
  <si>
    <t>Cuyuja</t>
  </si>
  <si>
    <t>Papallacta</t>
  </si>
  <si>
    <t>San Francisco de Borja</t>
  </si>
  <si>
    <t>Sumaco</t>
  </si>
  <si>
    <t>Carlos Julio Arosemena Tola</t>
  </si>
  <si>
    <t>Pastaza</t>
  </si>
  <si>
    <t>Puyo</t>
  </si>
  <si>
    <t>Canelos</t>
  </si>
  <si>
    <t>Fátima</t>
  </si>
  <si>
    <t>Pomona</t>
  </si>
  <si>
    <t>Río Corrientes</t>
  </si>
  <si>
    <t>Río Tigre</t>
  </si>
  <si>
    <t>Sarayacu</t>
  </si>
  <si>
    <t>Teniente Hugo Ortiz</t>
  </si>
  <si>
    <t>Veracruz</t>
  </si>
  <si>
    <t>Mera</t>
  </si>
  <si>
    <t>Madre Tierra</t>
  </si>
  <si>
    <t>Shell</t>
  </si>
  <si>
    <t>Santa Clara</t>
  </si>
  <si>
    <t>Arajuno</t>
  </si>
  <si>
    <t>Curaray</t>
  </si>
  <si>
    <t>Distrito Metropolitano de Quito</t>
  </si>
  <si>
    <t>Quito</t>
  </si>
  <si>
    <t>Alangasí</t>
  </si>
  <si>
    <t>Amaguaña</t>
  </si>
  <si>
    <t>Calacalí</t>
  </si>
  <si>
    <t>Conocoto</t>
  </si>
  <si>
    <t>Cumbayá</t>
  </si>
  <si>
    <t>Chavezpamba</t>
  </si>
  <si>
    <t>El Quinche</t>
  </si>
  <si>
    <t>Gualea</t>
  </si>
  <si>
    <t>Guangopolo</t>
  </si>
  <si>
    <t>Guayllabamba</t>
  </si>
  <si>
    <t>La Merced</t>
  </si>
  <si>
    <t>Llano Chico</t>
  </si>
  <si>
    <t>Lloa</t>
  </si>
  <si>
    <t>Nanegal</t>
  </si>
  <si>
    <t>Nanegalito</t>
  </si>
  <si>
    <t>Nayón</t>
  </si>
  <si>
    <t>Nono</t>
  </si>
  <si>
    <t>Pacto</t>
  </si>
  <si>
    <t>Perucho</t>
  </si>
  <si>
    <t>Pifo</t>
  </si>
  <si>
    <t>Píntag</t>
  </si>
  <si>
    <t>Pomasqui</t>
  </si>
  <si>
    <t>Puéllaro</t>
  </si>
  <si>
    <t>Puembo</t>
  </si>
  <si>
    <t>San José de Minas</t>
  </si>
  <si>
    <t>Tababela</t>
  </si>
  <si>
    <t>Tumbaco</t>
  </si>
  <si>
    <t>Yaruquí</t>
  </si>
  <si>
    <t>Zámbiza</t>
  </si>
  <si>
    <t>Cayambe</t>
  </si>
  <si>
    <t>Ascázubi</t>
  </si>
  <si>
    <t>Cangahua</t>
  </si>
  <si>
    <t>Otón</t>
  </si>
  <si>
    <t>Santa Rosa de Cuzubamba</t>
  </si>
  <si>
    <t>San José de Ayora</t>
  </si>
  <si>
    <t>Mejía</t>
  </si>
  <si>
    <t>Machachi</t>
  </si>
  <si>
    <t>Aloag</t>
  </si>
  <si>
    <t>Aloasí</t>
  </si>
  <si>
    <t>Cutuglahua</t>
  </si>
  <si>
    <t>El Chaupi</t>
  </si>
  <si>
    <t>Manuel Cornejo Astorga</t>
  </si>
  <si>
    <t>Uyumbicho</t>
  </si>
  <si>
    <t>Pedro Moncayo</t>
  </si>
  <si>
    <t>Tabacundo</t>
  </si>
  <si>
    <t>Malchinguí</t>
  </si>
  <si>
    <t>Tocachi</t>
  </si>
  <si>
    <t>Tupigachi</t>
  </si>
  <si>
    <t>Rumiñahui</t>
  </si>
  <si>
    <t>Sangolquí</t>
  </si>
  <si>
    <t>Cotogchoa</t>
  </si>
  <si>
    <t>Rumipamba</t>
  </si>
  <si>
    <t>San Miguel de los Bancos</t>
  </si>
  <si>
    <t>Mindo</t>
  </si>
  <si>
    <t>Pedro Vicente Maldonado</t>
  </si>
  <si>
    <t>Puerto Quito</t>
  </si>
  <si>
    <t>Tungurahua</t>
  </si>
  <si>
    <t>Ambato</t>
  </si>
  <si>
    <t>Ambatillo</t>
  </si>
  <si>
    <t>Augusto N. Martínez</t>
  </si>
  <si>
    <t>Constantino Fernández</t>
  </si>
  <si>
    <t>Huachi Grande</t>
  </si>
  <si>
    <t>Izamba</t>
  </si>
  <si>
    <t>Juan Benigno Vela</t>
  </si>
  <si>
    <t>Pasa</t>
  </si>
  <si>
    <t>Picaihua</t>
  </si>
  <si>
    <t>Pilagüín (PILAHUÍN)</t>
  </si>
  <si>
    <t>Quisapincha</t>
  </si>
  <si>
    <t>San Bartolomé de Pinllo</t>
  </si>
  <si>
    <t>Totoras</t>
  </si>
  <si>
    <t>Cunchibamba</t>
  </si>
  <si>
    <t>Unamuncho</t>
  </si>
  <si>
    <t>Baños de Agua Santa</t>
  </si>
  <si>
    <t>Lligua</t>
  </si>
  <si>
    <t>Río Negro</t>
  </si>
  <si>
    <t>Río Verde</t>
  </si>
  <si>
    <t>Ulba</t>
  </si>
  <si>
    <t>Cevallos</t>
  </si>
  <si>
    <t>Mocha</t>
  </si>
  <si>
    <t>Pinguilí</t>
  </si>
  <si>
    <t>Patate</t>
  </si>
  <si>
    <t>Quero</t>
  </si>
  <si>
    <t>Yanayacu-Mochapata</t>
  </si>
  <si>
    <t>San Pedro de Pelileo</t>
  </si>
  <si>
    <t>Pelileo</t>
  </si>
  <si>
    <t>Benítez</t>
  </si>
  <si>
    <t>Cotaló</t>
  </si>
  <si>
    <t>Chiquicha</t>
  </si>
  <si>
    <t>Guambaló</t>
  </si>
  <si>
    <t>Salasaca</t>
  </si>
  <si>
    <t>Santiago de Píllaro</t>
  </si>
  <si>
    <t>Píllaro</t>
  </si>
  <si>
    <t>Baquerizo Moreno</t>
  </si>
  <si>
    <t>Emilio María Terán</t>
  </si>
  <si>
    <t>Marcos Espinel</t>
  </si>
  <si>
    <t>Presidente Urbina</t>
  </si>
  <si>
    <t>San José de Poaló</t>
  </si>
  <si>
    <t>San Miguelito</t>
  </si>
  <si>
    <t>Tisaleo</t>
  </si>
  <si>
    <t>Quinchicoto</t>
  </si>
  <si>
    <t>Zamora Chinchipe</t>
  </si>
  <si>
    <t>Zamora</t>
  </si>
  <si>
    <t>Cumbaratza</t>
  </si>
  <si>
    <t>Guadalupe</t>
  </si>
  <si>
    <t>Imbana</t>
  </si>
  <si>
    <t>Timbara</t>
  </si>
  <si>
    <t>San Carlos de las Minas</t>
  </si>
  <si>
    <t>Chinchipe</t>
  </si>
  <si>
    <t>Zumba</t>
  </si>
  <si>
    <t>Chito</t>
  </si>
  <si>
    <t>El Chorro</t>
  </si>
  <si>
    <t>La Chonta</t>
  </si>
  <si>
    <t>Pucapamba</t>
  </si>
  <si>
    <t>Nangaritza</t>
  </si>
  <si>
    <t>Guayzimi</t>
  </si>
  <si>
    <t>Zurmi</t>
  </si>
  <si>
    <t>Nuevo Paraíso</t>
  </si>
  <si>
    <t>Nankais</t>
  </si>
  <si>
    <t>Yacuambi</t>
  </si>
  <si>
    <t>28 de Mayo</t>
  </si>
  <si>
    <t>Tutupali</t>
  </si>
  <si>
    <t>Yantzaza</t>
  </si>
  <si>
    <t>Chicaña</t>
  </si>
  <si>
    <t>Los Encuentros</t>
  </si>
  <si>
    <t>El Pangui</t>
  </si>
  <si>
    <t>El Guisme</t>
  </si>
  <si>
    <t>Pachicutza</t>
  </si>
  <si>
    <t>Tundayme</t>
  </si>
  <si>
    <t>Centinela del Cóndor</t>
  </si>
  <si>
    <t>Zumbi</t>
  </si>
  <si>
    <t>Triunfo Dorado</t>
  </si>
  <si>
    <t>Panguintza</t>
  </si>
  <si>
    <t>Palanda</t>
  </si>
  <si>
    <t>El Porvenir del Carmen</t>
  </si>
  <si>
    <t>San Francisco del Vergel</t>
  </si>
  <si>
    <t>Valladolid</t>
  </si>
  <si>
    <t>La Canela</t>
  </si>
  <si>
    <t>Paquisha</t>
  </si>
  <si>
    <t>Nuevo Quito</t>
  </si>
  <si>
    <t>Galápagos</t>
  </si>
  <si>
    <t>Puerto Baquerizo Moreno</t>
  </si>
  <si>
    <t>Isla Santa María Floreana</t>
  </si>
  <si>
    <t>Isabela</t>
  </si>
  <si>
    <t>Puerto Villamil</t>
  </si>
  <si>
    <t>Tomás de Berlanga</t>
  </si>
  <si>
    <t>Santa Cruz</t>
  </si>
  <si>
    <t>Puerto Ayora</t>
  </si>
  <si>
    <t>Bella Vista</t>
  </si>
  <si>
    <t>Sucumbíos</t>
  </si>
  <si>
    <t>Lago Agrio</t>
  </si>
  <si>
    <t>Nueva Loja</t>
  </si>
  <si>
    <t>Dureno</t>
  </si>
  <si>
    <t>General Farfán</t>
  </si>
  <si>
    <t>El Eno</t>
  </si>
  <si>
    <t>Pacayacu</t>
  </si>
  <si>
    <t>Santa Cecilia</t>
  </si>
  <si>
    <t>10 de Agosto</t>
  </si>
  <si>
    <t>Gonzalo Pizarro</t>
  </si>
  <si>
    <t>Lumbaquí</t>
  </si>
  <si>
    <t>El Reventador</t>
  </si>
  <si>
    <t>Puerto Libre</t>
  </si>
  <si>
    <t>Putumayo</t>
  </si>
  <si>
    <t>Puerto el Carmen de Putumayo</t>
  </si>
  <si>
    <t>Palma Roja</t>
  </si>
  <si>
    <t>Puerto Bolívar</t>
  </si>
  <si>
    <t>Puerto Rodríguez</t>
  </si>
  <si>
    <t>Santa Elena</t>
  </si>
  <si>
    <t>Sansahuari</t>
  </si>
  <si>
    <t>Shushufindi</t>
  </si>
  <si>
    <t>Limoncocha</t>
  </si>
  <si>
    <t>Pañacocha</t>
  </si>
  <si>
    <t>San Pedro de los Cofánes</t>
  </si>
  <si>
    <t>Siete de Julio</t>
  </si>
  <si>
    <t>La Bonita</t>
  </si>
  <si>
    <t>El Playón de San Francisco</t>
  </si>
  <si>
    <t>La Sofía</t>
  </si>
  <si>
    <t>Rosa Florida</t>
  </si>
  <si>
    <t>Santa Bárbara</t>
  </si>
  <si>
    <t>Cascales</t>
  </si>
  <si>
    <t>El Dorado de Cascales</t>
  </si>
  <si>
    <t>Santa Rosa de Sucumbíos</t>
  </si>
  <si>
    <t>Nueva Troncal</t>
  </si>
  <si>
    <t>Cuyabeno</t>
  </si>
  <si>
    <t>Tarapoa</t>
  </si>
  <si>
    <t>Aguas Negras</t>
  </si>
  <si>
    <t>Orellana</t>
  </si>
  <si>
    <t>Francisco de Orellana</t>
  </si>
  <si>
    <t>El Coca (PUERTO FRANCISCO DE ORELLANA)</t>
  </si>
  <si>
    <t>Dayuma</t>
  </si>
  <si>
    <t>Taracoa</t>
  </si>
  <si>
    <t>Alejandro Labaka</t>
  </si>
  <si>
    <t>El Dorado</t>
  </si>
  <si>
    <t>El Edén</t>
  </si>
  <si>
    <t>Inés Arango</t>
  </si>
  <si>
    <t>La Belleza</t>
  </si>
  <si>
    <t>San José de Guayusa</t>
  </si>
  <si>
    <t>San Luis de Armenia</t>
  </si>
  <si>
    <t>Aguarico</t>
  </si>
  <si>
    <t>Nuevo Rocafuerte</t>
  </si>
  <si>
    <t>Capitán Augusto Rivadeneyra</t>
  </si>
  <si>
    <t>Cononaco</t>
  </si>
  <si>
    <t>Santa María de Huiririma</t>
  </si>
  <si>
    <t>Yasuní</t>
  </si>
  <si>
    <t>La Joya de los Sachas</t>
  </si>
  <si>
    <t>Enokanqui</t>
  </si>
  <si>
    <t>Pompeya</t>
  </si>
  <si>
    <t>San Sebastián del Coca</t>
  </si>
  <si>
    <t>Lago San Pedro</t>
  </si>
  <si>
    <t>Tres de Noviembre</t>
  </si>
  <si>
    <t>Unión Milagreña</t>
  </si>
  <si>
    <t>Loreto</t>
  </si>
  <si>
    <t>Ávila</t>
  </si>
  <si>
    <t>Puerto Murialdo</t>
  </si>
  <si>
    <t>San José de Payamino</t>
  </si>
  <si>
    <t>San José de Dahuano</t>
  </si>
  <si>
    <t>San Vicente de Huaticocha</t>
  </si>
  <si>
    <t>Santo Domingo de los Tsáchilas</t>
  </si>
  <si>
    <t>Santo Domingo</t>
  </si>
  <si>
    <t>Santo Domingo de los Colorados</t>
  </si>
  <si>
    <t>Alluriquín</t>
  </si>
  <si>
    <t>Puerto Limón</t>
  </si>
  <si>
    <t>Luz de América</t>
  </si>
  <si>
    <t>San Jacinto del Búa</t>
  </si>
  <si>
    <t>Valle Hermoso</t>
  </si>
  <si>
    <t>El Esfuerzo</t>
  </si>
  <si>
    <t>Santa María del Toachi</t>
  </si>
  <si>
    <t>La Concordia</t>
  </si>
  <si>
    <t>Monterrey</t>
  </si>
  <si>
    <t>La Villegas</t>
  </si>
  <si>
    <t>Plan Piloto</t>
  </si>
  <si>
    <t>Colonche</t>
  </si>
  <si>
    <t>Chanduy</t>
  </si>
  <si>
    <t>Manglaralto</t>
  </si>
  <si>
    <t>San José de Ancón</t>
  </si>
  <si>
    <t>Anconcito</t>
  </si>
  <si>
    <t>José Luis Tamayo</t>
  </si>
  <si>
    <t>Cuchil</t>
  </si>
  <si>
    <t>Canchagua</t>
  </si>
  <si>
    <t>EC010155</t>
  </si>
  <si>
    <t>EC010360</t>
  </si>
  <si>
    <t>EC010451</t>
  </si>
  <si>
    <t>EC010556</t>
  </si>
  <si>
    <t>EC011152</t>
  </si>
  <si>
    <t>EC030352</t>
  </si>
  <si>
    <t>EC030355</t>
  </si>
  <si>
    <t>EC030750</t>
  </si>
  <si>
    <t>EC050551</t>
  </si>
  <si>
    <t>EC050653</t>
  </si>
  <si>
    <t>EC071352</t>
  </si>
  <si>
    <t>EC071357</t>
  </si>
  <si>
    <t>EC080256</t>
  </si>
  <si>
    <t>EC090653</t>
  </si>
  <si>
    <t>EC091452</t>
  </si>
  <si>
    <t>EC091953</t>
  </si>
  <si>
    <t>EC100253</t>
  </si>
  <si>
    <t>EC111153</t>
  </si>
  <si>
    <t>EC111157</t>
  </si>
  <si>
    <t>EC111160</t>
  </si>
  <si>
    <t>EC131050</t>
  </si>
  <si>
    <t>EC131053</t>
  </si>
  <si>
    <t>EC131054</t>
  </si>
  <si>
    <t>EC131652</t>
  </si>
  <si>
    <t>EC140350</t>
  </si>
  <si>
    <t>EC210550</t>
  </si>
  <si>
    <t>EC210551</t>
  </si>
  <si>
    <t>EC240155</t>
  </si>
  <si>
    <t>EC240351</t>
  </si>
  <si>
    <t>EC170452</t>
  </si>
  <si>
    <t>EC170453</t>
  </si>
  <si>
    <t>EC060755</t>
  </si>
  <si>
    <t>EC100251</t>
  </si>
  <si>
    <t>EC030252</t>
  </si>
  <si>
    <t>EC210454</t>
  </si>
  <si>
    <t>EC240151</t>
  </si>
  <si>
    <t>EC140452</t>
  </si>
  <si>
    <t>EC060153</t>
  </si>
  <si>
    <t>EC010554</t>
  </si>
  <si>
    <t>EC170254</t>
  </si>
  <si>
    <t>EC010156</t>
  </si>
  <si>
    <t>EC040151</t>
  </si>
  <si>
    <t>EC030151</t>
  </si>
  <si>
    <t>EC060253</t>
  </si>
  <si>
    <t>EC030651</t>
  </si>
  <si>
    <t>EC141150</t>
  </si>
  <si>
    <t>EC060155</t>
  </si>
  <si>
    <t>EC030155</t>
  </si>
  <si>
    <t>EC010751</t>
  </si>
  <si>
    <t>EC180652</t>
  </si>
  <si>
    <t>EC170255</t>
  </si>
  <si>
    <t>EC060151</t>
  </si>
  <si>
    <t>EC170163</t>
  </si>
  <si>
    <t>EC210153</t>
  </si>
  <si>
    <t>EC011150</t>
  </si>
  <si>
    <t>EC030451</t>
  </si>
  <si>
    <t>EC070152</t>
  </si>
  <si>
    <t>EC170165</t>
  </si>
  <si>
    <t>EC060158</t>
  </si>
  <si>
    <t>EC180451</t>
  </si>
  <si>
    <t>EC010559</t>
  </si>
  <si>
    <t>EC080253</t>
  </si>
  <si>
    <t>EC010550</t>
  </si>
  <si>
    <t>EC071050</t>
  </si>
  <si>
    <t>EC010164</t>
  </si>
  <si>
    <t>EC060152</t>
  </si>
  <si>
    <t>EC010562</t>
  </si>
  <si>
    <t>EC111151</t>
  </si>
  <si>
    <t>EC170186</t>
  </si>
  <si>
    <t>EC150450</t>
  </si>
  <si>
    <t>EC010162</t>
  </si>
  <si>
    <t>EC100157</t>
  </si>
  <si>
    <t>EC030154</t>
  </si>
  <si>
    <t>EC030158</t>
  </si>
  <si>
    <t>EC030153</t>
  </si>
  <si>
    <t>EC010850</t>
  </si>
  <si>
    <t>EC040254</t>
  </si>
  <si>
    <t>EC050555</t>
  </si>
  <si>
    <t>EC100356</t>
  </si>
  <si>
    <t>EC111152</t>
  </si>
  <si>
    <t>EC010357</t>
  </si>
  <si>
    <t>EC111155</t>
  </si>
  <si>
    <t>EC240153</t>
  </si>
  <si>
    <t>EC170451</t>
  </si>
  <si>
    <t>EC091051</t>
  </si>
  <si>
    <t>EC010553</t>
  </si>
  <si>
    <t>EC240352</t>
  </si>
  <si>
    <t>EC150452</t>
  </si>
  <si>
    <t>EC170160</t>
  </si>
  <si>
    <t>EC050453</t>
  </si>
  <si>
    <t>EC150754</t>
  </si>
  <si>
    <t>EC030253</t>
  </si>
  <si>
    <t>EC100151</t>
  </si>
  <si>
    <t>EC100250</t>
  </si>
  <si>
    <t>EC120250</t>
  </si>
  <si>
    <t>EC140550</t>
  </si>
  <si>
    <t>EC190652</t>
  </si>
  <si>
    <t>EC170178</t>
  </si>
  <si>
    <t>EC100451</t>
  </si>
  <si>
    <t>EC170159</t>
  </si>
  <si>
    <t>EC030350</t>
  </si>
  <si>
    <t>EC040153</t>
  </si>
  <si>
    <t>EC220255</t>
  </si>
  <si>
    <t>EC110153</t>
  </si>
  <si>
    <t>EC020350</t>
  </si>
  <si>
    <t>EC010750</t>
  </si>
  <si>
    <t>EC060250</t>
  </si>
  <si>
    <t>EC030250</t>
  </si>
  <si>
    <t>EC010356</t>
  </si>
  <si>
    <t>EC100156</t>
  </si>
  <si>
    <t>EC092450</t>
  </si>
  <si>
    <t>EC210355</t>
  </si>
  <si>
    <t>EC220350</t>
  </si>
  <si>
    <t>EC160350</t>
  </si>
  <si>
    <t>EC240350</t>
  </si>
  <si>
    <t>EC111154</t>
  </si>
  <si>
    <t>EC140552</t>
  </si>
  <si>
    <t>EC092056</t>
  </si>
  <si>
    <t>EC010251</t>
  </si>
  <si>
    <t>EC040350</t>
  </si>
  <si>
    <t>EC010159</t>
  </si>
  <si>
    <t>EC170183</t>
  </si>
  <si>
    <t>EC020153</t>
  </si>
  <si>
    <t>EC040158</t>
  </si>
  <si>
    <t>EC060154</t>
  </si>
  <si>
    <t>EC060350</t>
  </si>
  <si>
    <t>EC091450</t>
  </si>
  <si>
    <t>EC100455</t>
  </si>
  <si>
    <t>EC091651</t>
  </si>
  <si>
    <t>EC060161</t>
  </si>
  <si>
    <t>EC040650</t>
  </si>
  <si>
    <t>EC180755</t>
  </si>
  <si>
    <t>EC240250</t>
  </si>
  <si>
    <t>EC071250</t>
  </si>
  <si>
    <t>EC190450</t>
  </si>
  <si>
    <t>EC240156</t>
  </si>
  <si>
    <t>EC100252</t>
  </si>
  <si>
    <t>EC140450</t>
  </si>
  <si>
    <t>EC040353</t>
  </si>
  <si>
    <t>EC110350</t>
  </si>
  <si>
    <t>EC170170</t>
  </si>
  <si>
    <t>EC120555</t>
  </si>
  <si>
    <t>EC010154</t>
  </si>
  <si>
    <t>EC070450</t>
  </si>
  <si>
    <t>EC150750</t>
  </si>
  <si>
    <t>EC020354</t>
  </si>
  <si>
    <t>EC070250</t>
  </si>
  <si>
    <t>EC010167</t>
  </si>
  <si>
    <t>EC210554</t>
  </si>
  <si>
    <t>EC090156</t>
  </si>
  <si>
    <t>EC140454</t>
  </si>
  <si>
    <t>EC091350</t>
  </si>
  <si>
    <t>EC030150</t>
  </si>
  <si>
    <t>EC050652</t>
  </si>
  <si>
    <t>EC180756</t>
  </si>
  <si>
    <t>EC091950</t>
  </si>
  <si>
    <t>EC100350</t>
  </si>
  <si>
    <t>EC080556</t>
  </si>
  <si>
    <t>EC050455</t>
  </si>
  <si>
    <t>EC040250</t>
  </si>
  <si>
    <t>EC091951</t>
  </si>
  <si>
    <t>EC180751</t>
  </si>
  <si>
    <t>EC220454</t>
  </si>
  <si>
    <t>EC060550</t>
  </si>
  <si>
    <t>EC040550</t>
  </si>
  <si>
    <t>EC040450</t>
  </si>
  <si>
    <t>EC170179</t>
  </si>
  <si>
    <t>EC210350</t>
  </si>
  <si>
    <t>EC080755</t>
  </si>
  <si>
    <t>EC050157</t>
  </si>
  <si>
    <t>EC090852</t>
  </si>
  <si>
    <t>EC071355</t>
  </si>
  <si>
    <t>EC170177</t>
  </si>
  <si>
    <t>EC030550</t>
  </si>
  <si>
    <t>EC160252</t>
  </si>
  <si>
    <t>EC070850</t>
  </si>
  <si>
    <t>EC180951</t>
  </si>
  <si>
    <t>EC100452</t>
  </si>
  <si>
    <t>EC010950</t>
  </si>
  <si>
    <t>EC090550</t>
  </si>
  <si>
    <t>EC210150</t>
  </si>
  <si>
    <t>EC210158</t>
  </si>
  <si>
    <t>EC011450</t>
  </si>
  <si>
    <t>EC060652</t>
  </si>
  <si>
    <t>EC100254</t>
  </si>
  <si>
    <t>EC010170</t>
  </si>
  <si>
    <t>EC071350</t>
  </si>
  <si>
    <t>EC170352</t>
  </si>
  <si>
    <t>EC110157</t>
  </si>
  <si>
    <t>EC010359</t>
  </si>
  <si>
    <t>EC091152</t>
  </si>
  <si>
    <t>EC030354</t>
  </si>
  <si>
    <t>EC050651</t>
  </si>
  <si>
    <t>EC060354</t>
  </si>
  <si>
    <t>EC190551</t>
  </si>
  <si>
    <t>EC040252</t>
  </si>
  <si>
    <t>EC130656</t>
  </si>
  <si>
    <t>EC160250</t>
  </si>
  <si>
    <t>EC160450</t>
  </si>
  <si>
    <t>EC170180</t>
  </si>
  <si>
    <t>EC010166</t>
  </si>
  <si>
    <t>EC040451</t>
  </si>
  <si>
    <t>EC071356</t>
  </si>
  <si>
    <t>EC131951</t>
  </si>
  <si>
    <t>EC010358</t>
  </si>
  <si>
    <t>EC240150</t>
  </si>
  <si>
    <t>EC020351</t>
  </si>
  <si>
    <t>EC180158</t>
  </si>
  <si>
    <t>EC180758</t>
  </si>
  <si>
    <t>EC180168</t>
  </si>
  <si>
    <t>EC111050</t>
  </si>
  <si>
    <t>EC091850</t>
  </si>
  <si>
    <t>EC180151</t>
  </si>
  <si>
    <t>EC180154</t>
  </si>
  <si>
    <t>EC130454</t>
  </si>
  <si>
    <t>EC091250</t>
  </si>
  <si>
    <t>EC060450</t>
  </si>
  <si>
    <t>EC050553</t>
  </si>
  <si>
    <t>EC050552</t>
  </si>
  <si>
    <t>EC190553</t>
  </si>
  <si>
    <t>EC180155</t>
  </si>
  <si>
    <t>EC020158</t>
  </si>
  <si>
    <t>EC180160</t>
  </si>
  <si>
    <t>EC091154</t>
  </si>
  <si>
    <t>EC140451</t>
  </si>
  <si>
    <t>EC030450</t>
  </si>
  <si>
    <t>EC180855</t>
  </si>
  <si>
    <t>EC150155</t>
  </si>
  <si>
    <t>EC210450</t>
  </si>
  <si>
    <t>EC110156</t>
  </si>
  <si>
    <t>EC060754</t>
  </si>
  <si>
    <t>EC071150</t>
  </si>
  <si>
    <t>EC070254</t>
  </si>
  <si>
    <t>EC180166</t>
  </si>
  <si>
    <t>EC121051</t>
  </si>
  <si>
    <t>EC170162</t>
  </si>
  <si>
    <t>EC170156</t>
  </si>
  <si>
    <t>EC180152</t>
  </si>
  <si>
    <t>EC190550</t>
  </si>
  <si>
    <t>EC180350</t>
  </si>
  <si>
    <t>EC060650</t>
  </si>
  <si>
    <t>EC030251</t>
  </si>
  <si>
    <t>EC180163</t>
  </si>
  <si>
    <t>EC100450</t>
  </si>
  <si>
    <t>EC060160</t>
  </si>
  <si>
    <t>EC090650</t>
  </si>
  <si>
    <t>EC180156</t>
  </si>
  <si>
    <t>EC020550</t>
  </si>
  <si>
    <t>EC170151</t>
  </si>
  <si>
    <t>EC130657</t>
  </si>
  <si>
    <t>EC150150</t>
  </si>
  <si>
    <t>EC110750</t>
  </si>
  <si>
    <t>EC160150</t>
  </si>
  <si>
    <t>EC160163</t>
  </si>
  <si>
    <t>EC010169</t>
  </si>
  <si>
    <t>EC120850</t>
  </si>
  <si>
    <t>EC180750</t>
  </si>
  <si>
    <t>EC091050</t>
  </si>
  <si>
    <t>EC070150</t>
  </si>
  <si>
    <t>EC170155</t>
  </si>
  <si>
    <t>EC050650</t>
  </si>
  <si>
    <t>EC180153</t>
  </si>
  <si>
    <t>EC131950</t>
  </si>
  <si>
    <t>EC090950</t>
  </si>
  <si>
    <t>EC180850</t>
  </si>
  <si>
    <t>EC090450</t>
  </si>
  <si>
    <t>EC150950</t>
  </si>
  <si>
    <t>EC111450</t>
  </si>
  <si>
    <t>EC120452</t>
  </si>
  <si>
    <t>EC050550</t>
  </si>
  <si>
    <t>EC060756</t>
  </si>
  <si>
    <t>EC170171</t>
  </si>
  <si>
    <t>EC170450</t>
  </si>
  <si>
    <t>EC210752</t>
  </si>
  <si>
    <t>EC170550</t>
  </si>
  <si>
    <t>EC040453</t>
  </si>
  <si>
    <t>EC120150</t>
  </si>
  <si>
    <t>EC140750</t>
  </si>
  <si>
    <t>EC230250</t>
  </si>
  <si>
    <t>EC070650</t>
  </si>
  <si>
    <t>EC020159</t>
  </si>
  <si>
    <t>EC180159</t>
  </si>
  <si>
    <t>EC010450</t>
  </si>
  <si>
    <t>EC180550</t>
  </si>
  <si>
    <t>EC050161</t>
  </si>
  <si>
    <t>EC120553</t>
  </si>
  <si>
    <t>EC220450</t>
  </si>
  <si>
    <t>EC170157</t>
  </si>
  <si>
    <t>EC010158</t>
  </si>
  <si>
    <t>EC190650</t>
  </si>
  <si>
    <t>EC180450</t>
  </si>
  <si>
    <t>EC060352</t>
  </si>
  <si>
    <t>EC010350</t>
  </si>
  <si>
    <t>EC091650</t>
  </si>
  <si>
    <t>EC092150</t>
  </si>
  <si>
    <t>EC111150</t>
  </si>
  <si>
    <t>EC170154</t>
  </si>
  <si>
    <t>EC100154</t>
  </si>
  <si>
    <t>EC170351</t>
  </si>
  <si>
    <t>EC140250</t>
  </si>
  <si>
    <t>EC060750</t>
  </si>
  <si>
    <t>EC131650</t>
  </si>
  <si>
    <t>EC170184</t>
  </si>
  <si>
    <t>EC170353</t>
  </si>
  <si>
    <t>EC030650</t>
  </si>
  <si>
    <t>EC050162</t>
  </si>
  <si>
    <t>EC180161</t>
  </si>
  <si>
    <t>EC090350</t>
  </si>
  <si>
    <t>EC050554</t>
  </si>
  <si>
    <t>EC070950</t>
  </si>
  <si>
    <t>EC011050</t>
  </si>
  <si>
    <t>EC100550</t>
  </si>
  <si>
    <t>EC180165</t>
  </si>
  <si>
    <t>EC111350</t>
  </si>
  <si>
    <t>EC131952</t>
  </si>
  <si>
    <t>EC050751</t>
  </si>
  <si>
    <t>EC180167</t>
  </si>
  <si>
    <t>EC170185</t>
  </si>
  <si>
    <t>EC170164</t>
  </si>
  <si>
    <t>EC010150</t>
  </si>
  <si>
    <t>EC100650</t>
  </si>
  <si>
    <t>EC050153</t>
  </si>
  <si>
    <t>EC170252</t>
  </si>
  <si>
    <t>EC050250</t>
  </si>
  <si>
    <t>EC092850</t>
  </si>
  <si>
    <t>EC190250</t>
  </si>
  <si>
    <t>EC090750</t>
  </si>
  <si>
    <t>EC240152</t>
  </si>
  <si>
    <t>EC010157</t>
  </si>
  <si>
    <t>EC010160</t>
  </si>
  <si>
    <t>EC120450</t>
  </si>
  <si>
    <t>EC110850</t>
  </si>
  <si>
    <t>EC050750</t>
  </si>
  <si>
    <t>EC140850</t>
  </si>
  <si>
    <t>EC130852</t>
  </si>
  <si>
    <t>EC140150</t>
  </si>
  <si>
    <t>EC060150</t>
  </si>
  <si>
    <t>EC100150</t>
  </si>
  <si>
    <t>EC180157</t>
  </si>
  <si>
    <t>EC071251</t>
  </si>
  <si>
    <t>EC020150</t>
  </si>
  <si>
    <t>EC050450</t>
  </si>
  <si>
    <t>EC180853</t>
  </si>
  <si>
    <t>EC180854</t>
  </si>
  <si>
    <t>EC230152</t>
  </si>
  <si>
    <t>EC110150</t>
  </si>
  <si>
    <t>EC130650</t>
  </si>
  <si>
    <t>EC050152</t>
  </si>
  <si>
    <t>EC170250</t>
  </si>
  <si>
    <t>EC120851</t>
  </si>
  <si>
    <t>EC050752</t>
  </si>
  <si>
    <t>EC010452</t>
  </si>
  <si>
    <t>EC150350</t>
  </si>
  <si>
    <t>EC210750</t>
  </si>
  <si>
    <t>EC180150</t>
  </si>
  <si>
    <t>EC080166</t>
  </si>
  <si>
    <t>EC071450</t>
  </si>
  <si>
    <t>EC170350</t>
  </si>
  <si>
    <t>EC170175</t>
  </si>
  <si>
    <t>EC010163</t>
  </si>
  <si>
    <t>EC170551</t>
  </si>
  <si>
    <t>EC180650</t>
  </si>
  <si>
    <t>EC180162</t>
  </si>
  <si>
    <t>EC091150</t>
  </si>
  <si>
    <t>EC180950</t>
  </si>
  <si>
    <t>EC190150</t>
  </si>
  <si>
    <t>EC011051</t>
  </si>
  <si>
    <t>EC090850</t>
  </si>
  <si>
    <t>EC060156</t>
  </si>
  <si>
    <t>EC130252</t>
  </si>
  <si>
    <t>EC132150</t>
  </si>
  <si>
    <t>EC090157</t>
  </si>
  <si>
    <t>EC010151</t>
  </si>
  <si>
    <t>EC130952</t>
  </si>
  <si>
    <t>EC010851</t>
  </si>
  <si>
    <t>EC092050</t>
  </si>
  <si>
    <t>EC060850</t>
  </si>
  <si>
    <t>EC100353</t>
  </si>
  <si>
    <t>EC010165</t>
  </si>
  <si>
    <t>EC140650</t>
  </si>
  <si>
    <t>EC050151</t>
  </si>
  <si>
    <t>EC080550</t>
  </si>
  <si>
    <t>EC131350</t>
  </si>
  <si>
    <t>EC150451</t>
  </si>
  <si>
    <t>EC130851</t>
  </si>
  <si>
    <t>EC110450</t>
  </si>
  <si>
    <t>EC170176</t>
  </si>
  <si>
    <t>EC050158</t>
  </si>
  <si>
    <t>EC010250</t>
  </si>
  <si>
    <t>EC080450</t>
  </si>
  <si>
    <t>EC170152</t>
  </si>
  <si>
    <t>EC121050</t>
  </si>
  <si>
    <t>EC210251</t>
  </si>
  <si>
    <t>EC220451</t>
  </si>
  <si>
    <t>EC220250</t>
  </si>
  <si>
    <t>EC050150</t>
  </si>
  <si>
    <t>EC180250</t>
  </si>
  <si>
    <t>EC090656</t>
  </si>
  <si>
    <t>EC180754</t>
  </si>
  <si>
    <t>EC092550</t>
  </si>
  <si>
    <t>EC210250</t>
  </si>
  <si>
    <t>EC121250</t>
  </si>
  <si>
    <t>EC060159</t>
  </si>
  <si>
    <t>EC130153</t>
  </si>
  <si>
    <t>EC170357</t>
  </si>
  <si>
    <t>EC100352</t>
  </si>
  <si>
    <t>EC050458</t>
  </si>
  <si>
    <t>EC170356</t>
  </si>
  <si>
    <t>EC120154</t>
  </si>
  <si>
    <t>EC150156</t>
  </si>
  <si>
    <t>EC130658</t>
  </si>
  <si>
    <t>EC050156</t>
  </si>
  <si>
    <t>EC131150</t>
  </si>
  <si>
    <t>EC240154</t>
  </si>
  <si>
    <t>EC040150</t>
  </si>
  <si>
    <t>EC120550</t>
  </si>
  <si>
    <t>EC060251</t>
  </si>
  <si>
    <t>EC131352</t>
  </si>
  <si>
    <t>EC130450</t>
  </si>
  <si>
    <t>EC130850</t>
  </si>
  <si>
    <t>EC150454</t>
  </si>
  <si>
    <t>EC110161</t>
  </si>
  <si>
    <t>EC170256</t>
  </si>
  <si>
    <t>EC130250</t>
  </si>
  <si>
    <t>EC070750</t>
  </si>
  <si>
    <t>EC220150</t>
  </si>
  <si>
    <t>EC110250</t>
  </si>
  <si>
    <t>EC131850</t>
  </si>
  <si>
    <t>EC170150</t>
  </si>
  <si>
    <t>EC080168</t>
  </si>
  <si>
    <t>EC080150</t>
  </si>
  <si>
    <t>EC090150</t>
  </si>
  <si>
    <t>EC131453</t>
  </si>
  <si>
    <t>EC131450</t>
  </si>
  <si>
    <t>EC080650</t>
  </si>
  <si>
    <t>EC080356</t>
  </si>
  <si>
    <t>EC130950</t>
  </si>
  <si>
    <t>EC130550</t>
  </si>
  <si>
    <t>EC080350</t>
  </si>
  <si>
    <t>EC131250</t>
  </si>
  <si>
    <t>EC060260</t>
  </si>
  <si>
    <t>EC130150</t>
  </si>
  <si>
    <t>EC130151</t>
  </si>
  <si>
    <t>EC130156</t>
  </si>
  <si>
    <t>EC050154</t>
  </si>
  <si>
    <t>EC170950</t>
  </si>
  <si>
    <t>EC132050</t>
  </si>
  <si>
    <t>EC130352</t>
  </si>
  <si>
    <t>EC131752</t>
  </si>
  <si>
    <t>EC131550</t>
  </si>
  <si>
    <t>EC140950</t>
  </si>
  <si>
    <t>EC131457</t>
  </si>
  <si>
    <t>EC130750</t>
  </si>
  <si>
    <t>EC121150</t>
  </si>
  <si>
    <t>EC130355</t>
  </si>
  <si>
    <t>EC130350</t>
  </si>
  <si>
    <t>EC132250</t>
  </si>
  <si>
    <t>EC131750</t>
  </si>
  <si>
    <t>EC230150</t>
  </si>
  <si>
    <t>EC050159</t>
  </si>
  <si>
    <t>EC210252</t>
  </si>
  <si>
    <t>EC010152</t>
  </si>
  <si>
    <t>EC010161</t>
  </si>
  <si>
    <t>EC010168</t>
  </si>
  <si>
    <t>EC010171</t>
  </si>
  <si>
    <t>EC010252</t>
  </si>
  <si>
    <t>EC010353</t>
  </si>
  <si>
    <t>EC010453</t>
  </si>
  <si>
    <t>EC010552</t>
  </si>
  <si>
    <t>EC010650</t>
  </si>
  <si>
    <t>EC010652</t>
  </si>
  <si>
    <t>EC010853</t>
  </si>
  <si>
    <t>EC010854</t>
  </si>
  <si>
    <t>EC010952</t>
  </si>
  <si>
    <t>EC010955</t>
  </si>
  <si>
    <t>EC011153</t>
  </si>
  <si>
    <t>EC011351</t>
  </si>
  <si>
    <t>EC011550</t>
  </si>
  <si>
    <t>EC020155</t>
  </si>
  <si>
    <t>EC020156</t>
  </si>
  <si>
    <t>EC020157</t>
  </si>
  <si>
    <t>EC020160</t>
  </si>
  <si>
    <t>EC020250</t>
  </si>
  <si>
    <t>EC020251</t>
  </si>
  <si>
    <t>EC020353</t>
  </si>
  <si>
    <t>EC020355</t>
  </si>
  <si>
    <t>EC020450</t>
  </si>
  <si>
    <t>EC020551</t>
  </si>
  <si>
    <t>EC020552</t>
  </si>
  <si>
    <t>EC020553</t>
  </si>
  <si>
    <t>EC020554</t>
  </si>
  <si>
    <t>EC020555</t>
  </si>
  <si>
    <t>EC020556</t>
  </si>
  <si>
    <t>EC020650</t>
  </si>
  <si>
    <t>EC020750</t>
  </si>
  <si>
    <t>EC030156</t>
  </si>
  <si>
    <t>EC030157</t>
  </si>
  <si>
    <t>EC030160</t>
  </si>
  <si>
    <t>EC030254</t>
  </si>
  <si>
    <t>EC030353</t>
  </si>
  <si>
    <t>EC030356</t>
  </si>
  <si>
    <t>EC030357</t>
  </si>
  <si>
    <t>EC030358</t>
  </si>
  <si>
    <t>EC030361</t>
  </si>
  <si>
    <t>EC030363</t>
  </si>
  <si>
    <t>EC040154</t>
  </si>
  <si>
    <t>EC040155</t>
  </si>
  <si>
    <t>EC040156</t>
  </si>
  <si>
    <t>EC040157</t>
  </si>
  <si>
    <t>EC040159</t>
  </si>
  <si>
    <t>EC040161</t>
  </si>
  <si>
    <t>EC040251</t>
  </si>
  <si>
    <t>EC040253</t>
  </si>
  <si>
    <t>EC040255</t>
  </si>
  <si>
    <t>EC040351</t>
  </si>
  <si>
    <t>EC040352</t>
  </si>
  <si>
    <t>EC040452</t>
  </si>
  <si>
    <t>EC040551</t>
  </si>
  <si>
    <t>EC040553</t>
  </si>
  <si>
    <t>EC050251</t>
  </si>
  <si>
    <t>EC050252</t>
  </si>
  <si>
    <t>EC050350</t>
  </si>
  <si>
    <t>EC050351</t>
  </si>
  <si>
    <t>EC050352</t>
  </si>
  <si>
    <t>EC050451</t>
  </si>
  <si>
    <t>EC050456</t>
  </si>
  <si>
    <t>EC050457</t>
  </si>
  <si>
    <t>EC050753</t>
  </si>
  <si>
    <t>EC050754</t>
  </si>
  <si>
    <t>EC060157</t>
  </si>
  <si>
    <t>EC060254</t>
  </si>
  <si>
    <t>EC060255</t>
  </si>
  <si>
    <t>EC060256</t>
  </si>
  <si>
    <t>EC060351</t>
  </si>
  <si>
    <t>EC060353</t>
  </si>
  <si>
    <t>EC060553</t>
  </si>
  <si>
    <t>EC060651</t>
  </si>
  <si>
    <t>EC060751</t>
  </si>
  <si>
    <t>EC060752</t>
  </si>
  <si>
    <t>EC060759</t>
  </si>
  <si>
    <t>EC060950</t>
  </si>
  <si>
    <t>EC060951</t>
  </si>
  <si>
    <t>EC060953</t>
  </si>
  <si>
    <t>EC060954</t>
  </si>
  <si>
    <t>EC060956</t>
  </si>
  <si>
    <t>EC061050</t>
  </si>
  <si>
    <t>EC070251</t>
  </si>
  <si>
    <t>EC070255</t>
  </si>
  <si>
    <t>EC070355</t>
  </si>
  <si>
    <t>EC070451</t>
  </si>
  <si>
    <t>EC070550</t>
  </si>
  <si>
    <t>EC070651</t>
  </si>
  <si>
    <t>EC070652</t>
  </si>
  <si>
    <t>EC070653</t>
  </si>
  <si>
    <t>EC070654</t>
  </si>
  <si>
    <t>EC070951</t>
  </si>
  <si>
    <t>EC070952</t>
  </si>
  <si>
    <t>EC070953</t>
  </si>
  <si>
    <t>EC070955</t>
  </si>
  <si>
    <t>EC071053</t>
  </si>
  <si>
    <t>EC071056</t>
  </si>
  <si>
    <t>EC071151</t>
  </si>
  <si>
    <t>EC071153</t>
  </si>
  <si>
    <t>EC071252</t>
  </si>
  <si>
    <t>EC071257</t>
  </si>
  <si>
    <t>EC071354</t>
  </si>
  <si>
    <t>EC071359</t>
  </si>
  <si>
    <t>EC071451</t>
  </si>
  <si>
    <t>EC071452</t>
  </si>
  <si>
    <t>EC080152</t>
  </si>
  <si>
    <t>EC080154</t>
  </si>
  <si>
    <t>EC080159</t>
  </si>
  <si>
    <t>EC080163</t>
  </si>
  <si>
    <t>EC080165</t>
  </si>
  <si>
    <t>EC080252</t>
  </si>
  <si>
    <t>EC080254</t>
  </si>
  <si>
    <t>EC080257</t>
  </si>
  <si>
    <t>EC080259</t>
  </si>
  <si>
    <t>EC080261</t>
  </si>
  <si>
    <t>EC080263</t>
  </si>
  <si>
    <t>EC080265</t>
  </si>
  <si>
    <t>EC080351</t>
  </si>
  <si>
    <t>EC080352</t>
  </si>
  <si>
    <t>EC080353</t>
  </si>
  <si>
    <t>EC080354</t>
  </si>
  <si>
    <t>EC080355</t>
  </si>
  <si>
    <t>EC080357</t>
  </si>
  <si>
    <t>EC080358</t>
  </si>
  <si>
    <t>EC080451</t>
  </si>
  <si>
    <t>EC080454</t>
  </si>
  <si>
    <t>EC080455</t>
  </si>
  <si>
    <t>EC080552</t>
  </si>
  <si>
    <t>EC080557</t>
  </si>
  <si>
    <t>EC080561</t>
  </si>
  <si>
    <t>EC080651</t>
  </si>
  <si>
    <t>EC080652</t>
  </si>
  <si>
    <t>EC080653</t>
  </si>
  <si>
    <t>EC080654</t>
  </si>
  <si>
    <t>EC080750</t>
  </si>
  <si>
    <t>EC080751</t>
  </si>
  <si>
    <t>EC080753</t>
  </si>
  <si>
    <t>EC080754</t>
  </si>
  <si>
    <t>EC090152</t>
  </si>
  <si>
    <t>EC090153</t>
  </si>
  <si>
    <t>EC090158</t>
  </si>
  <si>
    <t>EC090250</t>
  </si>
  <si>
    <t>EC090652</t>
  </si>
  <si>
    <t>EC090654</t>
  </si>
  <si>
    <t>EC090851</t>
  </si>
  <si>
    <t>EC091053</t>
  </si>
  <si>
    <t>EC091054</t>
  </si>
  <si>
    <t>EC091151</t>
  </si>
  <si>
    <t>EC091952</t>
  </si>
  <si>
    <t>EC092053</t>
  </si>
  <si>
    <t>EC092250</t>
  </si>
  <si>
    <t>EC092251</t>
  </si>
  <si>
    <t>EC092350</t>
  </si>
  <si>
    <t>EC092750</t>
  </si>
  <si>
    <t>EC100152</t>
  </si>
  <si>
    <t>EC100153</t>
  </si>
  <si>
    <t>EC100155</t>
  </si>
  <si>
    <t>EC100351</t>
  </si>
  <si>
    <t>EC100354</t>
  </si>
  <si>
    <t>EC100355</t>
  </si>
  <si>
    <t>EC100357</t>
  </si>
  <si>
    <t>EC100453</t>
  </si>
  <si>
    <t>EC100456</t>
  </si>
  <si>
    <t>EC100457</t>
  </si>
  <si>
    <t>EC100458</t>
  </si>
  <si>
    <t>EC100459</t>
  </si>
  <si>
    <t>EC100552</t>
  </si>
  <si>
    <t>EC100553</t>
  </si>
  <si>
    <t>EC100651</t>
  </si>
  <si>
    <t>EC100652</t>
  </si>
  <si>
    <t>EC100653</t>
  </si>
  <si>
    <t>EC100654</t>
  </si>
  <si>
    <t>EC100655</t>
  </si>
  <si>
    <t>EC110151</t>
  </si>
  <si>
    <t>EC110152</t>
  </si>
  <si>
    <t>EC110158</t>
  </si>
  <si>
    <t>EC110159</t>
  </si>
  <si>
    <t>EC110160</t>
  </si>
  <si>
    <t>EC110162</t>
  </si>
  <si>
    <t>EC110163</t>
  </si>
  <si>
    <t>EC110251</t>
  </si>
  <si>
    <t>EC110252</t>
  </si>
  <si>
    <t>EC110254</t>
  </si>
  <si>
    <t>EC110351</t>
  </si>
  <si>
    <t>EC110353</t>
  </si>
  <si>
    <t>EC110354</t>
  </si>
  <si>
    <t>EC110451</t>
  </si>
  <si>
    <t>EC110455</t>
  </si>
  <si>
    <t>EC110456</t>
  </si>
  <si>
    <t>EC110457</t>
  </si>
  <si>
    <t>EC110550</t>
  </si>
  <si>
    <t>EC110650</t>
  </si>
  <si>
    <t>EC110651</t>
  </si>
  <si>
    <t>EC110652</t>
  </si>
  <si>
    <t>EC110653</t>
  </si>
  <si>
    <t>EC110654</t>
  </si>
  <si>
    <t>EC110655</t>
  </si>
  <si>
    <t>EC110751</t>
  </si>
  <si>
    <t>EC110754</t>
  </si>
  <si>
    <t>EC110756</t>
  </si>
  <si>
    <t>EC110851</t>
  </si>
  <si>
    <t>EC110852</t>
  </si>
  <si>
    <t>EC110853</t>
  </si>
  <si>
    <t>EC110950</t>
  </si>
  <si>
    <t>EC110952</t>
  </si>
  <si>
    <t>EC110954</t>
  </si>
  <si>
    <t>EC110957</t>
  </si>
  <si>
    <t>EC110958</t>
  </si>
  <si>
    <t>EC110959</t>
  </si>
  <si>
    <t>EC111051</t>
  </si>
  <si>
    <t>EC111052</t>
  </si>
  <si>
    <t>EC111053</t>
  </si>
  <si>
    <t>EC111054</t>
  </si>
  <si>
    <t>EC111055</t>
  </si>
  <si>
    <t>EC111158</t>
  </si>
  <si>
    <t>EC111159</t>
  </si>
  <si>
    <t>EC111250</t>
  </si>
  <si>
    <t>EC111351</t>
  </si>
  <si>
    <t>EC111352</t>
  </si>
  <si>
    <t>EC111353</t>
  </si>
  <si>
    <t>EC111354</t>
  </si>
  <si>
    <t>EC111452</t>
  </si>
  <si>
    <t>EC111453</t>
  </si>
  <si>
    <t>EC111550</t>
  </si>
  <si>
    <t>EC111552</t>
  </si>
  <si>
    <t>EC111650</t>
  </si>
  <si>
    <t>EC111651</t>
  </si>
  <si>
    <t>EC120152</t>
  </si>
  <si>
    <t>EC120153</t>
  </si>
  <si>
    <t>EC120155</t>
  </si>
  <si>
    <t>EC120251</t>
  </si>
  <si>
    <t>EC120252</t>
  </si>
  <si>
    <t>EC120350</t>
  </si>
  <si>
    <t>EC120650</t>
  </si>
  <si>
    <t>EC120651</t>
  </si>
  <si>
    <t>EC120750</t>
  </si>
  <si>
    <t>EC120752</t>
  </si>
  <si>
    <t>EC120753</t>
  </si>
  <si>
    <t>EC120950</t>
  </si>
  <si>
    <t>EC121350</t>
  </si>
  <si>
    <t>EC130152</t>
  </si>
  <si>
    <t>EC130154</t>
  </si>
  <si>
    <t>EC130155</t>
  </si>
  <si>
    <t>EC130157</t>
  </si>
  <si>
    <t>EC130251</t>
  </si>
  <si>
    <t>EC130351</t>
  </si>
  <si>
    <t>EC130353</t>
  </si>
  <si>
    <t>EC130354</t>
  </si>
  <si>
    <t>EC130356</t>
  </si>
  <si>
    <t>EC130357</t>
  </si>
  <si>
    <t>EC130451</t>
  </si>
  <si>
    <t>EC130452</t>
  </si>
  <si>
    <t>EC130453</t>
  </si>
  <si>
    <t>EC130551</t>
  </si>
  <si>
    <t>EC130552</t>
  </si>
  <si>
    <t>EC130651</t>
  </si>
  <si>
    <t>EC130652</t>
  </si>
  <si>
    <t>EC130653</t>
  </si>
  <si>
    <t>EC131151</t>
  </si>
  <si>
    <t>EC131152</t>
  </si>
  <si>
    <t>EC131351</t>
  </si>
  <si>
    <t>EC131353</t>
  </si>
  <si>
    <t>EC131355</t>
  </si>
  <si>
    <t>EC131551</t>
  </si>
  <si>
    <t>EC131552</t>
  </si>
  <si>
    <t>EC131651</t>
  </si>
  <si>
    <t>EC131751</t>
  </si>
  <si>
    <t>EC131753</t>
  </si>
  <si>
    <t>EC132251</t>
  </si>
  <si>
    <t>EC140151</t>
  </si>
  <si>
    <t>EC140153</t>
  </si>
  <si>
    <t>EC140156</t>
  </si>
  <si>
    <t>EC140157</t>
  </si>
  <si>
    <t>EC140158</t>
  </si>
  <si>
    <t>EC140160</t>
  </si>
  <si>
    <t>EC140162</t>
  </si>
  <si>
    <t>EC140164</t>
  </si>
  <si>
    <t>EC140251</t>
  </si>
  <si>
    <t>EC140253</t>
  </si>
  <si>
    <t>EC140255</t>
  </si>
  <si>
    <t>EC140256</t>
  </si>
  <si>
    <t>EC140257</t>
  </si>
  <si>
    <t>EC140351</t>
  </si>
  <si>
    <t>EC140357</t>
  </si>
  <si>
    <t>EC140358</t>
  </si>
  <si>
    <t>EC140455</t>
  </si>
  <si>
    <t>EC140551</t>
  </si>
  <si>
    <t>EC140553</t>
  </si>
  <si>
    <t>EC140554</t>
  </si>
  <si>
    <t>EC140556</t>
  </si>
  <si>
    <t>EC140557</t>
  </si>
  <si>
    <t>EC140651</t>
  </si>
  <si>
    <t>EC140652</t>
  </si>
  <si>
    <t>EC140655</t>
  </si>
  <si>
    <t>EC140751</t>
  </si>
  <si>
    <t>EC140951</t>
  </si>
  <si>
    <t>EC140952</t>
  </si>
  <si>
    <t>EC140953</t>
  </si>
  <si>
    <t>EC140954</t>
  </si>
  <si>
    <t>EC141050</t>
  </si>
  <si>
    <t>EC141052</t>
  </si>
  <si>
    <t>EC141250</t>
  </si>
  <si>
    <t>EC141251</t>
  </si>
  <si>
    <t>EC150151</t>
  </si>
  <si>
    <t>EC150153</t>
  </si>
  <si>
    <t>EC150154</t>
  </si>
  <si>
    <t>EC150157</t>
  </si>
  <si>
    <t>EC150158</t>
  </si>
  <si>
    <t>EC150352</t>
  </si>
  <si>
    <t>EC150356</t>
  </si>
  <si>
    <t>EC150453</t>
  </si>
  <si>
    <t>EC150455</t>
  </si>
  <si>
    <t>EC150751</t>
  </si>
  <si>
    <t>EC150753</t>
  </si>
  <si>
    <t>EC150756</t>
  </si>
  <si>
    <t>EC160152</t>
  </si>
  <si>
    <t>EC160154</t>
  </si>
  <si>
    <t>EC160155</t>
  </si>
  <si>
    <t>EC160157</t>
  </si>
  <si>
    <t>EC160158</t>
  </si>
  <si>
    <t>EC160161</t>
  </si>
  <si>
    <t>EC160162</t>
  </si>
  <si>
    <t>EC160164</t>
  </si>
  <si>
    <t>EC160165</t>
  </si>
  <si>
    <t>EC160166</t>
  </si>
  <si>
    <t>EC160251</t>
  </si>
  <si>
    <t>EC160451</t>
  </si>
  <si>
    <t>EC170153</t>
  </si>
  <si>
    <t>EC170161</t>
  </si>
  <si>
    <t>EC170166</t>
  </si>
  <si>
    <t>EC170168</t>
  </si>
  <si>
    <t>EC170169</t>
  </si>
  <si>
    <t>EC170172</t>
  </si>
  <si>
    <t>EC170174</t>
  </si>
  <si>
    <t>EC170181</t>
  </si>
  <si>
    <t>EC170251</t>
  </si>
  <si>
    <t>EC170253</t>
  </si>
  <si>
    <t>EC170354</t>
  </si>
  <si>
    <t>EC170355</t>
  </si>
  <si>
    <t>EC170454</t>
  </si>
  <si>
    <t>EC170552</t>
  </si>
  <si>
    <t>EC170750</t>
  </si>
  <si>
    <t>EC170751</t>
  </si>
  <si>
    <t>EC170850</t>
  </si>
  <si>
    <t>EC180164</t>
  </si>
  <si>
    <t>EC180251</t>
  </si>
  <si>
    <t>EC180252</t>
  </si>
  <si>
    <t>EC180253</t>
  </si>
  <si>
    <t>EC180254</t>
  </si>
  <si>
    <t>EC180552</t>
  </si>
  <si>
    <t>EC180553</t>
  </si>
  <si>
    <t>EC180651</t>
  </si>
  <si>
    <t>EC180752</t>
  </si>
  <si>
    <t>EC180753</t>
  </si>
  <si>
    <t>EC180757</t>
  </si>
  <si>
    <t>EC180851</t>
  </si>
  <si>
    <t>EC180852</t>
  </si>
  <si>
    <t>EC180856</t>
  </si>
  <si>
    <t>EC180857</t>
  </si>
  <si>
    <t>EC190151</t>
  </si>
  <si>
    <t>EC190152</t>
  </si>
  <si>
    <t>EC190155</t>
  </si>
  <si>
    <t>EC190156</t>
  </si>
  <si>
    <t>EC190158</t>
  </si>
  <si>
    <t>EC190251</t>
  </si>
  <si>
    <t>EC190252</t>
  </si>
  <si>
    <t>EC190254</t>
  </si>
  <si>
    <t>EC190256</t>
  </si>
  <si>
    <t>EC190259</t>
  </si>
  <si>
    <t>EC190451</t>
  </si>
  <si>
    <t>EC190452</t>
  </si>
  <si>
    <t>EC190651</t>
  </si>
  <si>
    <t>EC190653</t>
  </si>
  <si>
    <t>EC190750</t>
  </si>
  <si>
    <t>EC190850</t>
  </si>
  <si>
    <t>EC190851</t>
  </si>
  <si>
    <t>EC190852</t>
  </si>
  <si>
    <t>EC190853</t>
  </si>
  <si>
    <t>EC190950</t>
  </si>
  <si>
    <t>EC200150</t>
  </si>
  <si>
    <t>EC200151</t>
  </si>
  <si>
    <t>EC200152</t>
  </si>
  <si>
    <t>EC200250</t>
  </si>
  <si>
    <t>EC200251</t>
  </si>
  <si>
    <t>EC200350</t>
  </si>
  <si>
    <t>EC200351</t>
  </si>
  <si>
    <t>EC200352</t>
  </si>
  <si>
    <t>EC210152</t>
  </si>
  <si>
    <t>EC210155</t>
  </si>
  <si>
    <t>EC210156</t>
  </si>
  <si>
    <t>EC210157</t>
  </si>
  <si>
    <t>EC210254</t>
  </si>
  <si>
    <t>EC210351</t>
  </si>
  <si>
    <t>EC210352</t>
  </si>
  <si>
    <t>EC210354</t>
  </si>
  <si>
    <t>EC210451</t>
  </si>
  <si>
    <t>EC210452</t>
  </si>
  <si>
    <t>EC210453</t>
  </si>
  <si>
    <t>EC210650</t>
  </si>
  <si>
    <t>EC210652</t>
  </si>
  <si>
    <t>EC210653</t>
  </si>
  <si>
    <t>EC210751</t>
  </si>
  <si>
    <t>EC220151</t>
  </si>
  <si>
    <t>EC220152</t>
  </si>
  <si>
    <t>EC220153</t>
  </si>
  <si>
    <t>EC220154</t>
  </si>
  <si>
    <t>EC220155</t>
  </si>
  <si>
    <t>EC220156</t>
  </si>
  <si>
    <t>EC220157</t>
  </si>
  <si>
    <t>EC220159</t>
  </si>
  <si>
    <t>EC220160</t>
  </si>
  <si>
    <t>EC220161</t>
  </si>
  <si>
    <t>EC220251</t>
  </si>
  <si>
    <t>EC220252</t>
  </si>
  <si>
    <t>EC220253</t>
  </si>
  <si>
    <t>EC220352</t>
  </si>
  <si>
    <t>EC220353</t>
  </si>
  <si>
    <t>EC220354</t>
  </si>
  <si>
    <t>EC220357</t>
  </si>
  <si>
    <t>EC220452</t>
  </si>
  <si>
    <t>EC220453</t>
  </si>
  <si>
    <t>EC230151</t>
  </si>
  <si>
    <t>EC230153</t>
  </si>
  <si>
    <t>EC230154</t>
  </si>
  <si>
    <t>EC230155</t>
  </si>
  <si>
    <t>EC230156</t>
  </si>
  <si>
    <t>EC230157</t>
  </si>
  <si>
    <t>EC230251</t>
  </si>
  <si>
    <t>EC230252</t>
  </si>
  <si>
    <t>EC230253</t>
  </si>
  <si>
    <t>EC010153</t>
  </si>
  <si>
    <t>EC010352</t>
  </si>
  <si>
    <t>EC010354</t>
  </si>
  <si>
    <t>EC010561</t>
  </si>
  <si>
    <t>EC010852</t>
  </si>
  <si>
    <t>EC010953</t>
  </si>
  <si>
    <t>EC010954</t>
  </si>
  <si>
    <t>EC010956</t>
  </si>
  <si>
    <t>EC011151</t>
  </si>
  <si>
    <t>EC011154</t>
  </si>
  <si>
    <t>EC011250</t>
  </si>
  <si>
    <t>EC011253</t>
  </si>
  <si>
    <t>EC011350</t>
  </si>
  <si>
    <t>EC011352</t>
  </si>
  <si>
    <t>EC020151</t>
  </si>
  <si>
    <t>EC030351</t>
  </si>
  <si>
    <t>EC030362</t>
  </si>
  <si>
    <t>EC030452</t>
  </si>
  <si>
    <t>EC040552</t>
  </si>
  <si>
    <t>EC040554</t>
  </si>
  <si>
    <t>EC040555</t>
  </si>
  <si>
    <t>EC040651</t>
  </si>
  <si>
    <t>EC050353</t>
  </si>
  <si>
    <t>EC060257</t>
  </si>
  <si>
    <t>EC060258</t>
  </si>
  <si>
    <t>EC060259</t>
  </si>
  <si>
    <t>EC060551</t>
  </si>
  <si>
    <t>EC060552</t>
  </si>
  <si>
    <t>EC060554</t>
  </si>
  <si>
    <t>EC060753</t>
  </si>
  <si>
    <t>EC060757</t>
  </si>
  <si>
    <t>EC060758</t>
  </si>
  <si>
    <t>EC060952</t>
  </si>
  <si>
    <t>EC060955</t>
  </si>
  <si>
    <t>EC070256</t>
  </si>
  <si>
    <t>EC070350</t>
  </si>
  <si>
    <t>EC070351</t>
  </si>
  <si>
    <t>EC070352</t>
  </si>
  <si>
    <t>EC070353</t>
  </si>
  <si>
    <t>EC070354</t>
  </si>
  <si>
    <t>EC070851</t>
  </si>
  <si>
    <t>EC070954</t>
  </si>
  <si>
    <t>EC070956</t>
  </si>
  <si>
    <t>EC071051</t>
  </si>
  <si>
    <t>EC071052</t>
  </si>
  <si>
    <t>EC071054</t>
  </si>
  <si>
    <t>EC071055</t>
  </si>
  <si>
    <t>EC071152</t>
  </si>
  <si>
    <t>EC071253</t>
  </si>
  <si>
    <t>EC071254</t>
  </si>
  <si>
    <t>EC071255</t>
  </si>
  <si>
    <t>EC071256</t>
  </si>
  <si>
    <t>EC071351</t>
  </si>
  <si>
    <t>EC071353</t>
  </si>
  <si>
    <t>EC071358</t>
  </si>
  <si>
    <t>EC071453</t>
  </si>
  <si>
    <t>EC080153</t>
  </si>
  <si>
    <t>EC080250</t>
  </si>
  <si>
    <t>EC080251</t>
  </si>
  <si>
    <t>EC080255</t>
  </si>
  <si>
    <t>EC080258</t>
  </si>
  <si>
    <t>EC080260</t>
  </si>
  <si>
    <t>EC080262</t>
  </si>
  <si>
    <t>EC080264</t>
  </si>
  <si>
    <t>EC080452</t>
  </si>
  <si>
    <t>EC080453</t>
  </si>
  <si>
    <t>EC080551</t>
  </si>
  <si>
    <t>EC080553</t>
  </si>
  <si>
    <t>EC080554</t>
  </si>
  <si>
    <t>EC080555</t>
  </si>
  <si>
    <t>EC080558</t>
  </si>
  <si>
    <t>EC080559</t>
  </si>
  <si>
    <t>EC080560</t>
  </si>
  <si>
    <t>EC080562</t>
  </si>
  <si>
    <t>EC080752</t>
  </si>
  <si>
    <t>EC090551</t>
  </si>
  <si>
    <t>EC091153</t>
  </si>
  <si>
    <t>EC091451</t>
  </si>
  <si>
    <t>EC092055</t>
  </si>
  <si>
    <t>EC100358</t>
  </si>
  <si>
    <t>EC100454</t>
  </si>
  <si>
    <t>EC100551</t>
  </si>
  <si>
    <t>EC110154</t>
  </si>
  <si>
    <t>EC110155</t>
  </si>
  <si>
    <t>EC110253</t>
  </si>
  <si>
    <t>EC110352</t>
  </si>
  <si>
    <t>EC110551</t>
  </si>
  <si>
    <t>EC110552</t>
  </si>
  <si>
    <t>EC110553</t>
  </si>
  <si>
    <t>EC110554</t>
  </si>
  <si>
    <t>EC110656</t>
  </si>
  <si>
    <t>EC110753</t>
  </si>
  <si>
    <t>EC110951</t>
  </si>
  <si>
    <t>EC110956</t>
  </si>
  <si>
    <t>EC111156</t>
  </si>
  <si>
    <t>EC111251</t>
  </si>
  <si>
    <t>EC111252</t>
  </si>
  <si>
    <t>EC111355</t>
  </si>
  <si>
    <t>EC111356</t>
  </si>
  <si>
    <t>EC111451</t>
  </si>
  <si>
    <t>EC111551</t>
  </si>
  <si>
    <t>EC120351</t>
  </si>
  <si>
    <t>EC120451</t>
  </si>
  <si>
    <t>EC120754</t>
  </si>
  <si>
    <t>EC130654</t>
  </si>
  <si>
    <t>EC131051</t>
  </si>
  <si>
    <t>EC131052</t>
  </si>
  <si>
    <t>EC131653</t>
  </si>
  <si>
    <t>EC140252</t>
  </si>
  <si>
    <t>EC140254</t>
  </si>
  <si>
    <t>EC140258</t>
  </si>
  <si>
    <t>EC140353</t>
  </si>
  <si>
    <t>EC140356</t>
  </si>
  <si>
    <t>EC140851</t>
  </si>
  <si>
    <t>EC140852</t>
  </si>
  <si>
    <t>EC140853</t>
  </si>
  <si>
    <t>EC140854</t>
  </si>
  <si>
    <t>EC141051</t>
  </si>
  <si>
    <t>EC150354</t>
  </si>
  <si>
    <t>EC150752</t>
  </si>
  <si>
    <t>EC160159</t>
  </si>
  <si>
    <t>EC160351</t>
  </si>
  <si>
    <t>EC170158</t>
  </si>
  <si>
    <t>EC180551</t>
  </si>
  <si>
    <t>EC190153</t>
  </si>
  <si>
    <t>EC190350</t>
  </si>
  <si>
    <t>EC190351</t>
  </si>
  <si>
    <t>EC190352</t>
  </si>
  <si>
    <t>EC190353</t>
  </si>
  <si>
    <t>EC190752</t>
  </si>
  <si>
    <t>EC190753</t>
  </si>
  <si>
    <t>EC190854</t>
  </si>
  <si>
    <t>EC190951</t>
  </si>
  <si>
    <t>EC190952</t>
  </si>
  <si>
    <t>EC210160</t>
  </si>
  <si>
    <t>EC210353</t>
  </si>
  <si>
    <t>EC210455</t>
  </si>
  <si>
    <t>EC210552</t>
  </si>
  <si>
    <t>EC210553</t>
  </si>
  <si>
    <t>EC210651</t>
  </si>
  <si>
    <t>EC220158</t>
  </si>
  <si>
    <t>EC220351</t>
  </si>
  <si>
    <t>EC220355</t>
  </si>
  <si>
    <t>EC220356</t>
  </si>
  <si>
    <t>EC220358</t>
  </si>
  <si>
    <t>EC220455</t>
  </si>
  <si>
    <t>EC010951</t>
  </si>
  <si>
    <t>A</t>
  </si>
  <si>
    <t>u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</si>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</sst>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2"/>
  <sheetViews>
    <sheetView tabSelected="1" workbookViewId="0"/>
  </sheetViews>
  <sheetFormatPr baseColWidth="10" defaultColWidth="8.88671875" defaultRowHeight="14.4" x14ac:dyDescent="0.3"/>
  <cols>
    <col min="20" max="20" width="37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1016</v>
      </c>
      <c r="B2">
        <v>2022</v>
      </c>
      <c r="C2">
        <v>2.0487371575013049</v>
      </c>
      <c r="D2">
        <v>6006</v>
      </c>
      <c r="E2">
        <v>1068971.65379902</v>
      </c>
      <c r="F2">
        <v>0</v>
      </c>
      <c r="G2">
        <v>209</v>
      </c>
      <c r="H2">
        <v>5.2921488513529998E-4</v>
      </c>
      <c r="I2">
        <v>11</v>
      </c>
      <c r="J2">
        <v>0.13186813186813179</v>
      </c>
      <c r="K2">
        <v>2</v>
      </c>
      <c r="L2">
        <v>0</v>
      </c>
      <c r="M2">
        <v>3</v>
      </c>
      <c r="N2">
        <v>0.48308519677226092</v>
      </c>
      <c r="O2">
        <v>-0.39239242636155941</v>
      </c>
      <c r="P2">
        <v>93456152.008499518</v>
      </c>
      <c r="Q2" t="s">
        <v>29</v>
      </c>
      <c r="R2" t="s">
        <v>23</v>
      </c>
      <c r="S2" t="s">
        <v>24</v>
      </c>
      <c r="T2" t="s">
        <v>30</v>
      </c>
      <c r="U2">
        <v>5738</v>
      </c>
      <c r="V2">
        <v>3910</v>
      </c>
      <c r="W2">
        <v>1828</v>
      </c>
    </row>
    <row r="3" spans="1:23" x14ac:dyDescent="0.3">
      <c r="A3" t="s">
        <v>1017</v>
      </c>
      <c r="B3">
        <v>2022</v>
      </c>
      <c r="C3">
        <v>2.7717019602038788</v>
      </c>
      <c r="D3">
        <v>765</v>
      </c>
      <c r="E3">
        <v>340400.48651960777</v>
      </c>
      <c r="F3">
        <v>0</v>
      </c>
      <c r="G3">
        <v>35</v>
      </c>
      <c r="H3">
        <v>1.9646139485672998E-3</v>
      </c>
      <c r="I3">
        <v>1</v>
      </c>
      <c r="J3">
        <v>0</v>
      </c>
      <c r="K3">
        <v>0</v>
      </c>
      <c r="L3">
        <v>0</v>
      </c>
      <c r="M3">
        <v>0</v>
      </c>
      <c r="N3">
        <v>0.45733747131216451</v>
      </c>
      <c r="O3">
        <v>-0.35175914432368088</v>
      </c>
      <c r="P3">
        <v>11936682.84136726</v>
      </c>
      <c r="Q3" t="s">
        <v>29</v>
      </c>
      <c r="R3" t="s">
        <v>23</v>
      </c>
      <c r="S3" t="s">
        <v>50</v>
      </c>
      <c r="T3" t="s">
        <v>58</v>
      </c>
      <c r="U3">
        <v>732</v>
      </c>
      <c r="V3">
        <v>349</v>
      </c>
      <c r="W3">
        <v>383</v>
      </c>
    </row>
    <row r="4" spans="1:23" x14ac:dyDescent="0.3">
      <c r="A4" t="s">
        <v>1018</v>
      </c>
      <c r="B4">
        <v>2022</v>
      </c>
      <c r="C4">
        <v>0.99927569030108443</v>
      </c>
      <c r="D4">
        <v>3118</v>
      </c>
      <c r="E4">
        <v>2974884.109375</v>
      </c>
      <c r="F4">
        <v>0</v>
      </c>
      <c r="G4">
        <v>154</v>
      </c>
      <c r="H4">
        <v>3.4346092209830003E-4</v>
      </c>
      <c r="I4">
        <v>4</v>
      </c>
      <c r="J4">
        <v>0</v>
      </c>
      <c r="K4">
        <v>0</v>
      </c>
      <c r="L4">
        <v>0</v>
      </c>
      <c r="M4">
        <v>0</v>
      </c>
      <c r="N4">
        <v>0.43228437280102749</v>
      </c>
      <c r="O4">
        <v>-0.36605141040780947</v>
      </c>
      <c r="P4">
        <v>110450574.8851817</v>
      </c>
      <c r="Q4" t="s">
        <v>29</v>
      </c>
      <c r="R4" t="s">
        <v>23</v>
      </c>
      <c r="S4" t="s">
        <v>59</v>
      </c>
      <c r="T4" t="s">
        <v>60</v>
      </c>
      <c r="U4">
        <v>2981</v>
      </c>
      <c r="V4">
        <v>820</v>
      </c>
      <c r="W4">
        <v>2161</v>
      </c>
    </row>
    <row r="5" spans="1:23" x14ac:dyDescent="0.3">
      <c r="A5" t="s">
        <v>1019</v>
      </c>
      <c r="B5">
        <v>2022</v>
      </c>
      <c r="C5">
        <v>1.47631856185423</v>
      </c>
      <c r="D5">
        <v>734</v>
      </c>
      <c r="E5">
        <v>248062.21875</v>
      </c>
      <c r="F5">
        <v>0</v>
      </c>
      <c r="G5">
        <v>67</v>
      </c>
      <c r="H5">
        <v>8.8723227563290003E-4</v>
      </c>
      <c r="I5">
        <v>2</v>
      </c>
      <c r="J5">
        <v>0</v>
      </c>
      <c r="K5">
        <v>0</v>
      </c>
      <c r="L5">
        <v>0</v>
      </c>
      <c r="M5">
        <v>2</v>
      </c>
      <c r="N5">
        <v>0.52594133828121625</v>
      </c>
      <c r="O5">
        <v>-0.29290037116622158</v>
      </c>
      <c r="P5">
        <v>36106582.500434749</v>
      </c>
      <c r="Q5" t="s">
        <v>29</v>
      </c>
      <c r="R5" t="s">
        <v>23</v>
      </c>
      <c r="S5" t="s">
        <v>63</v>
      </c>
      <c r="T5" t="s">
        <v>67</v>
      </c>
      <c r="U5">
        <v>701</v>
      </c>
      <c r="V5">
        <v>389</v>
      </c>
      <c r="W5">
        <v>312</v>
      </c>
    </row>
    <row r="6" spans="1:23" x14ac:dyDescent="0.3">
      <c r="A6" t="s">
        <v>1020</v>
      </c>
      <c r="B6">
        <v>2022</v>
      </c>
      <c r="C6">
        <v>2.9995815559962939</v>
      </c>
      <c r="D6">
        <v>1960</v>
      </c>
      <c r="E6">
        <v>441559.67769607838</v>
      </c>
      <c r="F6">
        <v>0</v>
      </c>
      <c r="G6">
        <v>41</v>
      </c>
      <c r="H6">
        <v>1.5407814214383E-3</v>
      </c>
      <c r="I6">
        <v>2</v>
      </c>
      <c r="J6">
        <v>0</v>
      </c>
      <c r="K6">
        <v>0</v>
      </c>
      <c r="L6">
        <v>0</v>
      </c>
      <c r="M6">
        <v>0</v>
      </c>
      <c r="N6">
        <v>0.50976929678902072</v>
      </c>
      <c r="O6">
        <v>-0.30309819400580768</v>
      </c>
      <c r="P6">
        <v>13675593.638266331</v>
      </c>
      <c r="Q6" t="s">
        <v>29</v>
      </c>
      <c r="R6" t="s">
        <v>23</v>
      </c>
      <c r="S6" t="s">
        <v>89</v>
      </c>
      <c r="T6" t="s">
        <v>91</v>
      </c>
      <c r="U6">
        <v>1875</v>
      </c>
      <c r="V6">
        <v>928</v>
      </c>
      <c r="W6">
        <v>947</v>
      </c>
    </row>
    <row r="7" spans="1:23" x14ac:dyDescent="0.3">
      <c r="A7" t="s">
        <v>1021</v>
      </c>
      <c r="B7">
        <v>2022</v>
      </c>
      <c r="C7">
        <v>2.0981595687049621</v>
      </c>
      <c r="D7">
        <v>2851</v>
      </c>
      <c r="E7">
        <v>170253.07138480389</v>
      </c>
      <c r="F7">
        <v>0</v>
      </c>
      <c r="G7">
        <v>151</v>
      </c>
      <c r="H7">
        <v>5.7108472713640005E-4</v>
      </c>
      <c r="I7">
        <v>12</v>
      </c>
      <c r="J7">
        <v>0</v>
      </c>
      <c r="K7">
        <v>0</v>
      </c>
      <c r="L7">
        <v>0</v>
      </c>
      <c r="M7">
        <v>0</v>
      </c>
      <c r="N7">
        <v>0.54158967051684748</v>
      </c>
      <c r="O7">
        <v>-0.43244160554530409</v>
      </c>
      <c r="P7">
        <v>34332959.712454639</v>
      </c>
      <c r="Q7" t="s">
        <v>29</v>
      </c>
      <c r="R7" t="s">
        <v>128</v>
      </c>
      <c r="S7" t="s">
        <v>128</v>
      </c>
      <c r="T7" t="s">
        <v>143</v>
      </c>
      <c r="U7">
        <v>2726</v>
      </c>
      <c r="V7">
        <v>1620</v>
      </c>
      <c r="W7">
        <v>1106</v>
      </c>
    </row>
    <row r="8" spans="1:23" x14ac:dyDescent="0.3">
      <c r="A8" t="s">
        <v>1022</v>
      </c>
      <c r="B8">
        <v>2022</v>
      </c>
      <c r="C8">
        <v>3.7825555895213938</v>
      </c>
      <c r="D8">
        <v>6173</v>
      </c>
      <c r="E8">
        <v>761773.25508578424</v>
      </c>
      <c r="F8">
        <v>0</v>
      </c>
      <c r="G8">
        <v>404</v>
      </c>
      <c r="H8">
        <v>2.4636244077400001E-4</v>
      </c>
      <c r="I8">
        <v>17</v>
      </c>
      <c r="J8">
        <v>5.4054054054054002E-2</v>
      </c>
      <c r="K8">
        <v>1</v>
      </c>
      <c r="L8">
        <v>0</v>
      </c>
      <c r="M8">
        <v>0</v>
      </c>
      <c r="N8">
        <v>0.57938720967223034</v>
      </c>
      <c r="O8">
        <v>-0.4059570607343706</v>
      </c>
      <c r="P8">
        <v>77040096.41074051</v>
      </c>
      <c r="Q8" t="s">
        <v>29</v>
      </c>
      <c r="R8" t="s">
        <v>128</v>
      </c>
      <c r="S8" t="s">
        <v>128</v>
      </c>
      <c r="T8" t="s">
        <v>146</v>
      </c>
      <c r="U8">
        <v>5906</v>
      </c>
      <c r="V8">
        <v>3566</v>
      </c>
      <c r="W8">
        <v>2340</v>
      </c>
    </row>
    <row r="9" spans="1:23" x14ac:dyDescent="0.3">
      <c r="A9" t="s">
        <v>1023</v>
      </c>
      <c r="B9">
        <v>2022</v>
      </c>
      <c r="C9">
        <v>3.0952295780760859</v>
      </c>
      <c r="D9">
        <v>4837</v>
      </c>
      <c r="E9">
        <v>744321.21875</v>
      </c>
      <c r="F9">
        <v>0</v>
      </c>
      <c r="G9">
        <v>115</v>
      </c>
      <c r="H9">
        <v>6.4651340048730004E-4</v>
      </c>
      <c r="I9">
        <v>4</v>
      </c>
      <c r="J9">
        <v>4.8780487804878002E-2</v>
      </c>
      <c r="K9">
        <v>1</v>
      </c>
      <c r="L9">
        <v>0</v>
      </c>
      <c r="M9">
        <v>2</v>
      </c>
      <c r="N9">
        <v>0.50558813843281647</v>
      </c>
      <c r="O9">
        <v>-0.33792500534550118</v>
      </c>
      <c r="P9">
        <v>53309444.550349377</v>
      </c>
      <c r="Q9" t="s">
        <v>29</v>
      </c>
      <c r="R9" t="s">
        <v>128</v>
      </c>
      <c r="S9" t="s">
        <v>159</v>
      </c>
      <c r="T9" t="s">
        <v>159</v>
      </c>
      <c r="U9">
        <v>4622</v>
      </c>
      <c r="V9">
        <v>1780</v>
      </c>
      <c r="W9">
        <v>2842</v>
      </c>
    </row>
    <row r="10" spans="1:23" x14ac:dyDescent="0.3">
      <c r="A10" t="s">
        <v>1024</v>
      </c>
      <c r="B10">
        <v>2022</v>
      </c>
      <c r="C10">
        <v>6.4827788243447033</v>
      </c>
      <c r="D10">
        <v>3593</v>
      </c>
      <c r="E10">
        <v>124628.5568627451</v>
      </c>
      <c r="F10">
        <v>0</v>
      </c>
      <c r="G10">
        <v>72</v>
      </c>
      <c r="H10">
        <v>3.5530990919857E-3</v>
      </c>
      <c r="I10">
        <v>6</v>
      </c>
      <c r="J10">
        <v>0</v>
      </c>
      <c r="K10">
        <v>0</v>
      </c>
      <c r="L10">
        <v>0</v>
      </c>
      <c r="M10">
        <v>1</v>
      </c>
      <c r="N10">
        <v>0.38756496645947408</v>
      </c>
      <c r="O10">
        <v>-0.32411431769856142</v>
      </c>
      <c r="P10">
        <v>7213677.0436995039</v>
      </c>
      <c r="Q10" t="s">
        <v>29</v>
      </c>
      <c r="R10" t="s">
        <v>195</v>
      </c>
      <c r="S10" t="s">
        <v>222</v>
      </c>
      <c r="T10" t="s">
        <v>223</v>
      </c>
      <c r="U10">
        <v>3431</v>
      </c>
      <c r="V10">
        <v>2371</v>
      </c>
      <c r="W10">
        <v>1060</v>
      </c>
    </row>
    <row r="11" spans="1:23" x14ac:dyDescent="0.3">
      <c r="A11" t="s">
        <v>1025</v>
      </c>
      <c r="B11">
        <v>2022</v>
      </c>
      <c r="C11">
        <v>1.2765889519495659</v>
      </c>
      <c r="D11">
        <v>2165</v>
      </c>
      <c r="E11">
        <v>611504.37757352937</v>
      </c>
      <c r="F11">
        <v>0</v>
      </c>
      <c r="G11">
        <v>104</v>
      </c>
      <c r="H11">
        <v>4.8472329106479998E-4</v>
      </c>
      <c r="I11">
        <v>5</v>
      </c>
      <c r="J11">
        <v>0</v>
      </c>
      <c r="K11">
        <v>0</v>
      </c>
      <c r="L11">
        <v>0</v>
      </c>
      <c r="M11">
        <v>12</v>
      </c>
      <c r="P11">
        <v>62035572.676110998</v>
      </c>
      <c r="Q11" t="s">
        <v>29</v>
      </c>
      <c r="R11" t="s">
        <v>195</v>
      </c>
      <c r="S11" t="s">
        <v>228</v>
      </c>
      <c r="T11" t="s">
        <v>230</v>
      </c>
      <c r="U11">
        <v>2554</v>
      </c>
      <c r="V11">
        <v>53</v>
      </c>
      <c r="W11">
        <v>2501</v>
      </c>
    </row>
    <row r="12" spans="1:23" x14ac:dyDescent="0.3">
      <c r="A12" t="s">
        <v>1026</v>
      </c>
      <c r="B12">
        <v>2022</v>
      </c>
      <c r="C12">
        <v>2.170196989163879</v>
      </c>
      <c r="D12">
        <v>1018</v>
      </c>
      <c r="E12">
        <v>399453.06011029409</v>
      </c>
      <c r="F12">
        <v>0</v>
      </c>
      <c r="G12">
        <v>44</v>
      </c>
      <c r="H12">
        <v>3.3952865433867999E-3</v>
      </c>
      <c r="I12">
        <v>11</v>
      </c>
      <c r="J12">
        <v>0</v>
      </c>
      <c r="K12">
        <v>0</v>
      </c>
      <c r="L12">
        <v>0</v>
      </c>
      <c r="M12">
        <v>0</v>
      </c>
      <c r="N12">
        <v>0.56307554334602516</v>
      </c>
      <c r="O12">
        <v>-0.304426849272668</v>
      </c>
      <c r="P12">
        <v>14315432.111426011</v>
      </c>
      <c r="Q12" t="s">
        <v>29</v>
      </c>
      <c r="R12" t="s">
        <v>291</v>
      </c>
      <c r="S12" t="s">
        <v>340</v>
      </c>
      <c r="T12" t="s">
        <v>342</v>
      </c>
      <c r="U12">
        <v>970</v>
      </c>
      <c r="V12">
        <v>639</v>
      </c>
      <c r="W12">
        <v>331</v>
      </c>
    </row>
    <row r="13" spans="1:23" x14ac:dyDescent="0.3">
      <c r="A13" t="s">
        <v>1027</v>
      </c>
      <c r="B13">
        <v>2022</v>
      </c>
      <c r="C13">
        <v>3.6028565613883421</v>
      </c>
      <c r="D13">
        <v>858</v>
      </c>
      <c r="E13">
        <v>732824.97616421571</v>
      </c>
      <c r="F13">
        <v>0</v>
      </c>
      <c r="G13">
        <v>45</v>
      </c>
      <c r="H13">
        <v>2.1951052920408001E-3</v>
      </c>
      <c r="I13">
        <v>3</v>
      </c>
      <c r="J13">
        <v>0</v>
      </c>
      <c r="K13">
        <v>0</v>
      </c>
      <c r="L13">
        <v>0</v>
      </c>
      <c r="M13">
        <v>0</v>
      </c>
      <c r="N13">
        <v>0.5449711749705175</v>
      </c>
      <c r="O13">
        <v>-0.3438066571301559</v>
      </c>
      <c r="P13">
        <v>7390906.0837158328</v>
      </c>
      <c r="Q13" t="s">
        <v>29</v>
      </c>
      <c r="R13" t="s">
        <v>291</v>
      </c>
      <c r="S13" t="s">
        <v>340</v>
      </c>
      <c r="T13" t="s">
        <v>347</v>
      </c>
      <c r="U13">
        <v>817</v>
      </c>
      <c r="V13">
        <v>573</v>
      </c>
      <c r="W13">
        <v>244</v>
      </c>
    </row>
    <row r="14" spans="1:23" x14ac:dyDescent="0.3">
      <c r="A14" t="s">
        <v>1028</v>
      </c>
      <c r="B14">
        <v>2022</v>
      </c>
      <c r="C14">
        <v>0.9409002812307804</v>
      </c>
      <c r="D14">
        <v>2198</v>
      </c>
      <c r="E14">
        <v>1717543.2869485291</v>
      </c>
      <c r="F14">
        <v>0</v>
      </c>
      <c r="G14">
        <v>46</v>
      </c>
      <c r="H14">
        <v>4.6678855601973001E-3</v>
      </c>
      <c r="I14">
        <v>4</v>
      </c>
      <c r="J14">
        <v>0</v>
      </c>
      <c r="K14">
        <v>0</v>
      </c>
      <c r="L14">
        <v>0</v>
      </c>
      <c r="M14">
        <v>1</v>
      </c>
      <c r="N14">
        <v>0.46864730714468389</v>
      </c>
      <c r="O14">
        <v>-0.20728494699003469</v>
      </c>
      <c r="P14">
        <v>58211038.117318243</v>
      </c>
      <c r="Q14" t="s">
        <v>29</v>
      </c>
      <c r="R14" t="s">
        <v>352</v>
      </c>
      <c r="S14" t="s">
        <v>361</v>
      </c>
      <c r="T14" t="s">
        <v>164</v>
      </c>
      <c r="U14">
        <v>2097</v>
      </c>
      <c r="V14">
        <v>177</v>
      </c>
      <c r="W14">
        <v>1920</v>
      </c>
    </row>
    <row r="15" spans="1:23" x14ac:dyDescent="0.3">
      <c r="A15" t="s">
        <v>1029</v>
      </c>
      <c r="B15">
        <v>2022</v>
      </c>
      <c r="C15">
        <v>3.370400715384319</v>
      </c>
      <c r="D15">
        <v>11065</v>
      </c>
      <c r="E15">
        <v>1388995.8060661759</v>
      </c>
      <c r="F15">
        <v>0</v>
      </c>
      <c r="G15">
        <v>131</v>
      </c>
      <c r="H15">
        <v>9.2788167291450003E-4</v>
      </c>
      <c r="I15">
        <v>12</v>
      </c>
      <c r="J15">
        <v>0</v>
      </c>
      <c r="K15">
        <v>0</v>
      </c>
      <c r="L15">
        <v>0</v>
      </c>
      <c r="M15">
        <v>0</v>
      </c>
      <c r="N15">
        <v>0.23433670795804279</v>
      </c>
      <c r="O15">
        <v>-0.15568575267295209</v>
      </c>
      <c r="P15">
        <v>37233690.252249159</v>
      </c>
      <c r="Q15" t="s">
        <v>29</v>
      </c>
      <c r="R15" t="s">
        <v>410</v>
      </c>
      <c r="S15" t="s">
        <v>377</v>
      </c>
      <c r="T15" t="s">
        <v>423</v>
      </c>
      <c r="U15">
        <v>10540</v>
      </c>
      <c r="V15">
        <v>1856</v>
      </c>
      <c r="W15">
        <v>8684</v>
      </c>
    </row>
    <row r="16" spans="1:23" x14ac:dyDescent="0.3">
      <c r="A16" t="s">
        <v>1030</v>
      </c>
      <c r="B16">
        <v>2022</v>
      </c>
      <c r="C16">
        <v>1.226451912198667</v>
      </c>
      <c r="D16">
        <v>8412</v>
      </c>
      <c r="E16">
        <v>1264369.1922794119</v>
      </c>
      <c r="F16">
        <v>0</v>
      </c>
      <c r="G16">
        <v>200</v>
      </c>
      <c r="H16">
        <v>5.3081169674259999E-4</v>
      </c>
      <c r="I16">
        <v>8</v>
      </c>
      <c r="J16">
        <v>0</v>
      </c>
      <c r="K16">
        <v>0</v>
      </c>
      <c r="L16">
        <v>0</v>
      </c>
      <c r="M16">
        <v>1</v>
      </c>
      <c r="N16">
        <v>0.29938549685611199</v>
      </c>
      <c r="O16">
        <v>-0.26964916816533852</v>
      </c>
      <c r="P16">
        <v>320380202.24626201</v>
      </c>
      <c r="Q16" t="s">
        <v>29</v>
      </c>
      <c r="R16" t="s">
        <v>410</v>
      </c>
      <c r="S16" t="s">
        <v>440</v>
      </c>
      <c r="T16" t="s">
        <v>442</v>
      </c>
      <c r="U16">
        <v>8012</v>
      </c>
      <c r="V16">
        <v>1460</v>
      </c>
      <c r="W16">
        <v>6552</v>
      </c>
    </row>
    <row r="17" spans="1:23" x14ac:dyDescent="0.3">
      <c r="A17" t="s">
        <v>1031</v>
      </c>
      <c r="B17">
        <v>2022</v>
      </c>
      <c r="C17">
        <v>2.0674200095377291</v>
      </c>
      <c r="D17">
        <v>13298</v>
      </c>
      <c r="E17">
        <v>100256.8814338235</v>
      </c>
      <c r="F17">
        <v>0</v>
      </c>
      <c r="G17">
        <v>205</v>
      </c>
      <c r="H17">
        <v>7.4051011271529998E-4</v>
      </c>
      <c r="I17">
        <v>11</v>
      </c>
      <c r="J17">
        <v>0</v>
      </c>
      <c r="K17">
        <v>0</v>
      </c>
      <c r="L17">
        <v>0</v>
      </c>
      <c r="M17">
        <v>2</v>
      </c>
      <c r="N17">
        <v>0.25630708753398829</v>
      </c>
      <c r="O17">
        <v>-0.19717419516672549</v>
      </c>
      <c r="P17">
        <v>94404874.497788161</v>
      </c>
      <c r="Q17" t="s">
        <v>29</v>
      </c>
      <c r="R17" t="s">
        <v>410</v>
      </c>
      <c r="S17" t="s">
        <v>446</v>
      </c>
      <c r="T17" t="s">
        <v>449</v>
      </c>
      <c r="U17">
        <v>12678</v>
      </c>
      <c r="V17">
        <v>366</v>
      </c>
      <c r="W17">
        <v>12312</v>
      </c>
    </row>
    <row r="18" spans="1:23" x14ac:dyDescent="0.3">
      <c r="A18" t="s">
        <v>1032</v>
      </c>
      <c r="B18">
        <v>2022</v>
      </c>
      <c r="C18">
        <v>6.3882285545357904</v>
      </c>
      <c r="D18">
        <v>4044</v>
      </c>
      <c r="E18">
        <v>2484191.3613357842</v>
      </c>
      <c r="F18">
        <v>0</v>
      </c>
      <c r="G18">
        <v>80</v>
      </c>
      <c r="H18">
        <v>3.5018760050026E-3</v>
      </c>
      <c r="I18">
        <v>10</v>
      </c>
      <c r="J18">
        <v>0</v>
      </c>
      <c r="K18">
        <v>0</v>
      </c>
      <c r="L18">
        <v>0</v>
      </c>
      <c r="M18">
        <v>0</v>
      </c>
      <c r="N18">
        <v>0.41646581913067909</v>
      </c>
      <c r="O18">
        <v>-0.3268782222411083</v>
      </c>
      <c r="P18">
        <v>17026385.911856789</v>
      </c>
      <c r="Q18" t="s">
        <v>29</v>
      </c>
      <c r="R18" t="s">
        <v>464</v>
      </c>
      <c r="S18" t="s">
        <v>472</v>
      </c>
      <c r="T18" t="s">
        <v>476</v>
      </c>
      <c r="U18">
        <v>3836</v>
      </c>
      <c r="V18">
        <v>2599</v>
      </c>
      <c r="W18">
        <v>1237</v>
      </c>
    </row>
    <row r="19" spans="1:23" x14ac:dyDescent="0.3">
      <c r="A19" t="s">
        <v>1033</v>
      </c>
      <c r="B19">
        <v>2022</v>
      </c>
      <c r="C19">
        <v>0.70410655677484657</v>
      </c>
      <c r="D19">
        <v>1632</v>
      </c>
      <c r="E19">
        <v>1471732.523590686</v>
      </c>
      <c r="F19">
        <v>0</v>
      </c>
      <c r="G19">
        <v>60</v>
      </c>
      <c r="H19">
        <v>5.0491209503149997E-4</v>
      </c>
      <c r="I19">
        <v>1</v>
      </c>
      <c r="J19">
        <v>0</v>
      </c>
      <c r="K19">
        <v>0</v>
      </c>
      <c r="L19">
        <v>0</v>
      </c>
      <c r="M19">
        <v>0</v>
      </c>
      <c r="N19">
        <v>0.46850337932889941</v>
      </c>
      <c r="O19">
        <v>-0.3874459557568431</v>
      </c>
      <c r="P19">
        <v>73293120.613171548</v>
      </c>
      <c r="Q19" t="s">
        <v>29</v>
      </c>
      <c r="R19" t="s">
        <v>503</v>
      </c>
      <c r="S19" t="s">
        <v>561</v>
      </c>
      <c r="T19" t="s">
        <v>564</v>
      </c>
      <c r="U19">
        <v>1558</v>
      </c>
      <c r="V19">
        <v>356</v>
      </c>
      <c r="W19">
        <v>1202</v>
      </c>
    </row>
    <row r="20" spans="1:23" x14ac:dyDescent="0.3">
      <c r="A20" t="s">
        <v>1034</v>
      </c>
      <c r="B20">
        <v>2022</v>
      </c>
      <c r="C20">
        <v>0.84035236093386645</v>
      </c>
      <c r="D20">
        <v>1003</v>
      </c>
      <c r="E20">
        <v>6525409.3768382352</v>
      </c>
      <c r="F20">
        <v>0</v>
      </c>
      <c r="G20">
        <v>68</v>
      </c>
      <c r="H20">
        <v>5.145253038349E-4</v>
      </c>
      <c r="I20">
        <v>2</v>
      </c>
      <c r="J20">
        <v>0</v>
      </c>
      <c r="K20">
        <v>0</v>
      </c>
      <c r="L20">
        <v>0</v>
      </c>
      <c r="M20">
        <v>0</v>
      </c>
      <c r="N20">
        <v>0.34806785635729298</v>
      </c>
      <c r="O20">
        <v>-0.40810466731320932</v>
      </c>
      <c r="P20">
        <v>114758132.8678834</v>
      </c>
      <c r="Q20" t="s">
        <v>29</v>
      </c>
      <c r="R20" t="s">
        <v>503</v>
      </c>
      <c r="S20" t="s">
        <v>561</v>
      </c>
      <c r="T20" t="s">
        <v>568</v>
      </c>
      <c r="U20">
        <v>958</v>
      </c>
      <c r="V20">
        <v>356</v>
      </c>
      <c r="W20">
        <v>602</v>
      </c>
    </row>
    <row r="21" spans="1:23" x14ac:dyDescent="0.3">
      <c r="A21" t="s">
        <v>1035</v>
      </c>
      <c r="B21">
        <v>2022</v>
      </c>
      <c r="C21">
        <v>1.234523718028552</v>
      </c>
      <c r="D21">
        <v>1585</v>
      </c>
      <c r="E21">
        <v>12188510.809987741</v>
      </c>
      <c r="F21">
        <v>0</v>
      </c>
      <c r="G21">
        <v>100</v>
      </c>
      <c r="H21">
        <v>4.8327533190129998E-4</v>
      </c>
      <c r="I21">
        <v>4</v>
      </c>
      <c r="J21">
        <v>0</v>
      </c>
      <c r="K21">
        <v>0</v>
      </c>
      <c r="L21">
        <v>0</v>
      </c>
      <c r="M21">
        <v>0</v>
      </c>
      <c r="N21">
        <v>0.3057205051080602</v>
      </c>
      <c r="O21">
        <v>-0.392759556227395</v>
      </c>
      <c r="P21">
        <v>91485168.869280741</v>
      </c>
      <c r="Q21" t="s">
        <v>29</v>
      </c>
      <c r="R21" t="s">
        <v>503</v>
      </c>
      <c r="S21" t="s">
        <v>561</v>
      </c>
      <c r="T21" t="s">
        <v>570</v>
      </c>
      <c r="U21">
        <v>1513</v>
      </c>
      <c r="V21">
        <v>820</v>
      </c>
      <c r="W21">
        <v>693</v>
      </c>
    </row>
    <row r="22" spans="1:23" x14ac:dyDescent="0.3">
      <c r="A22" t="s">
        <v>1036</v>
      </c>
      <c r="B22">
        <v>2022</v>
      </c>
      <c r="C22">
        <v>2.4498462035251301</v>
      </c>
      <c r="D22">
        <v>15003</v>
      </c>
      <c r="E22">
        <v>2482378.140625</v>
      </c>
      <c r="F22">
        <v>0</v>
      </c>
      <c r="G22">
        <v>241</v>
      </c>
      <c r="H22">
        <v>3.9812187444979998E-4</v>
      </c>
      <c r="I22">
        <v>4</v>
      </c>
      <c r="J22">
        <v>0</v>
      </c>
      <c r="K22">
        <v>0</v>
      </c>
      <c r="L22">
        <v>0</v>
      </c>
      <c r="M22">
        <v>1</v>
      </c>
      <c r="N22">
        <v>0.43583428935823221</v>
      </c>
      <c r="O22">
        <v>-0.28186867963345069</v>
      </c>
      <c r="P22">
        <v>142232999.5396027</v>
      </c>
      <c r="Q22" t="s">
        <v>29</v>
      </c>
      <c r="R22" t="s">
        <v>616</v>
      </c>
      <c r="S22" t="s">
        <v>651</v>
      </c>
      <c r="T22" t="s">
        <v>651</v>
      </c>
      <c r="U22">
        <v>14312</v>
      </c>
      <c r="V22">
        <v>3802</v>
      </c>
      <c r="W22">
        <v>10510</v>
      </c>
    </row>
    <row r="23" spans="1:23" x14ac:dyDescent="0.3">
      <c r="A23" t="s">
        <v>1037</v>
      </c>
      <c r="B23">
        <v>2022</v>
      </c>
      <c r="C23">
        <v>0.97389984580619204</v>
      </c>
      <c r="D23">
        <v>4961</v>
      </c>
      <c r="E23">
        <v>1241143.578125</v>
      </c>
      <c r="F23">
        <v>0</v>
      </c>
      <c r="G23">
        <v>78</v>
      </c>
      <c r="H23">
        <v>1.1552724005554E-3</v>
      </c>
      <c r="I23">
        <v>8</v>
      </c>
      <c r="J23">
        <v>0</v>
      </c>
      <c r="K23">
        <v>0</v>
      </c>
      <c r="L23">
        <v>0</v>
      </c>
      <c r="M23">
        <v>0</v>
      </c>
      <c r="N23">
        <v>0.34441475588413711</v>
      </c>
      <c r="O23">
        <v>-0.3147391932686201</v>
      </c>
      <c r="P23">
        <v>112546897.3695026</v>
      </c>
      <c r="Q23" t="s">
        <v>29</v>
      </c>
      <c r="R23" t="s">
        <v>616</v>
      </c>
      <c r="S23" t="s">
        <v>651</v>
      </c>
      <c r="T23" t="s">
        <v>654</v>
      </c>
      <c r="U23">
        <v>4726</v>
      </c>
      <c r="V23">
        <v>97</v>
      </c>
      <c r="W23">
        <v>4629</v>
      </c>
    </row>
    <row r="24" spans="1:23" x14ac:dyDescent="0.3">
      <c r="A24" t="s">
        <v>1038</v>
      </c>
      <c r="B24">
        <v>2022</v>
      </c>
      <c r="C24">
        <v>0.82842052134253541</v>
      </c>
      <c r="D24">
        <v>5603</v>
      </c>
      <c r="E24">
        <v>992960.21875</v>
      </c>
      <c r="F24">
        <v>0</v>
      </c>
      <c r="G24">
        <v>94</v>
      </c>
      <c r="H24">
        <v>5.1227674924809996E-4</v>
      </c>
      <c r="I24">
        <v>8</v>
      </c>
      <c r="J24">
        <v>0</v>
      </c>
      <c r="K24">
        <v>0</v>
      </c>
      <c r="L24">
        <v>0</v>
      </c>
      <c r="M24">
        <v>0</v>
      </c>
      <c r="N24">
        <v>0.36903180740871711</v>
      </c>
      <c r="O24">
        <v>-0.26851376674790489</v>
      </c>
      <c r="P24">
        <v>140789644.98093131</v>
      </c>
      <c r="Q24" t="s">
        <v>29</v>
      </c>
      <c r="R24" t="s">
        <v>616</v>
      </c>
      <c r="S24" t="s">
        <v>651</v>
      </c>
      <c r="T24" t="s">
        <v>655</v>
      </c>
      <c r="U24">
        <v>5340</v>
      </c>
      <c r="V24">
        <v>42</v>
      </c>
      <c r="W24">
        <v>5298</v>
      </c>
    </row>
    <row r="25" spans="1:23" x14ac:dyDescent="0.3">
      <c r="A25" t="s">
        <v>1039</v>
      </c>
      <c r="B25">
        <v>2022</v>
      </c>
      <c r="C25">
        <v>1.056307662987616</v>
      </c>
      <c r="D25">
        <v>7412</v>
      </c>
      <c r="E25">
        <v>496505.90625</v>
      </c>
      <c r="F25">
        <v>0</v>
      </c>
      <c r="G25">
        <v>104</v>
      </c>
      <c r="H25">
        <v>4.0749610960669999E-4</v>
      </c>
      <c r="I25">
        <v>15</v>
      </c>
      <c r="J25">
        <v>0</v>
      </c>
      <c r="K25">
        <v>0</v>
      </c>
      <c r="L25">
        <v>0</v>
      </c>
      <c r="M25">
        <v>0</v>
      </c>
      <c r="N25">
        <v>0.46483949963072141</v>
      </c>
      <c r="O25">
        <v>-0.27393123764612048</v>
      </c>
      <c r="P25">
        <v>151003620.22184321</v>
      </c>
      <c r="Q25" t="s">
        <v>29</v>
      </c>
      <c r="R25" t="s">
        <v>616</v>
      </c>
      <c r="S25" t="s">
        <v>666</v>
      </c>
      <c r="T25" t="s">
        <v>667</v>
      </c>
      <c r="U25">
        <v>7063</v>
      </c>
      <c r="V25">
        <v>84</v>
      </c>
      <c r="W25">
        <v>6979</v>
      </c>
    </row>
    <row r="26" spans="1:23" x14ac:dyDescent="0.3">
      <c r="A26" t="s">
        <v>1040</v>
      </c>
      <c r="B26">
        <v>2022</v>
      </c>
      <c r="C26">
        <v>1.0188206451359729</v>
      </c>
      <c r="D26">
        <v>4896</v>
      </c>
      <c r="E26">
        <v>744006.484375</v>
      </c>
      <c r="F26">
        <v>0</v>
      </c>
      <c r="G26">
        <v>229</v>
      </c>
      <c r="H26">
        <v>4.6667608523179999E-4</v>
      </c>
      <c r="I26">
        <v>8</v>
      </c>
      <c r="J26">
        <v>0</v>
      </c>
      <c r="K26">
        <v>0</v>
      </c>
      <c r="L26">
        <v>0</v>
      </c>
      <c r="M26">
        <v>1</v>
      </c>
      <c r="N26">
        <v>0.52119809301496312</v>
      </c>
      <c r="O26">
        <v>-0.21134131634518749</v>
      </c>
      <c r="P26">
        <v>287172158.87378228</v>
      </c>
      <c r="Q26" t="s">
        <v>29</v>
      </c>
      <c r="R26" t="s">
        <v>678</v>
      </c>
      <c r="S26" t="s">
        <v>696</v>
      </c>
      <c r="T26" t="s">
        <v>697</v>
      </c>
      <c r="U26">
        <v>4675</v>
      </c>
      <c r="V26">
        <v>2884</v>
      </c>
      <c r="W26">
        <v>1791</v>
      </c>
    </row>
    <row r="27" spans="1:23" x14ac:dyDescent="0.3">
      <c r="A27" t="s">
        <v>1041</v>
      </c>
      <c r="B27">
        <v>2022</v>
      </c>
      <c r="C27">
        <v>0.70980124399615518</v>
      </c>
      <c r="D27">
        <v>980</v>
      </c>
      <c r="E27">
        <v>993272.5625</v>
      </c>
      <c r="F27">
        <v>0</v>
      </c>
      <c r="G27">
        <v>33</v>
      </c>
      <c r="H27">
        <v>1.4725666869156999E-3</v>
      </c>
      <c r="I27">
        <v>2</v>
      </c>
      <c r="J27">
        <v>0</v>
      </c>
      <c r="K27">
        <v>0</v>
      </c>
      <c r="L27">
        <v>0</v>
      </c>
      <c r="M27">
        <v>0</v>
      </c>
      <c r="N27">
        <v>0.53830404272903032</v>
      </c>
      <c r="O27">
        <v>-0.2280537986583486</v>
      </c>
      <c r="P27">
        <v>129102586.5748345</v>
      </c>
      <c r="Q27" t="s">
        <v>29</v>
      </c>
      <c r="R27" t="s">
        <v>926</v>
      </c>
      <c r="S27" t="s">
        <v>926</v>
      </c>
      <c r="T27" t="s">
        <v>951</v>
      </c>
      <c r="U27">
        <v>935</v>
      </c>
      <c r="V27">
        <v>610</v>
      </c>
      <c r="W27">
        <v>325</v>
      </c>
    </row>
    <row r="28" spans="1:23" x14ac:dyDescent="0.3">
      <c r="A28" t="s">
        <v>1042</v>
      </c>
      <c r="B28">
        <v>2022</v>
      </c>
      <c r="C28">
        <v>0.67605744876715823</v>
      </c>
      <c r="D28">
        <v>1308</v>
      </c>
      <c r="E28">
        <v>626134.67984068627</v>
      </c>
      <c r="F28">
        <v>0</v>
      </c>
      <c r="G28">
        <v>20</v>
      </c>
      <c r="H28">
        <v>2.2802405450182001E-3</v>
      </c>
      <c r="I28">
        <v>1</v>
      </c>
      <c r="J28">
        <v>0</v>
      </c>
      <c r="K28">
        <v>0</v>
      </c>
      <c r="L28">
        <v>0</v>
      </c>
      <c r="M28">
        <v>0</v>
      </c>
      <c r="N28">
        <v>0.42229550144297823</v>
      </c>
      <c r="O28">
        <v>-0.18349103511725889</v>
      </c>
      <c r="P28">
        <v>294132840.59988868</v>
      </c>
      <c r="Q28" t="s">
        <v>29</v>
      </c>
      <c r="R28" t="s">
        <v>926</v>
      </c>
      <c r="S28" t="s">
        <v>926</v>
      </c>
      <c r="T28" t="s">
        <v>952</v>
      </c>
      <c r="U28">
        <v>1248</v>
      </c>
      <c r="V28">
        <v>559</v>
      </c>
      <c r="W28">
        <v>689</v>
      </c>
    </row>
    <row r="29" spans="1:23" x14ac:dyDescent="0.3">
      <c r="A29" t="s">
        <v>1043</v>
      </c>
      <c r="B29">
        <v>2022</v>
      </c>
      <c r="C29">
        <v>0.9014788679777368</v>
      </c>
      <c r="D29">
        <v>4599</v>
      </c>
      <c r="E29">
        <v>992580.78125</v>
      </c>
      <c r="F29">
        <v>0</v>
      </c>
      <c r="G29">
        <v>208</v>
      </c>
      <c r="H29">
        <v>3.9895669847209999E-4</v>
      </c>
      <c r="I29">
        <v>7</v>
      </c>
      <c r="J29">
        <v>0</v>
      </c>
      <c r="K29">
        <v>0</v>
      </c>
      <c r="L29">
        <v>0</v>
      </c>
      <c r="M29">
        <v>3</v>
      </c>
      <c r="N29">
        <v>0.34817743412365038</v>
      </c>
      <c r="O29">
        <v>-0.25662533693745782</v>
      </c>
      <c r="P29">
        <v>572331288.15028799</v>
      </c>
      <c r="Q29" t="s">
        <v>29</v>
      </c>
      <c r="R29" t="s">
        <v>944</v>
      </c>
      <c r="S29" t="s">
        <v>944</v>
      </c>
      <c r="T29" t="s">
        <v>58</v>
      </c>
      <c r="U29">
        <v>4381</v>
      </c>
      <c r="V29">
        <v>589</v>
      </c>
      <c r="W29">
        <v>3792</v>
      </c>
    </row>
    <row r="30" spans="1:23" x14ac:dyDescent="0.3">
      <c r="A30" t="s">
        <v>1044</v>
      </c>
      <c r="B30">
        <v>2022</v>
      </c>
      <c r="C30">
        <v>9.7311643320479568</v>
      </c>
      <c r="D30">
        <v>15703</v>
      </c>
      <c r="E30">
        <v>1441084.2609681371</v>
      </c>
      <c r="F30">
        <v>0</v>
      </c>
      <c r="G30">
        <v>259</v>
      </c>
      <c r="H30">
        <v>1.3853664480849E-3</v>
      </c>
      <c r="I30">
        <v>5</v>
      </c>
      <c r="J30">
        <v>6.4516129032257993E-2</v>
      </c>
      <c r="K30">
        <v>1</v>
      </c>
      <c r="L30">
        <v>0</v>
      </c>
      <c r="M30">
        <v>6</v>
      </c>
      <c r="N30">
        <v>7.7735810117920995E-2</v>
      </c>
      <c r="O30">
        <v>-0.26836924188508249</v>
      </c>
      <c r="P30">
        <v>14981806.011439459</v>
      </c>
      <c r="Q30" t="s">
        <v>29</v>
      </c>
      <c r="R30" t="s">
        <v>944</v>
      </c>
      <c r="S30" t="s">
        <v>105</v>
      </c>
      <c r="T30" t="s">
        <v>1012</v>
      </c>
      <c r="U30">
        <v>15047</v>
      </c>
      <c r="V30">
        <v>7184</v>
      </c>
      <c r="W30">
        <v>7863</v>
      </c>
    </row>
    <row r="31" spans="1:23" x14ac:dyDescent="0.3">
      <c r="A31" t="s">
        <v>1045</v>
      </c>
      <c r="B31">
        <v>2022</v>
      </c>
      <c r="C31">
        <v>13.08257400657374</v>
      </c>
      <c r="D31">
        <v>6609</v>
      </c>
      <c r="E31">
        <v>37809881.190747537</v>
      </c>
      <c r="F31">
        <v>3</v>
      </c>
      <c r="G31">
        <v>455</v>
      </c>
      <c r="H31">
        <v>5.5147856460989995E-4</v>
      </c>
      <c r="I31">
        <v>2</v>
      </c>
      <c r="J31">
        <v>0</v>
      </c>
      <c r="K31">
        <v>0</v>
      </c>
      <c r="L31">
        <v>0</v>
      </c>
      <c r="M31">
        <v>1</v>
      </c>
      <c r="N31">
        <v>0.2947927295416376</v>
      </c>
      <c r="O31">
        <v>-0.17878129289294711</v>
      </c>
      <c r="P31">
        <v>86050043.461623311</v>
      </c>
      <c r="Q31">
        <v>249483315.1045115</v>
      </c>
      <c r="R31" t="s">
        <v>656</v>
      </c>
      <c r="S31" t="s">
        <v>821</v>
      </c>
      <c r="T31" t="s">
        <v>823</v>
      </c>
      <c r="U31">
        <v>6307</v>
      </c>
      <c r="V31">
        <v>4638</v>
      </c>
      <c r="W31">
        <v>1669</v>
      </c>
    </row>
    <row r="32" spans="1:23" x14ac:dyDescent="0.3">
      <c r="A32" t="s">
        <v>1046</v>
      </c>
      <c r="B32">
        <v>2022</v>
      </c>
      <c r="C32">
        <v>3.1989826263017238</v>
      </c>
      <c r="D32">
        <v>2126</v>
      </c>
      <c r="E32">
        <v>37555714.187867656</v>
      </c>
      <c r="F32">
        <v>12</v>
      </c>
      <c r="G32">
        <v>219</v>
      </c>
      <c r="H32">
        <v>5.5941037814140001E-4</v>
      </c>
      <c r="I32">
        <v>3</v>
      </c>
      <c r="J32">
        <v>0</v>
      </c>
      <c r="K32">
        <v>0</v>
      </c>
      <c r="L32">
        <v>0</v>
      </c>
      <c r="M32">
        <v>1</v>
      </c>
      <c r="N32">
        <v>0.2835769029357556</v>
      </c>
      <c r="O32">
        <v>-0.2459449681326964</v>
      </c>
      <c r="P32">
        <v>96351063.186507463</v>
      </c>
      <c r="Q32">
        <v>47091595.016204849</v>
      </c>
      <c r="R32" t="s">
        <v>656</v>
      </c>
      <c r="S32" t="s">
        <v>821</v>
      </c>
      <c r="T32" t="s">
        <v>824</v>
      </c>
      <c r="U32">
        <v>2028</v>
      </c>
      <c r="V32">
        <v>1106</v>
      </c>
      <c r="W32">
        <v>922</v>
      </c>
    </row>
    <row r="33" spans="1:23" x14ac:dyDescent="0.3">
      <c r="A33" t="s">
        <v>1047</v>
      </c>
      <c r="B33">
        <v>2022</v>
      </c>
      <c r="C33">
        <v>5.9583803612946094</v>
      </c>
      <c r="D33">
        <v>3433</v>
      </c>
      <c r="E33">
        <v>5131009.8275122549</v>
      </c>
      <c r="F33">
        <v>2</v>
      </c>
      <c r="G33">
        <v>106</v>
      </c>
      <c r="H33">
        <v>2.1750362694065999E-3</v>
      </c>
      <c r="I33">
        <v>10</v>
      </c>
      <c r="J33">
        <v>0</v>
      </c>
      <c r="K33">
        <v>0</v>
      </c>
      <c r="L33">
        <v>0</v>
      </c>
      <c r="M33">
        <v>2</v>
      </c>
      <c r="N33">
        <v>0.37129652413267311</v>
      </c>
      <c r="O33">
        <v>-0.29004983125696132</v>
      </c>
      <c r="P33">
        <v>7121429.9986603223</v>
      </c>
      <c r="Q33">
        <v>44527393.227291971</v>
      </c>
      <c r="R33" t="s">
        <v>236</v>
      </c>
      <c r="S33" t="s">
        <v>273</v>
      </c>
      <c r="T33" t="s">
        <v>49</v>
      </c>
      <c r="U33">
        <v>3281</v>
      </c>
      <c r="V33">
        <v>1310</v>
      </c>
      <c r="W33">
        <v>1971</v>
      </c>
    </row>
    <row r="34" spans="1:23" x14ac:dyDescent="0.3">
      <c r="A34" t="s">
        <v>1048</v>
      </c>
      <c r="B34">
        <v>2022</v>
      </c>
      <c r="C34">
        <v>7.8299373980205296</v>
      </c>
      <c r="D34">
        <v>1687</v>
      </c>
      <c r="E34">
        <v>766388.08167892147</v>
      </c>
      <c r="F34">
        <v>1</v>
      </c>
      <c r="G34">
        <v>70</v>
      </c>
      <c r="H34">
        <v>3.2288416778091002E-3</v>
      </c>
      <c r="I34">
        <v>1</v>
      </c>
      <c r="J34">
        <v>0</v>
      </c>
      <c r="K34">
        <v>0</v>
      </c>
      <c r="L34">
        <v>0</v>
      </c>
      <c r="M34">
        <v>1</v>
      </c>
      <c r="N34">
        <v>0.33071863315510958</v>
      </c>
      <c r="O34">
        <v>-0.27129112997976629</v>
      </c>
      <c r="P34">
        <v>11556744.26737513</v>
      </c>
      <c r="Q34">
        <v>35570662.134765863</v>
      </c>
      <c r="R34" t="s">
        <v>464</v>
      </c>
      <c r="S34" t="s">
        <v>472</v>
      </c>
      <c r="T34" t="s">
        <v>474</v>
      </c>
      <c r="U34">
        <v>1610</v>
      </c>
      <c r="V34">
        <v>1161</v>
      </c>
      <c r="W34">
        <v>449</v>
      </c>
    </row>
    <row r="35" spans="1:23" x14ac:dyDescent="0.3">
      <c r="A35" t="s">
        <v>1049</v>
      </c>
      <c r="B35">
        <v>2022</v>
      </c>
      <c r="C35">
        <v>9.5349156714215919</v>
      </c>
      <c r="D35">
        <v>1537</v>
      </c>
      <c r="E35">
        <v>1662452.0013480389</v>
      </c>
      <c r="F35">
        <v>3</v>
      </c>
      <c r="G35">
        <v>38</v>
      </c>
      <c r="H35">
        <v>4.6281908990011E-3</v>
      </c>
      <c r="I35">
        <v>11</v>
      </c>
      <c r="J35">
        <v>0</v>
      </c>
      <c r="K35">
        <v>0</v>
      </c>
      <c r="L35">
        <v>0</v>
      </c>
      <c r="M35">
        <v>0</v>
      </c>
      <c r="N35">
        <v>0.56996785437525577</v>
      </c>
      <c r="O35">
        <v>-0.37143751638834072</v>
      </c>
      <c r="P35">
        <v>3753863.736851105</v>
      </c>
      <c r="Q35">
        <v>34377227.587594032</v>
      </c>
      <c r="R35" t="s">
        <v>128</v>
      </c>
      <c r="S35" t="s">
        <v>137</v>
      </c>
      <c r="T35" t="s">
        <v>139</v>
      </c>
      <c r="U35">
        <v>1471</v>
      </c>
      <c r="V35">
        <v>821</v>
      </c>
      <c r="W35">
        <v>650</v>
      </c>
    </row>
    <row r="36" spans="1:23" x14ac:dyDescent="0.3">
      <c r="A36" t="s">
        <v>1050</v>
      </c>
      <c r="B36">
        <v>2022</v>
      </c>
      <c r="C36">
        <v>12.701983655635059</v>
      </c>
      <c r="D36">
        <v>3823</v>
      </c>
      <c r="E36">
        <v>744975.734375</v>
      </c>
      <c r="F36">
        <v>1</v>
      </c>
      <c r="G36">
        <v>99</v>
      </c>
      <c r="H36">
        <v>2.5343250257347E-3</v>
      </c>
      <c r="I36">
        <v>2</v>
      </c>
      <c r="J36">
        <v>8.3003952569169898E-2</v>
      </c>
      <c r="K36">
        <v>2</v>
      </c>
      <c r="L36">
        <v>0</v>
      </c>
      <c r="M36">
        <v>1</v>
      </c>
      <c r="N36">
        <v>0.55722878848400326</v>
      </c>
      <c r="O36">
        <v>-0.2846393720955156</v>
      </c>
      <c r="P36">
        <v>74835040.547736287</v>
      </c>
      <c r="Q36">
        <v>24751947.689971171</v>
      </c>
      <c r="R36" t="s">
        <v>926</v>
      </c>
      <c r="S36" t="s">
        <v>946</v>
      </c>
      <c r="T36" t="s">
        <v>949</v>
      </c>
      <c r="U36">
        <v>3636</v>
      </c>
      <c r="V36">
        <v>1852</v>
      </c>
      <c r="W36">
        <v>1784</v>
      </c>
    </row>
    <row r="37" spans="1:23" x14ac:dyDescent="0.3">
      <c r="A37" t="s">
        <v>1051</v>
      </c>
      <c r="B37">
        <v>2022</v>
      </c>
      <c r="C37">
        <v>1.8721292289324061</v>
      </c>
      <c r="D37">
        <v>4198</v>
      </c>
      <c r="E37">
        <v>5458871.03125</v>
      </c>
      <c r="F37">
        <v>1</v>
      </c>
      <c r="G37">
        <v>136</v>
      </c>
      <c r="H37">
        <v>8.2791058188529999E-4</v>
      </c>
      <c r="I37">
        <v>3</v>
      </c>
      <c r="J37">
        <v>0</v>
      </c>
      <c r="K37">
        <v>0</v>
      </c>
      <c r="L37">
        <v>0</v>
      </c>
      <c r="M37">
        <v>3</v>
      </c>
      <c r="N37">
        <v>0.2161443210931269</v>
      </c>
      <c r="O37">
        <v>-0.35057257734257208</v>
      </c>
      <c r="P37">
        <v>77443920.288919136</v>
      </c>
      <c r="Q37">
        <v>24344240.149060301</v>
      </c>
      <c r="R37" t="s">
        <v>944</v>
      </c>
      <c r="S37" t="s">
        <v>944</v>
      </c>
      <c r="T37" t="s">
        <v>299</v>
      </c>
      <c r="U37">
        <v>4004</v>
      </c>
      <c r="V37">
        <v>1962</v>
      </c>
      <c r="W37">
        <v>2042</v>
      </c>
    </row>
    <row r="38" spans="1:23" x14ac:dyDescent="0.3">
      <c r="A38" t="s">
        <v>1052</v>
      </c>
      <c r="B38">
        <v>2022</v>
      </c>
      <c r="C38">
        <v>0.57658563841726085</v>
      </c>
      <c r="D38">
        <v>331</v>
      </c>
      <c r="E38">
        <v>1123442.8039828429</v>
      </c>
      <c r="F38">
        <v>1</v>
      </c>
      <c r="G38">
        <v>27</v>
      </c>
      <c r="H38">
        <v>1.4025204203443999E-3</v>
      </c>
      <c r="I38">
        <v>1</v>
      </c>
      <c r="J38">
        <v>0</v>
      </c>
      <c r="K38">
        <v>0</v>
      </c>
      <c r="L38">
        <v>0</v>
      </c>
      <c r="M38">
        <v>5</v>
      </c>
      <c r="N38">
        <v>0.52729402930832481</v>
      </c>
      <c r="O38">
        <v>-0.19614924005021461</v>
      </c>
      <c r="P38">
        <v>822209105.50553429</v>
      </c>
      <c r="Q38">
        <v>19569818.319024932</v>
      </c>
      <c r="R38" t="s">
        <v>678</v>
      </c>
      <c r="S38" t="s">
        <v>702</v>
      </c>
      <c r="T38" t="s">
        <v>290</v>
      </c>
      <c r="U38">
        <v>315</v>
      </c>
      <c r="V38">
        <v>58</v>
      </c>
      <c r="W38">
        <v>257</v>
      </c>
    </row>
    <row r="39" spans="1:23" x14ac:dyDescent="0.3">
      <c r="A39" t="s">
        <v>1053</v>
      </c>
      <c r="B39">
        <v>2022</v>
      </c>
      <c r="C39">
        <v>5.3556455664325444</v>
      </c>
      <c r="D39">
        <v>3415</v>
      </c>
      <c r="E39">
        <v>7832231.9839460785</v>
      </c>
      <c r="F39">
        <v>7</v>
      </c>
      <c r="G39">
        <v>146</v>
      </c>
      <c r="H39">
        <v>1.2776156507532E-3</v>
      </c>
      <c r="I39">
        <v>9</v>
      </c>
      <c r="J39">
        <v>0</v>
      </c>
      <c r="K39">
        <v>0</v>
      </c>
      <c r="L39">
        <v>0</v>
      </c>
      <c r="M39">
        <v>0</v>
      </c>
      <c r="N39">
        <v>0.37547389219790889</v>
      </c>
      <c r="O39">
        <v>-0.28146302625426489</v>
      </c>
      <c r="P39">
        <v>12930048.328284521</v>
      </c>
      <c r="Q39">
        <v>17547232.169040781</v>
      </c>
      <c r="R39" t="s">
        <v>236</v>
      </c>
      <c r="S39" t="s">
        <v>237</v>
      </c>
      <c r="T39" t="s">
        <v>240</v>
      </c>
      <c r="U39">
        <v>3264</v>
      </c>
      <c r="V39">
        <v>1782</v>
      </c>
      <c r="W39">
        <v>1482</v>
      </c>
    </row>
    <row r="40" spans="1:23" x14ac:dyDescent="0.3">
      <c r="A40" t="s">
        <v>1054</v>
      </c>
      <c r="B40">
        <v>2022</v>
      </c>
      <c r="C40">
        <v>4.0625581236297128</v>
      </c>
      <c r="D40">
        <v>3520</v>
      </c>
      <c r="E40">
        <v>4615263.770710784</v>
      </c>
      <c r="F40">
        <v>4</v>
      </c>
      <c r="G40">
        <v>197</v>
      </c>
      <c r="H40">
        <v>3.3100199969279999E-4</v>
      </c>
      <c r="I40">
        <v>5</v>
      </c>
      <c r="J40">
        <v>0</v>
      </c>
      <c r="K40">
        <v>0</v>
      </c>
      <c r="L40">
        <v>0</v>
      </c>
      <c r="M40">
        <v>0</v>
      </c>
      <c r="N40">
        <v>0.48755833520229369</v>
      </c>
      <c r="O40">
        <v>-0.34881194259618298</v>
      </c>
      <c r="P40">
        <v>22751995.234142579</v>
      </c>
      <c r="Q40">
        <v>13316603.21334872</v>
      </c>
      <c r="R40" t="s">
        <v>23</v>
      </c>
      <c r="S40" t="s">
        <v>63</v>
      </c>
      <c r="T40" t="s">
        <v>66</v>
      </c>
      <c r="U40">
        <v>3361</v>
      </c>
      <c r="V40">
        <v>2359</v>
      </c>
      <c r="W40">
        <v>1002</v>
      </c>
    </row>
    <row r="41" spans="1:23" x14ac:dyDescent="0.3">
      <c r="A41" t="s">
        <v>1055</v>
      </c>
      <c r="B41">
        <v>2022</v>
      </c>
      <c r="C41">
        <v>20.572087143930201</v>
      </c>
      <c r="D41">
        <v>3318</v>
      </c>
      <c r="E41">
        <v>11740482.456188731</v>
      </c>
      <c r="F41">
        <v>55</v>
      </c>
      <c r="G41">
        <v>139</v>
      </c>
      <c r="H41">
        <v>6.8419536409160004E-4</v>
      </c>
      <c r="I41">
        <v>6</v>
      </c>
      <c r="J41">
        <v>0</v>
      </c>
      <c r="K41">
        <v>0</v>
      </c>
      <c r="L41">
        <v>0</v>
      </c>
      <c r="M41">
        <v>0</v>
      </c>
      <c r="N41">
        <v>0.31945001208312918</v>
      </c>
      <c r="O41">
        <v>-0.32460403687463291</v>
      </c>
      <c r="P41">
        <v>24382182.091236729</v>
      </c>
      <c r="Q41">
        <v>13235039.08162082</v>
      </c>
      <c r="R41" t="s">
        <v>656</v>
      </c>
      <c r="S41" t="s">
        <v>807</v>
      </c>
      <c r="T41" t="s">
        <v>810</v>
      </c>
      <c r="U41">
        <v>3166</v>
      </c>
      <c r="V41">
        <v>1660</v>
      </c>
      <c r="W41">
        <v>1506</v>
      </c>
    </row>
    <row r="42" spans="1:23" x14ac:dyDescent="0.3">
      <c r="A42" t="s">
        <v>1056</v>
      </c>
      <c r="B42">
        <v>2022</v>
      </c>
      <c r="C42">
        <v>9.9477182981823464</v>
      </c>
      <c r="D42">
        <v>7818</v>
      </c>
      <c r="E42">
        <v>6058698.2280024514</v>
      </c>
      <c r="F42">
        <v>6</v>
      </c>
      <c r="G42">
        <v>247</v>
      </c>
      <c r="H42">
        <v>5.3021932261619999E-4</v>
      </c>
      <c r="I42">
        <v>51</v>
      </c>
      <c r="J42">
        <v>0.1818181818181818</v>
      </c>
      <c r="K42">
        <v>1</v>
      </c>
      <c r="L42">
        <v>0</v>
      </c>
      <c r="M42">
        <v>3</v>
      </c>
      <c r="N42">
        <v>0.44322654848282389</v>
      </c>
      <c r="O42">
        <v>-0.33544204568802372</v>
      </c>
      <c r="P42">
        <v>15981659.48574033</v>
      </c>
      <c r="Q42">
        <v>12848602.20556514</v>
      </c>
      <c r="R42" t="s">
        <v>23</v>
      </c>
      <c r="S42" t="s">
        <v>24</v>
      </c>
      <c r="T42" t="s">
        <v>31</v>
      </c>
      <c r="U42">
        <v>7464</v>
      </c>
      <c r="V42">
        <v>5435</v>
      </c>
      <c r="W42">
        <v>2029</v>
      </c>
    </row>
    <row r="43" spans="1:23" x14ac:dyDescent="0.3">
      <c r="A43" t="s">
        <v>1057</v>
      </c>
      <c r="B43">
        <v>2022</v>
      </c>
      <c r="C43">
        <v>1.4501347927188271</v>
      </c>
      <c r="D43">
        <v>2209</v>
      </c>
      <c r="E43">
        <v>1437278.125061275</v>
      </c>
      <c r="F43">
        <v>1</v>
      </c>
      <c r="G43">
        <v>54</v>
      </c>
      <c r="H43">
        <v>8.3537279756759999E-4</v>
      </c>
      <c r="I43">
        <v>4</v>
      </c>
      <c r="J43">
        <v>0</v>
      </c>
      <c r="K43">
        <v>0</v>
      </c>
      <c r="L43">
        <v>0</v>
      </c>
      <c r="M43">
        <v>1</v>
      </c>
      <c r="N43">
        <v>0.5350771561548906</v>
      </c>
      <c r="O43">
        <v>-0.28747254231465152</v>
      </c>
      <c r="P43">
        <v>65845607.214847408</v>
      </c>
      <c r="Q43">
        <v>9435251.3171798792</v>
      </c>
      <c r="R43" t="s">
        <v>160</v>
      </c>
      <c r="S43" t="s">
        <v>161</v>
      </c>
      <c r="T43" t="s">
        <v>162</v>
      </c>
      <c r="U43">
        <v>2162</v>
      </c>
      <c r="V43">
        <v>937</v>
      </c>
      <c r="W43">
        <v>1225</v>
      </c>
    </row>
    <row r="44" spans="1:23" x14ac:dyDescent="0.3">
      <c r="A44" t="s">
        <v>1058</v>
      </c>
      <c r="B44">
        <v>2022</v>
      </c>
      <c r="C44">
        <v>6.1435468716895523</v>
      </c>
      <c r="D44">
        <v>3776</v>
      </c>
      <c r="E44">
        <v>3971685.2929534321</v>
      </c>
      <c r="F44">
        <v>7</v>
      </c>
      <c r="G44">
        <v>120</v>
      </c>
      <c r="H44">
        <v>1.0799073403524001E-3</v>
      </c>
      <c r="I44">
        <v>11</v>
      </c>
      <c r="J44">
        <v>7.69230769230769E-2</v>
      </c>
      <c r="K44">
        <v>1</v>
      </c>
      <c r="L44">
        <v>0</v>
      </c>
      <c r="M44">
        <v>12</v>
      </c>
      <c r="N44">
        <v>0.49517006704189981</v>
      </c>
      <c r="O44">
        <v>-0.36569756553420502</v>
      </c>
      <c r="P44">
        <v>19061296.469221611</v>
      </c>
      <c r="Q44">
        <v>9231323.6822258886</v>
      </c>
      <c r="R44" t="s">
        <v>128</v>
      </c>
      <c r="S44" t="s">
        <v>129</v>
      </c>
      <c r="T44" t="s">
        <v>130</v>
      </c>
      <c r="U44">
        <v>3612</v>
      </c>
      <c r="V44">
        <v>1860</v>
      </c>
      <c r="W44">
        <v>1752</v>
      </c>
    </row>
    <row r="45" spans="1:23" x14ac:dyDescent="0.3">
      <c r="A45" t="s">
        <v>1059</v>
      </c>
      <c r="B45">
        <v>2022</v>
      </c>
      <c r="C45">
        <v>1.3347510868252279</v>
      </c>
      <c r="D45">
        <v>1903</v>
      </c>
      <c r="E45">
        <v>1240713.859375</v>
      </c>
      <c r="F45">
        <v>1</v>
      </c>
      <c r="G45">
        <v>97</v>
      </c>
      <c r="H45">
        <v>1.0881491284626E-3</v>
      </c>
      <c r="I45">
        <v>4</v>
      </c>
      <c r="J45">
        <v>0</v>
      </c>
      <c r="K45">
        <v>0</v>
      </c>
      <c r="L45">
        <v>0</v>
      </c>
      <c r="M45">
        <v>0</v>
      </c>
      <c r="N45">
        <v>0.3830214152536085</v>
      </c>
      <c r="O45">
        <v>-0.36267998331434442</v>
      </c>
      <c r="P45">
        <v>46746714.480885379</v>
      </c>
      <c r="Q45">
        <v>8702281.5146605577</v>
      </c>
      <c r="R45" t="s">
        <v>236</v>
      </c>
      <c r="S45" t="s">
        <v>248</v>
      </c>
      <c r="T45" t="s">
        <v>250</v>
      </c>
      <c r="U45">
        <v>1820</v>
      </c>
      <c r="V45">
        <v>466</v>
      </c>
      <c r="W45">
        <v>1354</v>
      </c>
    </row>
    <row r="46" spans="1:23" x14ac:dyDescent="0.3">
      <c r="A46" t="s">
        <v>1060</v>
      </c>
      <c r="B46">
        <v>2022</v>
      </c>
      <c r="C46">
        <v>4.0794528722969474</v>
      </c>
      <c r="D46">
        <v>1857</v>
      </c>
      <c r="E46">
        <v>1111779.601776961</v>
      </c>
      <c r="F46">
        <v>3</v>
      </c>
      <c r="G46">
        <v>151</v>
      </c>
      <c r="H46">
        <v>9.0082552431949999E-4</v>
      </c>
      <c r="I46">
        <v>8</v>
      </c>
      <c r="J46">
        <v>0</v>
      </c>
      <c r="K46">
        <v>0</v>
      </c>
      <c r="L46">
        <v>0</v>
      </c>
      <c r="M46">
        <v>0</v>
      </c>
      <c r="N46">
        <v>0.47822297945082359</v>
      </c>
      <c r="O46">
        <v>-0.37926745730840927</v>
      </c>
      <c r="P46">
        <v>16891873.68506011</v>
      </c>
      <c r="Q46">
        <v>8141181.9957461478</v>
      </c>
      <c r="R46" t="s">
        <v>128</v>
      </c>
      <c r="S46" t="s">
        <v>157</v>
      </c>
      <c r="T46" t="s">
        <v>158</v>
      </c>
      <c r="U46">
        <v>1773</v>
      </c>
      <c r="V46">
        <v>955</v>
      </c>
      <c r="W46">
        <v>818</v>
      </c>
    </row>
    <row r="47" spans="1:23" x14ac:dyDescent="0.3">
      <c r="A47" t="s">
        <v>1061</v>
      </c>
      <c r="B47">
        <v>2022</v>
      </c>
      <c r="C47">
        <v>0.9028170350969712</v>
      </c>
      <c r="D47">
        <v>2377</v>
      </c>
      <c r="E47">
        <v>1737329.15625</v>
      </c>
      <c r="F47">
        <v>1</v>
      </c>
      <c r="G47">
        <v>105</v>
      </c>
      <c r="H47">
        <v>9.8280946349229995E-4</v>
      </c>
      <c r="I47">
        <v>5</v>
      </c>
      <c r="J47">
        <v>0</v>
      </c>
      <c r="K47">
        <v>0</v>
      </c>
      <c r="L47">
        <v>0</v>
      </c>
      <c r="M47">
        <v>8</v>
      </c>
      <c r="N47">
        <v>0.39340638120878918</v>
      </c>
      <c r="O47">
        <v>-0.15813587106447091</v>
      </c>
      <c r="P47">
        <v>1388963067.4562731</v>
      </c>
      <c r="Q47">
        <v>6598613.2008125689</v>
      </c>
      <c r="R47" t="s">
        <v>678</v>
      </c>
      <c r="S47" t="s">
        <v>731</v>
      </c>
      <c r="T47" t="s">
        <v>731</v>
      </c>
      <c r="U47">
        <v>2263</v>
      </c>
      <c r="V47">
        <v>952</v>
      </c>
      <c r="W47">
        <v>1311</v>
      </c>
    </row>
    <row r="48" spans="1:23" x14ac:dyDescent="0.3">
      <c r="A48" t="s">
        <v>1062</v>
      </c>
      <c r="B48">
        <v>2022</v>
      </c>
      <c r="C48">
        <v>8.6276975874389965</v>
      </c>
      <c r="D48">
        <v>12283</v>
      </c>
      <c r="E48">
        <v>15910811.790747549</v>
      </c>
      <c r="F48">
        <v>17</v>
      </c>
      <c r="G48">
        <v>386</v>
      </c>
      <c r="H48">
        <v>8.061354202013E-4</v>
      </c>
      <c r="I48">
        <v>6</v>
      </c>
      <c r="J48">
        <v>0</v>
      </c>
      <c r="K48">
        <v>0</v>
      </c>
      <c r="L48">
        <v>0</v>
      </c>
      <c r="M48">
        <v>1</v>
      </c>
      <c r="N48">
        <v>0.24432129412984499</v>
      </c>
      <c r="O48">
        <v>-0.25645147614252861</v>
      </c>
      <c r="P48">
        <v>21014977.930509809</v>
      </c>
      <c r="Q48">
        <v>6574063.2677985635</v>
      </c>
      <c r="R48" t="s">
        <v>236</v>
      </c>
      <c r="S48" t="s">
        <v>237</v>
      </c>
      <c r="T48" t="s">
        <v>242</v>
      </c>
      <c r="U48">
        <v>11723</v>
      </c>
      <c r="V48">
        <v>6747</v>
      </c>
      <c r="W48">
        <v>4976</v>
      </c>
    </row>
    <row r="49" spans="1:23" x14ac:dyDescent="0.3">
      <c r="A49" t="s">
        <v>1063</v>
      </c>
      <c r="B49">
        <v>2022</v>
      </c>
      <c r="C49">
        <v>7.9933064444161666</v>
      </c>
      <c r="D49">
        <v>4111</v>
      </c>
      <c r="E49">
        <v>2301502.4291053922</v>
      </c>
      <c r="F49">
        <v>7</v>
      </c>
      <c r="G49">
        <v>181</v>
      </c>
      <c r="H49">
        <v>8.3997260806589996E-4</v>
      </c>
      <c r="I49">
        <v>20</v>
      </c>
      <c r="J49">
        <v>0</v>
      </c>
      <c r="K49">
        <v>0</v>
      </c>
      <c r="L49">
        <v>0</v>
      </c>
      <c r="M49">
        <v>7</v>
      </c>
      <c r="N49">
        <v>0.52058333340591001</v>
      </c>
      <c r="O49">
        <v>-0.33068848379902188</v>
      </c>
      <c r="P49">
        <v>24297462.962555841</v>
      </c>
      <c r="Q49">
        <v>6392818.6393326577</v>
      </c>
      <c r="R49" t="s">
        <v>128</v>
      </c>
      <c r="S49" t="s">
        <v>129</v>
      </c>
      <c r="T49" t="s">
        <v>133</v>
      </c>
      <c r="U49">
        <v>3931</v>
      </c>
      <c r="V49">
        <v>2803</v>
      </c>
      <c r="W49">
        <v>1128</v>
      </c>
    </row>
    <row r="50" spans="1:23" x14ac:dyDescent="0.3">
      <c r="A50" t="s">
        <v>1064</v>
      </c>
      <c r="B50">
        <v>2022</v>
      </c>
      <c r="C50">
        <v>1.541113420810269</v>
      </c>
      <c r="D50">
        <v>787</v>
      </c>
      <c r="E50">
        <v>922821.51691176463</v>
      </c>
      <c r="F50">
        <v>3</v>
      </c>
      <c r="G50">
        <v>46</v>
      </c>
      <c r="H50">
        <v>2.3003881271596999E-3</v>
      </c>
      <c r="I50">
        <v>2</v>
      </c>
      <c r="J50">
        <v>0</v>
      </c>
      <c r="K50">
        <v>0</v>
      </c>
      <c r="L50">
        <v>0</v>
      </c>
      <c r="M50">
        <v>1</v>
      </c>
      <c r="N50">
        <v>0.52469452627655766</v>
      </c>
      <c r="O50">
        <v>-0.35745457091789778</v>
      </c>
      <c r="P50">
        <v>22926055.985119969</v>
      </c>
      <c r="Q50">
        <v>6023602.8154392662</v>
      </c>
      <c r="R50" t="s">
        <v>23</v>
      </c>
      <c r="S50" t="s">
        <v>73</v>
      </c>
      <c r="T50" t="s">
        <v>74</v>
      </c>
      <c r="U50">
        <v>753</v>
      </c>
      <c r="V50">
        <v>631</v>
      </c>
      <c r="W50">
        <v>122</v>
      </c>
    </row>
    <row r="51" spans="1:23" x14ac:dyDescent="0.3">
      <c r="A51" t="s">
        <v>1065</v>
      </c>
      <c r="B51">
        <v>2022</v>
      </c>
      <c r="C51">
        <v>3.1774111311421258</v>
      </c>
      <c r="D51">
        <v>1726</v>
      </c>
      <c r="E51">
        <v>279404.68216911767</v>
      </c>
      <c r="F51">
        <v>1</v>
      </c>
      <c r="G51">
        <v>69</v>
      </c>
      <c r="H51">
        <v>7.7271212307260001E-4</v>
      </c>
      <c r="I51">
        <v>2</v>
      </c>
      <c r="J51">
        <v>0.04</v>
      </c>
      <c r="K51">
        <v>1</v>
      </c>
      <c r="L51">
        <v>0</v>
      </c>
      <c r="M51">
        <v>1</v>
      </c>
      <c r="N51">
        <v>0.48850007268854989</v>
      </c>
      <c r="O51">
        <v>-0.29279696649626569</v>
      </c>
      <c r="P51">
        <v>39464465.314002693</v>
      </c>
      <c r="Q51">
        <v>5143589.4972038362</v>
      </c>
      <c r="R51" t="s">
        <v>834</v>
      </c>
      <c r="S51" t="s">
        <v>859</v>
      </c>
      <c r="T51" t="s">
        <v>860</v>
      </c>
      <c r="U51">
        <v>1646</v>
      </c>
      <c r="V51">
        <v>1162</v>
      </c>
      <c r="W51">
        <v>484</v>
      </c>
    </row>
    <row r="52" spans="1:23" x14ac:dyDescent="0.3">
      <c r="A52" t="s">
        <v>1066</v>
      </c>
      <c r="B52">
        <v>2022</v>
      </c>
      <c r="C52">
        <v>16.20674768559368</v>
      </c>
      <c r="D52">
        <v>6282</v>
      </c>
      <c r="E52">
        <v>8346688.0025122548</v>
      </c>
      <c r="F52">
        <v>44</v>
      </c>
      <c r="G52">
        <v>172</v>
      </c>
      <c r="H52">
        <v>6.7929774901809997E-4</v>
      </c>
      <c r="I52">
        <v>9</v>
      </c>
      <c r="J52">
        <v>0</v>
      </c>
      <c r="K52">
        <v>0</v>
      </c>
      <c r="L52">
        <v>0</v>
      </c>
      <c r="M52">
        <v>2</v>
      </c>
      <c r="N52">
        <v>0.37214609895216288</v>
      </c>
      <c r="O52">
        <v>-0.3471412754620628</v>
      </c>
      <c r="P52">
        <v>21809586.081948452</v>
      </c>
      <c r="Q52">
        <v>4893949.0342930751</v>
      </c>
      <c r="R52" t="s">
        <v>656</v>
      </c>
      <c r="S52" t="s">
        <v>807</v>
      </c>
      <c r="T52" t="s">
        <v>811</v>
      </c>
      <c r="U52">
        <v>5992</v>
      </c>
      <c r="V52">
        <v>4333</v>
      </c>
      <c r="W52">
        <v>1659</v>
      </c>
    </row>
    <row r="53" spans="1:23" x14ac:dyDescent="0.3">
      <c r="A53" t="s">
        <v>1067</v>
      </c>
      <c r="B53">
        <v>2022</v>
      </c>
      <c r="C53">
        <v>2.6956563962872462</v>
      </c>
      <c r="D53">
        <v>2471</v>
      </c>
      <c r="E53">
        <v>13903216.8848652</v>
      </c>
      <c r="F53">
        <v>31</v>
      </c>
      <c r="G53">
        <v>134</v>
      </c>
      <c r="H53">
        <v>6.7494618581450002E-4</v>
      </c>
      <c r="I53">
        <v>8</v>
      </c>
      <c r="J53">
        <v>0</v>
      </c>
      <c r="K53">
        <v>0</v>
      </c>
      <c r="L53">
        <v>0</v>
      </c>
      <c r="M53">
        <v>0</v>
      </c>
      <c r="N53">
        <v>0.35691505065580681</v>
      </c>
      <c r="O53">
        <v>-0.37780571430538501</v>
      </c>
      <c r="P53">
        <v>28558624.408813369</v>
      </c>
      <c r="Q53">
        <v>4892664.00238322</v>
      </c>
      <c r="R53" t="s">
        <v>236</v>
      </c>
      <c r="S53" t="s">
        <v>237</v>
      </c>
      <c r="T53" t="s">
        <v>238</v>
      </c>
      <c r="U53">
        <v>2362</v>
      </c>
      <c r="V53">
        <v>88</v>
      </c>
      <c r="W53">
        <v>2274</v>
      </c>
    </row>
    <row r="54" spans="1:23" x14ac:dyDescent="0.3">
      <c r="A54" t="s">
        <v>1444</v>
      </c>
      <c r="B54">
        <v>2022</v>
      </c>
      <c r="C54">
        <v>35.634589514387407</v>
      </c>
      <c r="D54">
        <v>1860402</v>
      </c>
      <c r="E54">
        <v>204097559.589093</v>
      </c>
      <c r="F54">
        <v>41409</v>
      </c>
      <c r="G54">
        <v>68586</v>
      </c>
      <c r="H54">
        <v>1.0293767021062221E-5</v>
      </c>
      <c r="I54">
        <v>1257</v>
      </c>
      <c r="J54">
        <v>6.5863262140555996E-3</v>
      </c>
      <c r="K54">
        <v>17</v>
      </c>
      <c r="L54">
        <v>0</v>
      </c>
      <c r="M54">
        <v>519</v>
      </c>
      <c r="P54">
        <v>364173136.32824057</v>
      </c>
      <c r="Q54">
        <v>944.07833585930337</v>
      </c>
      <c r="R54" t="s">
        <v>656</v>
      </c>
      <c r="S54" t="s">
        <v>776</v>
      </c>
      <c r="T54" t="s">
        <v>777</v>
      </c>
      <c r="U54">
        <v>1772665</v>
      </c>
      <c r="V54">
        <v>1566150</v>
      </c>
      <c r="W54">
        <v>206515</v>
      </c>
    </row>
    <row r="55" spans="1:23" x14ac:dyDescent="0.3">
      <c r="A55" t="s">
        <v>1069</v>
      </c>
      <c r="B55">
        <v>2022</v>
      </c>
      <c r="C55">
        <v>1.8110611227100379</v>
      </c>
      <c r="D55">
        <v>6982</v>
      </c>
      <c r="E55">
        <v>1628229.6936887249</v>
      </c>
      <c r="F55">
        <v>1</v>
      </c>
      <c r="G55">
        <v>268</v>
      </c>
      <c r="H55">
        <v>2.9999985443319999E-4</v>
      </c>
      <c r="I55">
        <v>13</v>
      </c>
      <c r="J55">
        <v>1.6257959626066899E-2</v>
      </c>
      <c r="K55">
        <v>2</v>
      </c>
      <c r="L55">
        <v>0</v>
      </c>
      <c r="M55">
        <v>11</v>
      </c>
      <c r="N55">
        <v>0.64423469182263249</v>
      </c>
      <c r="O55">
        <v>-0.29705131923849259</v>
      </c>
      <c r="P55">
        <v>524983708.36451191</v>
      </c>
      <c r="Q55">
        <v>4223465.3352645729</v>
      </c>
      <c r="R55" t="s">
        <v>926</v>
      </c>
      <c r="S55" t="s">
        <v>927</v>
      </c>
      <c r="T55" t="s">
        <v>930</v>
      </c>
      <c r="U55">
        <v>6666</v>
      </c>
      <c r="V55">
        <v>1777</v>
      </c>
      <c r="W55">
        <v>4889</v>
      </c>
    </row>
    <row r="56" spans="1:23" x14ac:dyDescent="0.3">
      <c r="A56" t="s">
        <v>1070</v>
      </c>
      <c r="B56">
        <v>2022</v>
      </c>
      <c r="C56">
        <v>7.524342140480444</v>
      </c>
      <c r="D56">
        <v>7227</v>
      </c>
      <c r="E56">
        <v>4357224.5248774486</v>
      </c>
      <c r="F56">
        <v>11</v>
      </c>
      <c r="G56">
        <v>224</v>
      </c>
      <c r="H56">
        <v>5.9356696333880002E-4</v>
      </c>
      <c r="I56">
        <v>5</v>
      </c>
      <c r="J56">
        <v>0</v>
      </c>
      <c r="K56">
        <v>0</v>
      </c>
      <c r="L56">
        <v>0</v>
      </c>
      <c r="M56">
        <v>2</v>
      </c>
      <c r="N56">
        <v>0.48532678982976341</v>
      </c>
      <c r="O56">
        <v>-0.33556435689847769</v>
      </c>
      <c r="P56">
        <v>16309725.79654119</v>
      </c>
      <c r="Q56">
        <v>4124086.2055260292</v>
      </c>
      <c r="R56" t="s">
        <v>23</v>
      </c>
      <c r="S56" t="s">
        <v>89</v>
      </c>
      <c r="T56" t="s">
        <v>89</v>
      </c>
      <c r="U56">
        <v>6814</v>
      </c>
      <c r="V56">
        <v>5191</v>
      </c>
      <c r="W56">
        <v>1623</v>
      </c>
    </row>
    <row r="57" spans="1:23" x14ac:dyDescent="0.3">
      <c r="A57" t="s">
        <v>1071</v>
      </c>
      <c r="B57">
        <v>2022</v>
      </c>
      <c r="C57">
        <v>1.937771826499372</v>
      </c>
      <c r="D57">
        <v>4957</v>
      </c>
      <c r="E57">
        <v>972054.97444852942</v>
      </c>
      <c r="F57">
        <v>1</v>
      </c>
      <c r="G57">
        <v>119</v>
      </c>
      <c r="H57">
        <v>3.1630224436683002E-3</v>
      </c>
      <c r="I57">
        <v>2</v>
      </c>
      <c r="J57">
        <v>0</v>
      </c>
      <c r="K57">
        <v>0</v>
      </c>
      <c r="L57">
        <v>0</v>
      </c>
      <c r="M57">
        <v>2</v>
      </c>
      <c r="N57">
        <v>0.42193709503145782</v>
      </c>
      <c r="O57">
        <v>-0.25700682030100169</v>
      </c>
      <c r="P57">
        <v>60706964.176083647</v>
      </c>
      <c r="Q57">
        <v>3799920.8055173028</v>
      </c>
      <c r="R57" t="s">
        <v>128</v>
      </c>
      <c r="S57" t="s">
        <v>153</v>
      </c>
      <c r="T57" t="s">
        <v>154</v>
      </c>
      <c r="U57">
        <v>4720</v>
      </c>
      <c r="V57">
        <v>1674</v>
      </c>
      <c r="W57">
        <v>3046</v>
      </c>
    </row>
    <row r="58" spans="1:23" x14ac:dyDescent="0.3">
      <c r="A58" t="s">
        <v>1072</v>
      </c>
      <c r="B58">
        <v>2022</v>
      </c>
      <c r="C58">
        <v>2.1829774485445701</v>
      </c>
      <c r="D58">
        <v>4760</v>
      </c>
      <c r="E58">
        <v>801035.21911764704</v>
      </c>
      <c r="F58">
        <v>1</v>
      </c>
      <c r="G58">
        <v>127</v>
      </c>
      <c r="H58">
        <v>1.2434542725492999E-3</v>
      </c>
      <c r="I58">
        <v>14</v>
      </c>
      <c r="J58">
        <v>0</v>
      </c>
      <c r="K58">
        <v>0</v>
      </c>
      <c r="L58">
        <v>0</v>
      </c>
      <c r="M58">
        <v>0</v>
      </c>
      <c r="N58">
        <v>0.37103750273760427</v>
      </c>
      <c r="O58">
        <v>-8.7153646096833001E-3</v>
      </c>
      <c r="P58">
        <v>126541460.7839538</v>
      </c>
      <c r="Q58">
        <v>3673617.2664365168</v>
      </c>
      <c r="R58" t="s">
        <v>291</v>
      </c>
      <c r="S58" t="s">
        <v>292</v>
      </c>
      <c r="T58" t="s">
        <v>293</v>
      </c>
      <c r="U58">
        <v>4483</v>
      </c>
      <c r="V58">
        <v>1636</v>
      </c>
      <c r="W58">
        <v>2847</v>
      </c>
    </row>
    <row r="59" spans="1:23" x14ac:dyDescent="0.3">
      <c r="A59" t="s">
        <v>1252</v>
      </c>
      <c r="B59">
        <v>2022</v>
      </c>
      <c r="C59">
        <v>30.717545014308151</v>
      </c>
      <c r="D59">
        <v>133855</v>
      </c>
      <c r="E59">
        <v>28580557.175306369</v>
      </c>
      <c r="F59">
        <v>785</v>
      </c>
      <c r="G59">
        <v>3530</v>
      </c>
      <c r="H59">
        <v>1.340493842749E-4</v>
      </c>
      <c r="I59">
        <v>92</v>
      </c>
      <c r="J59">
        <v>1.8656006091757001E-2</v>
      </c>
      <c r="K59">
        <v>5</v>
      </c>
      <c r="L59">
        <v>0</v>
      </c>
      <c r="M59">
        <v>28</v>
      </c>
      <c r="P59">
        <v>44701744.771988273</v>
      </c>
      <c r="Q59">
        <v>83551.247613122687</v>
      </c>
      <c r="R59" t="s">
        <v>656</v>
      </c>
      <c r="S59" t="s">
        <v>776</v>
      </c>
      <c r="T59" t="s">
        <v>781</v>
      </c>
      <c r="U59">
        <v>127486</v>
      </c>
      <c r="V59">
        <v>115000</v>
      </c>
      <c r="W59">
        <v>12486</v>
      </c>
    </row>
    <row r="60" spans="1:23" x14ac:dyDescent="0.3">
      <c r="A60" t="s">
        <v>1074</v>
      </c>
      <c r="B60">
        <v>2022</v>
      </c>
      <c r="C60">
        <v>1.8380273217293881</v>
      </c>
      <c r="D60">
        <v>4897</v>
      </c>
      <c r="E60">
        <v>12037907.272610299</v>
      </c>
      <c r="F60">
        <v>15</v>
      </c>
      <c r="G60">
        <v>211</v>
      </c>
      <c r="H60">
        <v>4.3413842105749999E-4</v>
      </c>
      <c r="I60">
        <v>15</v>
      </c>
      <c r="J60">
        <v>0</v>
      </c>
      <c r="K60">
        <v>0</v>
      </c>
      <c r="L60">
        <v>0</v>
      </c>
      <c r="M60">
        <v>2</v>
      </c>
      <c r="N60">
        <v>0.41656331745510711</v>
      </c>
      <c r="O60">
        <v>-0.35403700848641623</v>
      </c>
      <c r="P60">
        <v>51663602.462946333</v>
      </c>
      <c r="Q60">
        <v>3012184.6659182659</v>
      </c>
      <c r="R60" t="s">
        <v>236</v>
      </c>
      <c r="S60" t="s">
        <v>237</v>
      </c>
      <c r="T60" t="s">
        <v>245</v>
      </c>
      <c r="U60">
        <v>4681</v>
      </c>
      <c r="V60">
        <v>1073</v>
      </c>
      <c r="W60">
        <v>3608</v>
      </c>
    </row>
    <row r="61" spans="1:23" x14ac:dyDescent="0.3">
      <c r="A61" t="s">
        <v>1075</v>
      </c>
      <c r="B61">
        <v>2022</v>
      </c>
      <c r="C61">
        <v>8.8901720114801286</v>
      </c>
      <c r="D61">
        <v>1510</v>
      </c>
      <c r="E61">
        <v>1658933.4121936271</v>
      </c>
      <c r="F61">
        <v>34</v>
      </c>
      <c r="G61">
        <v>119</v>
      </c>
      <c r="H61">
        <v>3.6473429951690002E-3</v>
      </c>
      <c r="I61">
        <v>14</v>
      </c>
      <c r="J61">
        <v>0</v>
      </c>
      <c r="K61">
        <v>0</v>
      </c>
      <c r="L61">
        <v>0</v>
      </c>
      <c r="M61">
        <v>1</v>
      </c>
      <c r="N61">
        <v>0.43474874669788288</v>
      </c>
      <c r="O61">
        <v>-0.27534471509713682</v>
      </c>
      <c r="P61">
        <v>5888177.7672750279</v>
      </c>
      <c r="Q61">
        <v>2872653.562522986</v>
      </c>
      <c r="R61" t="s">
        <v>834</v>
      </c>
      <c r="S61" t="s">
        <v>856</v>
      </c>
      <c r="T61" t="s">
        <v>857</v>
      </c>
      <c r="U61">
        <v>1440</v>
      </c>
      <c r="V61">
        <v>838</v>
      </c>
      <c r="W61">
        <v>602</v>
      </c>
    </row>
    <row r="62" spans="1:23" x14ac:dyDescent="0.3">
      <c r="A62" t="s">
        <v>1076</v>
      </c>
      <c r="B62">
        <v>2022</v>
      </c>
      <c r="C62">
        <v>4.664992863061129</v>
      </c>
      <c r="D62">
        <v>2949</v>
      </c>
      <c r="E62">
        <v>1499862.6087622549</v>
      </c>
      <c r="F62">
        <v>9</v>
      </c>
      <c r="G62">
        <v>134</v>
      </c>
      <c r="H62">
        <v>7.4256692128409996E-4</v>
      </c>
      <c r="I62">
        <v>1</v>
      </c>
      <c r="J62">
        <v>0</v>
      </c>
      <c r="K62">
        <v>0</v>
      </c>
      <c r="L62">
        <v>0</v>
      </c>
      <c r="M62">
        <v>0</v>
      </c>
      <c r="N62">
        <v>0.44213004604061612</v>
      </c>
      <c r="O62">
        <v>-0.32532764320200719</v>
      </c>
      <c r="P62">
        <v>16993698.233887721</v>
      </c>
      <c r="Q62">
        <v>2636241.424757231</v>
      </c>
      <c r="R62" t="s">
        <v>23</v>
      </c>
      <c r="S62" t="s">
        <v>63</v>
      </c>
      <c r="T62" t="s">
        <v>68</v>
      </c>
      <c r="U62">
        <v>2805</v>
      </c>
      <c r="V62">
        <v>1318</v>
      </c>
      <c r="W62">
        <v>1487</v>
      </c>
    </row>
    <row r="63" spans="1:23" x14ac:dyDescent="0.3">
      <c r="A63" t="s">
        <v>1077</v>
      </c>
      <c r="B63">
        <v>2022</v>
      </c>
      <c r="C63">
        <v>1.13428381022041</v>
      </c>
      <c r="D63">
        <v>9509</v>
      </c>
      <c r="E63">
        <v>2178071.73927696</v>
      </c>
      <c r="F63">
        <v>1</v>
      </c>
      <c r="G63">
        <v>118</v>
      </c>
      <c r="H63">
        <v>1.0068113477630001E-3</v>
      </c>
      <c r="I63">
        <v>6</v>
      </c>
      <c r="J63">
        <v>0</v>
      </c>
      <c r="K63">
        <v>0</v>
      </c>
      <c r="L63">
        <v>0</v>
      </c>
      <c r="M63">
        <v>0</v>
      </c>
      <c r="N63">
        <v>0.4955392544332205</v>
      </c>
      <c r="O63">
        <v>-0.23131489646164871</v>
      </c>
      <c r="P63">
        <v>200087314.0661132</v>
      </c>
      <c r="Q63">
        <v>2598119.1622257489</v>
      </c>
      <c r="R63" t="s">
        <v>352</v>
      </c>
      <c r="S63" t="s">
        <v>361</v>
      </c>
      <c r="T63" t="s">
        <v>364</v>
      </c>
      <c r="U63">
        <v>9057</v>
      </c>
      <c r="V63">
        <v>2513</v>
      </c>
      <c r="W63">
        <v>6544</v>
      </c>
    </row>
    <row r="64" spans="1:23" x14ac:dyDescent="0.3">
      <c r="A64" t="s">
        <v>1078</v>
      </c>
      <c r="B64">
        <v>2022</v>
      </c>
      <c r="C64">
        <v>5.3450526925207544</v>
      </c>
      <c r="D64">
        <v>12028</v>
      </c>
      <c r="E64">
        <v>13783198.116176469</v>
      </c>
      <c r="F64">
        <v>24</v>
      </c>
      <c r="G64">
        <v>422</v>
      </c>
      <c r="H64">
        <v>1.7331415603009999E-4</v>
      </c>
      <c r="I64">
        <v>16</v>
      </c>
      <c r="J64">
        <v>0</v>
      </c>
      <c r="K64">
        <v>0</v>
      </c>
      <c r="L64">
        <v>0</v>
      </c>
      <c r="M64">
        <v>4</v>
      </c>
      <c r="N64">
        <v>0.46749006142626942</v>
      </c>
      <c r="O64">
        <v>-0.31153563280068158</v>
      </c>
      <c r="P64">
        <v>52957550.689621747</v>
      </c>
      <c r="Q64">
        <v>2552097.8897300749</v>
      </c>
      <c r="R64" t="s">
        <v>23</v>
      </c>
      <c r="S64" t="s">
        <v>63</v>
      </c>
      <c r="T64" t="s">
        <v>63</v>
      </c>
      <c r="U64">
        <v>11457</v>
      </c>
      <c r="V64">
        <v>9310</v>
      </c>
      <c r="W64">
        <v>2147</v>
      </c>
    </row>
    <row r="65" spans="1:23" x14ac:dyDescent="0.3">
      <c r="A65" t="s">
        <v>1079</v>
      </c>
      <c r="B65">
        <v>2022</v>
      </c>
      <c r="C65">
        <v>3.8280340129623771</v>
      </c>
      <c r="D65">
        <v>21458</v>
      </c>
      <c r="E65">
        <v>2726098.625</v>
      </c>
      <c r="F65">
        <v>2</v>
      </c>
      <c r="G65">
        <v>347</v>
      </c>
      <c r="H65">
        <v>1.529619752789E-4</v>
      </c>
      <c r="I65">
        <v>12</v>
      </c>
      <c r="J65">
        <v>0</v>
      </c>
      <c r="K65">
        <v>0</v>
      </c>
      <c r="L65">
        <v>0</v>
      </c>
      <c r="M65">
        <v>5</v>
      </c>
      <c r="N65">
        <v>0.46668867928622793</v>
      </c>
      <c r="O65">
        <v>-0.29731541650500098</v>
      </c>
      <c r="P65">
        <v>119635384.90191451</v>
      </c>
      <c r="Q65">
        <v>2431633.4838265372</v>
      </c>
      <c r="R65" t="s">
        <v>291</v>
      </c>
      <c r="S65" t="s">
        <v>323</v>
      </c>
      <c r="T65" t="s">
        <v>323</v>
      </c>
      <c r="U65">
        <v>20471</v>
      </c>
      <c r="V65">
        <v>15192</v>
      </c>
      <c r="W65">
        <v>5279</v>
      </c>
    </row>
    <row r="66" spans="1:23" x14ac:dyDescent="0.3">
      <c r="A66" t="s">
        <v>1080</v>
      </c>
      <c r="B66">
        <v>2022</v>
      </c>
      <c r="C66">
        <v>4.2263902481453641</v>
      </c>
      <c r="D66">
        <v>7352</v>
      </c>
      <c r="E66">
        <v>1678672.349142157</v>
      </c>
      <c r="F66">
        <v>4</v>
      </c>
      <c r="G66">
        <v>200</v>
      </c>
      <c r="H66">
        <v>2.7792971960189999E-4</v>
      </c>
      <c r="I66">
        <v>6</v>
      </c>
      <c r="J66">
        <v>0</v>
      </c>
      <c r="K66">
        <v>0</v>
      </c>
      <c r="L66">
        <v>0</v>
      </c>
      <c r="M66">
        <v>1</v>
      </c>
      <c r="N66">
        <v>0.51991190906827611</v>
      </c>
      <c r="O66">
        <v>-0.316480949153156</v>
      </c>
      <c r="P66">
        <v>44956905.365974657</v>
      </c>
      <c r="Q66">
        <v>2412515.1136580789</v>
      </c>
      <c r="R66" t="s">
        <v>23</v>
      </c>
      <c r="S66" t="s">
        <v>24</v>
      </c>
      <c r="T66" t="s">
        <v>39</v>
      </c>
      <c r="U66">
        <v>7027</v>
      </c>
      <c r="V66">
        <v>3499</v>
      </c>
      <c r="W66">
        <v>3528</v>
      </c>
    </row>
    <row r="67" spans="1:23" x14ac:dyDescent="0.3">
      <c r="A67" t="s">
        <v>1081</v>
      </c>
      <c r="B67">
        <v>2022</v>
      </c>
      <c r="C67">
        <v>3.8807149894439248</v>
      </c>
      <c r="D67">
        <v>6514</v>
      </c>
      <c r="E67">
        <v>17899607.348284312</v>
      </c>
      <c r="F67">
        <v>47</v>
      </c>
      <c r="G67">
        <v>345</v>
      </c>
      <c r="H67">
        <v>5.0951552548989996E-4</v>
      </c>
      <c r="I67">
        <v>17</v>
      </c>
      <c r="J67">
        <v>1</v>
      </c>
      <c r="K67">
        <v>1</v>
      </c>
      <c r="L67">
        <v>0</v>
      </c>
      <c r="M67">
        <v>0</v>
      </c>
      <c r="N67">
        <v>0.3399872641340636</v>
      </c>
      <c r="O67">
        <v>-0.30980335829476591</v>
      </c>
      <c r="P67">
        <v>51864417.489446573</v>
      </c>
      <c r="Q67">
        <v>2268870.14357448</v>
      </c>
      <c r="R67" t="s">
        <v>236</v>
      </c>
      <c r="S67" t="s">
        <v>237</v>
      </c>
      <c r="T67" t="s">
        <v>239</v>
      </c>
      <c r="U67">
        <v>6223</v>
      </c>
      <c r="V67">
        <v>3494</v>
      </c>
      <c r="W67">
        <v>2729</v>
      </c>
    </row>
    <row r="68" spans="1:23" x14ac:dyDescent="0.3">
      <c r="A68" t="s">
        <v>1082</v>
      </c>
      <c r="B68">
        <v>2022</v>
      </c>
      <c r="C68">
        <v>1.3794936135199249</v>
      </c>
      <c r="D68">
        <v>1859</v>
      </c>
      <c r="E68">
        <v>304464.94485294109</v>
      </c>
      <c r="F68">
        <v>1</v>
      </c>
      <c r="G68">
        <v>70</v>
      </c>
      <c r="H68">
        <v>6.3550181205780003E-4</v>
      </c>
      <c r="I68">
        <v>7</v>
      </c>
      <c r="J68">
        <v>0</v>
      </c>
      <c r="K68">
        <v>0</v>
      </c>
      <c r="L68">
        <v>0</v>
      </c>
      <c r="M68">
        <v>1</v>
      </c>
      <c r="N68">
        <v>0.56176586957751329</v>
      </c>
      <c r="O68">
        <v>-0.3435922251321793</v>
      </c>
      <c r="P68">
        <v>37101794.425209582</v>
      </c>
      <c r="Q68">
        <v>2259319.2413411969</v>
      </c>
      <c r="R68" t="s">
        <v>23</v>
      </c>
      <c r="S68" t="s">
        <v>63</v>
      </c>
      <c r="T68" t="s">
        <v>70</v>
      </c>
      <c r="U68">
        <v>1779</v>
      </c>
      <c r="V68">
        <v>870</v>
      </c>
      <c r="W68">
        <v>909</v>
      </c>
    </row>
    <row r="69" spans="1:23" x14ac:dyDescent="0.3">
      <c r="A69" t="s">
        <v>1083</v>
      </c>
      <c r="B69">
        <v>2022</v>
      </c>
      <c r="C69">
        <v>0.71181916183131488</v>
      </c>
      <c r="D69">
        <v>2349</v>
      </c>
      <c r="E69">
        <v>743550.78125</v>
      </c>
      <c r="F69">
        <v>1</v>
      </c>
      <c r="G69">
        <v>46</v>
      </c>
      <c r="H69">
        <v>5.3589530669580004E-4</v>
      </c>
      <c r="I69">
        <v>1</v>
      </c>
      <c r="J69">
        <v>0</v>
      </c>
      <c r="K69">
        <v>0</v>
      </c>
      <c r="L69">
        <v>0</v>
      </c>
      <c r="M69">
        <v>0</v>
      </c>
      <c r="N69">
        <v>0.42347821631387628</v>
      </c>
      <c r="O69">
        <v>-0.314663918537193</v>
      </c>
      <c r="P69">
        <v>54966380.527086079</v>
      </c>
      <c r="Q69">
        <v>2253187.2877326282</v>
      </c>
      <c r="R69" t="s">
        <v>503</v>
      </c>
      <c r="S69" t="s">
        <v>561</v>
      </c>
      <c r="T69" t="s">
        <v>562</v>
      </c>
      <c r="U69">
        <v>2244</v>
      </c>
      <c r="V69">
        <v>535</v>
      </c>
      <c r="W69">
        <v>1709</v>
      </c>
    </row>
    <row r="70" spans="1:23" x14ac:dyDescent="0.3">
      <c r="A70" t="s">
        <v>1275</v>
      </c>
      <c r="B70">
        <v>2022</v>
      </c>
      <c r="C70">
        <v>24.684079462905942</v>
      </c>
      <c r="D70">
        <v>262806</v>
      </c>
      <c r="E70">
        <v>58981829.970894612</v>
      </c>
      <c r="F70">
        <v>996</v>
      </c>
      <c r="G70">
        <v>5125</v>
      </c>
      <c r="H70">
        <v>1.2399952171170001E-4</v>
      </c>
      <c r="I70">
        <v>36</v>
      </c>
      <c r="J70">
        <v>3.2786885245901599E-2</v>
      </c>
      <c r="K70">
        <v>1</v>
      </c>
      <c r="L70">
        <v>0</v>
      </c>
      <c r="M70">
        <v>53</v>
      </c>
      <c r="P70">
        <v>78110143.296175897</v>
      </c>
      <c r="Q70">
        <v>55621.226864229982</v>
      </c>
      <c r="R70" t="s">
        <v>656</v>
      </c>
      <c r="S70" t="s">
        <v>776</v>
      </c>
      <c r="T70" t="s">
        <v>392</v>
      </c>
      <c r="U70">
        <v>250775</v>
      </c>
      <c r="V70">
        <v>215660</v>
      </c>
      <c r="W70">
        <v>35115</v>
      </c>
    </row>
    <row r="71" spans="1:23" x14ac:dyDescent="0.3">
      <c r="A71" t="s">
        <v>1085</v>
      </c>
      <c r="B71">
        <v>2022</v>
      </c>
      <c r="C71">
        <v>1.773645167859256</v>
      </c>
      <c r="D71">
        <v>5894</v>
      </c>
      <c r="E71">
        <v>1402290.059742647</v>
      </c>
      <c r="F71">
        <v>2</v>
      </c>
      <c r="G71">
        <v>187</v>
      </c>
      <c r="H71">
        <v>1.1926743791687E-3</v>
      </c>
      <c r="I71">
        <v>2</v>
      </c>
      <c r="J71">
        <v>1.0634547591069301E-2</v>
      </c>
      <c r="K71">
        <v>4</v>
      </c>
      <c r="L71">
        <v>0</v>
      </c>
      <c r="M71">
        <v>1</v>
      </c>
      <c r="N71">
        <v>0.63175474703743739</v>
      </c>
      <c r="O71">
        <v>-0.29376067699525038</v>
      </c>
      <c r="P71">
        <v>57571718.290260427</v>
      </c>
      <c r="Q71">
        <v>2109912.613165603</v>
      </c>
      <c r="R71" t="s">
        <v>734</v>
      </c>
      <c r="S71" t="s">
        <v>747</v>
      </c>
      <c r="T71" t="s">
        <v>747</v>
      </c>
      <c r="U71">
        <v>5601</v>
      </c>
      <c r="V71">
        <v>3972</v>
      </c>
      <c r="W71">
        <v>1629</v>
      </c>
    </row>
    <row r="72" spans="1:23" x14ac:dyDescent="0.3">
      <c r="A72" t="s">
        <v>1086</v>
      </c>
      <c r="B72">
        <v>2022</v>
      </c>
      <c r="C72">
        <v>24.92380472323546</v>
      </c>
      <c r="D72">
        <v>28191</v>
      </c>
      <c r="E72">
        <v>8278236.9174019611</v>
      </c>
      <c r="F72">
        <v>36</v>
      </c>
      <c r="G72">
        <v>481</v>
      </c>
      <c r="H72">
        <v>6.0328579140010003E-4</v>
      </c>
      <c r="I72">
        <v>55</v>
      </c>
      <c r="J72">
        <v>0</v>
      </c>
      <c r="K72">
        <v>0</v>
      </c>
      <c r="L72">
        <v>0</v>
      </c>
      <c r="M72">
        <v>6</v>
      </c>
      <c r="N72">
        <v>0.42507716582060961</v>
      </c>
      <c r="O72">
        <v>-0.34829741591522168</v>
      </c>
      <c r="P72">
        <v>13947128.15711464</v>
      </c>
      <c r="Q72">
        <v>2033008.5683571701</v>
      </c>
      <c r="R72" t="s">
        <v>23</v>
      </c>
      <c r="S72" t="s">
        <v>24</v>
      </c>
      <c r="T72" t="s">
        <v>37</v>
      </c>
      <c r="U72">
        <v>26904</v>
      </c>
      <c r="V72">
        <v>22262</v>
      </c>
      <c r="W72">
        <v>4642</v>
      </c>
    </row>
    <row r="73" spans="1:23" x14ac:dyDescent="0.3">
      <c r="A73" t="s">
        <v>1087</v>
      </c>
      <c r="B73">
        <v>2022</v>
      </c>
      <c r="C73">
        <v>11.33138118092111</v>
      </c>
      <c r="D73">
        <v>22436</v>
      </c>
      <c r="E73">
        <v>4712280.7338235294</v>
      </c>
      <c r="F73">
        <v>12</v>
      </c>
      <c r="G73">
        <v>440</v>
      </c>
      <c r="H73">
        <v>9.0887631104060005E-4</v>
      </c>
      <c r="I73">
        <v>12</v>
      </c>
      <c r="J73">
        <v>1</v>
      </c>
      <c r="K73">
        <v>1</v>
      </c>
      <c r="L73">
        <v>0</v>
      </c>
      <c r="M73">
        <v>2</v>
      </c>
      <c r="N73">
        <v>0.36677421549390671</v>
      </c>
      <c r="O73">
        <v>-0.30900122730846308</v>
      </c>
      <c r="P73">
        <v>29038548.332060698</v>
      </c>
      <c r="Q73">
        <v>1983295.0476341981</v>
      </c>
      <c r="R73" t="s">
        <v>464</v>
      </c>
      <c r="S73" t="s">
        <v>465</v>
      </c>
      <c r="T73" t="s">
        <v>149</v>
      </c>
      <c r="U73">
        <v>21370</v>
      </c>
      <c r="V73">
        <v>15810</v>
      </c>
      <c r="W73">
        <v>5560</v>
      </c>
    </row>
    <row r="74" spans="1:23" x14ac:dyDescent="0.3">
      <c r="A74" t="s">
        <v>1088</v>
      </c>
      <c r="B74">
        <v>2022</v>
      </c>
      <c r="C74">
        <v>7.7933268777341027</v>
      </c>
      <c r="D74">
        <v>8990</v>
      </c>
      <c r="E74">
        <v>9746307.5666666664</v>
      </c>
      <c r="F74">
        <v>45</v>
      </c>
      <c r="G74">
        <v>453</v>
      </c>
      <c r="H74">
        <v>4.8520734390089998E-4</v>
      </c>
      <c r="I74">
        <v>13</v>
      </c>
      <c r="J74">
        <v>4.08163265306122E-2</v>
      </c>
      <c r="K74">
        <v>1</v>
      </c>
      <c r="L74">
        <v>0</v>
      </c>
      <c r="M74">
        <v>16</v>
      </c>
      <c r="N74">
        <v>0.41124509261419939</v>
      </c>
      <c r="O74">
        <v>-0.33110620103115651</v>
      </c>
      <c r="P74">
        <v>30647711.366911441</v>
      </c>
      <c r="Q74">
        <v>1877546.9217146609</v>
      </c>
      <c r="R74" t="s">
        <v>128</v>
      </c>
      <c r="S74" t="s">
        <v>129</v>
      </c>
      <c r="T74" t="s">
        <v>132</v>
      </c>
      <c r="U74">
        <v>8591</v>
      </c>
      <c r="V74">
        <v>5683</v>
      </c>
      <c r="W74">
        <v>2908</v>
      </c>
    </row>
    <row r="75" spans="1:23" x14ac:dyDescent="0.3">
      <c r="A75" t="s">
        <v>1089</v>
      </c>
      <c r="B75">
        <v>2022</v>
      </c>
      <c r="C75">
        <v>6.2614296192203218</v>
      </c>
      <c r="D75">
        <v>3782</v>
      </c>
      <c r="E75">
        <v>1885100.8011642159</v>
      </c>
      <c r="F75">
        <v>18</v>
      </c>
      <c r="G75">
        <v>182</v>
      </c>
      <c r="H75">
        <v>7.2858479247700004E-4</v>
      </c>
      <c r="I75">
        <v>16</v>
      </c>
      <c r="J75">
        <v>0</v>
      </c>
      <c r="K75">
        <v>0</v>
      </c>
      <c r="L75">
        <v>0</v>
      </c>
      <c r="M75">
        <v>8</v>
      </c>
      <c r="N75">
        <v>0.47098744195034131</v>
      </c>
      <c r="O75">
        <v>-0.34318467169652911</v>
      </c>
      <c r="P75">
        <v>26775142.877814028</v>
      </c>
      <c r="Q75">
        <v>1733860.0963078879</v>
      </c>
      <c r="R75" t="s">
        <v>128</v>
      </c>
      <c r="S75" t="s">
        <v>129</v>
      </c>
      <c r="T75" t="s">
        <v>120</v>
      </c>
      <c r="U75">
        <v>3614</v>
      </c>
      <c r="V75">
        <v>2288</v>
      </c>
      <c r="W75">
        <v>1326</v>
      </c>
    </row>
    <row r="76" spans="1:23" x14ac:dyDescent="0.3">
      <c r="A76" t="s">
        <v>1090</v>
      </c>
      <c r="B76">
        <v>2022</v>
      </c>
      <c r="C76">
        <v>2.5425710294281152</v>
      </c>
      <c r="D76">
        <v>9328</v>
      </c>
      <c r="E76">
        <v>5032109.4267769596</v>
      </c>
      <c r="F76">
        <v>8</v>
      </c>
      <c r="G76">
        <v>283</v>
      </c>
      <c r="H76">
        <v>2.969537255878E-4</v>
      </c>
      <c r="I76">
        <v>31</v>
      </c>
      <c r="J76">
        <v>0</v>
      </c>
      <c r="K76">
        <v>0</v>
      </c>
      <c r="L76">
        <v>0</v>
      </c>
      <c r="M76">
        <v>20</v>
      </c>
      <c r="N76">
        <v>0.60345829398304862</v>
      </c>
      <c r="O76">
        <v>-0.39150385152667538</v>
      </c>
      <c r="P76">
        <v>77597610.625594959</v>
      </c>
      <c r="Q76">
        <v>1714528.2543732871</v>
      </c>
      <c r="R76" t="s">
        <v>128</v>
      </c>
      <c r="S76" t="s">
        <v>129</v>
      </c>
      <c r="T76" t="s">
        <v>131</v>
      </c>
      <c r="U76">
        <v>8921</v>
      </c>
      <c r="V76">
        <v>6038</v>
      </c>
      <c r="W76">
        <v>2883</v>
      </c>
    </row>
    <row r="77" spans="1:23" x14ac:dyDescent="0.3">
      <c r="A77" t="s">
        <v>1091</v>
      </c>
      <c r="B77">
        <v>2022</v>
      </c>
      <c r="C77">
        <v>2.506061999059563</v>
      </c>
      <c r="D77">
        <v>10899</v>
      </c>
      <c r="E77">
        <v>8043268.3742034314</v>
      </c>
      <c r="F77">
        <v>11</v>
      </c>
      <c r="G77">
        <v>614</v>
      </c>
      <c r="H77">
        <v>1.17935080834E-4</v>
      </c>
      <c r="I77">
        <v>9</v>
      </c>
      <c r="J77">
        <v>0</v>
      </c>
      <c r="K77">
        <v>0</v>
      </c>
      <c r="L77">
        <v>0</v>
      </c>
      <c r="M77">
        <v>6</v>
      </c>
      <c r="N77">
        <v>0.38477928884031037</v>
      </c>
      <c r="O77">
        <v>-0.33186584145464421</v>
      </c>
      <c r="P77">
        <v>184759342.810873</v>
      </c>
      <c r="Q77">
        <v>1681299.3035915571</v>
      </c>
      <c r="R77" t="s">
        <v>23</v>
      </c>
      <c r="S77" t="s">
        <v>75</v>
      </c>
      <c r="T77" t="s">
        <v>75</v>
      </c>
      <c r="U77">
        <v>10406</v>
      </c>
      <c r="V77">
        <v>7891</v>
      </c>
      <c r="W77">
        <v>2515</v>
      </c>
    </row>
    <row r="78" spans="1:23" x14ac:dyDescent="0.3">
      <c r="A78" t="s">
        <v>1092</v>
      </c>
      <c r="B78">
        <v>2022</v>
      </c>
      <c r="C78">
        <v>1.8523647941962511</v>
      </c>
      <c r="D78">
        <v>2361</v>
      </c>
      <c r="E78">
        <v>631992.45159313723</v>
      </c>
      <c r="F78">
        <v>3</v>
      </c>
      <c r="G78">
        <v>122</v>
      </c>
      <c r="H78">
        <v>4.2688082605540001E-4</v>
      </c>
      <c r="I78">
        <v>4</v>
      </c>
      <c r="J78">
        <v>0</v>
      </c>
      <c r="K78">
        <v>0</v>
      </c>
      <c r="L78">
        <v>0</v>
      </c>
      <c r="M78">
        <v>3</v>
      </c>
      <c r="N78">
        <v>0.27356573577222082</v>
      </c>
      <c r="O78">
        <v>-0.24905465043005429</v>
      </c>
      <c r="P78">
        <v>42468218.748980649</v>
      </c>
      <c r="Q78">
        <v>1652803.2860778</v>
      </c>
      <c r="R78" t="s">
        <v>160</v>
      </c>
      <c r="S78" t="s">
        <v>101</v>
      </c>
      <c r="T78" t="s">
        <v>174</v>
      </c>
      <c r="U78">
        <v>2254</v>
      </c>
      <c r="V78">
        <v>1350</v>
      </c>
      <c r="W78">
        <v>904</v>
      </c>
    </row>
    <row r="79" spans="1:23" x14ac:dyDescent="0.3">
      <c r="A79" t="s">
        <v>1093</v>
      </c>
      <c r="B79">
        <v>2022</v>
      </c>
      <c r="C79">
        <v>5.4706115210228283</v>
      </c>
      <c r="D79">
        <v>4318</v>
      </c>
      <c r="E79">
        <v>2044691.788602941</v>
      </c>
      <c r="F79">
        <v>16</v>
      </c>
      <c r="G79">
        <v>167</v>
      </c>
      <c r="H79">
        <v>5.4239145322550002E-4</v>
      </c>
      <c r="I79">
        <v>9</v>
      </c>
      <c r="J79">
        <v>0.1555555555555555</v>
      </c>
      <c r="K79">
        <v>3</v>
      </c>
      <c r="L79">
        <v>0</v>
      </c>
      <c r="M79">
        <v>3</v>
      </c>
      <c r="N79">
        <v>0.37872808757584631</v>
      </c>
      <c r="O79">
        <v>-0.29678826700010708</v>
      </c>
      <c r="P79">
        <v>16514786.912249461</v>
      </c>
      <c r="Q79">
        <v>1619053.157664431</v>
      </c>
      <c r="R79" t="s">
        <v>195</v>
      </c>
      <c r="S79" t="s">
        <v>222</v>
      </c>
      <c r="T79" t="s">
        <v>227</v>
      </c>
      <c r="U79">
        <v>4075</v>
      </c>
      <c r="V79">
        <v>2316</v>
      </c>
      <c r="W79">
        <v>1759</v>
      </c>
    </row>
    <row r="80" spans="1:23" x14ac:dyDescent="0.3">
      <c r="A80" t="s">
        <v>1094</v>
      </c>
      <c r="B80">
        <v>2022</v>
      </c>
      <c r="C80">
        <v>5.1977843170390718</v>
      </c>
      <c r="D80">
        <v>8637</v>
      </c>
      <c r="E80">
        <v>4291615.9738970594</v>
      </c>
      <c r="F80">
        <v>16</v>
      </c>
      <c r="G80">
        <v>213</v>
      </c>
      <c r="H80">
        <v>7.0903608447530004E-4</v>
      </c>
      <c r="I80">
        <v>7</v>
      </c>
      <c r="J80">
        <v>0</v>
      </c>
      <c r="K80">
        <v>0</v>
      </c>
      <c r="L80">
        <v>0</v>
      </c>
      <c r="M80">
        <v>6</v>
      </c>
      <c r="N80">
        <v>0.37956512929508468</v>
      </c>
      <c r="O80">
        <v>-0.3138385311741072</v>
      </c>
      <c r="P80">
        <v>45602953.826002978</v>
      </c>
      <c r="Q80">
        <v>1614195.7713815919</v>
      </c>
      <c r="R80" t="s">
        <v>464</v>
      </c>
      <c r="S80" t="s">
        <v>477</v>
      </c>
      <c r="T80" t="s">
        <v>482</v>
      </c>
      <c r="U80">
        <v>8245</v>
      </c>
      <c r="V80">
        <v>4760</v>
      </c>
      <c r="W80">
        <v>3485</v>
      </c>
    </row>
    <row r="81" spans="1:23" x14ac:dyDescent="0.3">
      <c r="A81" t="s">
        <v>1095</v>
      </c>
      <c r="B81">
        <v>2022</v>
      </c>
      <c r="C81">
        <v>1.198583537667026</v>
      </c>
      <c r="D81">
        <v>1019</v>
      </c>
      <c r="E81">
        <v>545341.08719362749</v>
      </c>
      <c r="F81">
        <v>4</v>
      </c>
      <c r="G81">
        <v>92</v>
      </c>
      <c r="H81">
        <v>6.5103960445170002E-4</v>
      </c>
      <c r="I81">
        <v>8</v>
      </c>
      <c r="J81">
        <v>0</v>
      </c>
      <c r="K81">
        <v>0</v>
      </c>
      <c r="L81">
        <v>0</v>
      </c>
      <c r="M81">
        <v>0</v>
      </c>
      <c r="N81">
        <v>0.42573785027943117</v>
      </c>
      <c r="O81">
        <v>-0.38869808603134809</v>
      </c>
      <c r="P81">
        <v>96702544.099731818</v>
      </c>
      <c r="Q81">
        <v>1603623.2814615311</v>
      </c>
      <c r="R81" t="s">
        <v>503</v>
      </c>
      <c r="S81" t="s">
        <v>561</v>
      </c>
      <c r="T81" t="s">
        <v>563</v>
      </c>
      <c r="U81">
        <v>972</v>
      </c>
      <c r="V81">
        <v>248</v>
      </c>
      <c r="W81">
        <v>724</v>
      </c>
    </row>
    <row r="82" spans="1:23" x14ac:dyDescent="0.3">
      <c r="A82" t="s">
        <v>1096</v>
      </c>
      <c r="B82">
        <v>2022</v>
      </c>
      <c r="C82">
        <v>1.974968849809738</v>
      </c>
      <c r="D82">
        <v>4906</v>
      </c>
      <c r="E82">
        <v>397781.24528186268</v>
      </c>
      <c r="F82">
        <v>1</v>
      </c>
      <c r="G82">
        <v>98</v>
      </c>
      <c r="H82">
        <v>5.8169954243850002E-4</v>
      </c>
      <c r="I82">
        <v>2</v>
      </c>
      <c r="J82">
        <v>0</v>
      </c>
      <c r="K82">
        <v>0</v>
      </c>
      <c r="L82">
        <v>0</v>
      </c>
      <c r="M82">
        <v>1</v>
      </c>
      <c r="N82">
        <v>0.53099509930457345</v>
      </c>
      <c r="O82">
        <v>-0.36002999509350569</v>
      </c>
      <c r="P82">
        <v>35774223.717953414</v>
      </c>
      <c r="Q82">
        <v>1601315.875397892</v>
      </c>
      <c r="R82" t="s">
        <v>23</v>
      </c>
      <c r="S82" t="s">
        <v>50</v>
      </c>
      <c r="T82" t="s">
        <v>55</v>
      </c>
      <c r="U82">
        <v>4696</v>
      </c>
      <c r="V82">
        <v>1407</v>
      </c>
      <c r="W82">
        <v>3289</v>
      </c>
    </row>
    <row r="83" spans="1:23" x14ac:dyDescent="0.3">
      <c r="A83" t="s">
        <v>1097</v>
      </c>
      <c r="B83">
        <v>2022</v>
      </c>
      <c r="C83">
        <v>0.91633534384636095</v>
      </c>
      <c r="D83">
        <v>1162</v>
      </c>
      <c r="E83">
        <v>998323.5321078432</v>
      </c>
      <c r="F83">
        <v>5</v>
      </c>
      <c r="G83">
        <v>95</v>
      </c>
      <c r="H83">
        <v>4.7269959540109999E-4</v>
      </c>
      <c r="I83">
        <v>9</v>
      </c>
      <c r="J83">
        <v>0</v>
      </c>
      <c r="K83">
        <v>0</v>
      </c>
      <c r="L83">
        <v>0</v>
      </c>
      <c r="M83">
        <v>1</v>
      </c>
      <c r="N83">
        <v>0.49559679706844151</v>
      </c>
      <c r="O83">
        <v>-0.37373386001664022</v>
      </c>
      <c r="P83">
        <v>77699639.637299612</v>
      </c>
      <c r="Q83">
        <v>1574525.19288116</v>
      </c>
      <c r="R83" t="s">
        <v>503</v>
      </c>
      <c r="S83" t="s">
        <v>561</v>
      </c>
      <c r="T83" t="s">
        <v>566</v>
      </c>
      <c r="U83">
        <v>1110</v>
      </c>
      <c r="V83">
        <v>211</v>
      </c>
      <c r="W83">
        <v>899</v>
      </c>
    </row>
    <row r="84" spans="1:23" x14ac:dyDescent="0.3">
      <c r="A84" t="s">
        <v>1098</v>
      </c>
      <c r="B84">
        <v>2022</v>
      </c>
      <c r="C84">
        <v>0.99635045666023603</v>
      </c>
      <c r="D84">
        <v>21538</v>
      </c>
      <c r="E84">
        <v>3394763.1814338239</v>
      </c>
      <c r="F84">
        <v>1</v>
      </c>
      <c r="G84">
        <v>706</v>
      </c>
      <c r="H84">
        <v>3.333332845433E-4</v>
      </c>
      <c r="I84">
        <v>14</v>
      </c>
      <c r="J84">
        <v>8.0318662661616001E-3</v>
      </c>
      <c r="K84">
        <v>2</v>
      </c>
      <c r="L84">
        <v>0</v>
      </c>
      <c r="M84">
        <v>1</v>
      </c>
      <c r="N84">
        <v>0.27747533540136049</v>
      </c>
      <c r="O84">
        <v>-0.27832672589689827</v>
      </c>
      <c r="P84">
        <v>771024593.17299366</v>
      </c>
      <c r="Q84">
        <v>1570421.508995703</v>
      </c>
      <c r="R84" t="s">
        <v>944</v>
      </c>
      <c r="S84" t="s">
        <v>944</v>
      </c>
      <c r="T84" t="s">
        <v>1009</v>
      </c>
      <c r="U84">
        <v>20544</v>
      </c>
      <c r="V84">
        <v>10441</v>
      </c>
      <c r="W84">
        <v>10103</v>
      </c>
    </row>
    <row r="85" spans="1:23" x14ac:dyDescent="0.3">
      <c r="A85" t="s">
        <v>1099</v>
      </c>
      <c r="B85">
        <v>2022</v>
      </c>
      <c r="C85">
        <v>4.1397454302914589</v>
      </c>
      <c r="D85">
        <v>4925</v>
      </c>
      <c r="E85">
        <v>10311875.14963235</v>
      </c>
      <c r="F85">
        <v>56</v>
      </c>
      <c r="G85">
        <v>111</v>
      </c>
      <c r="H85">
        <v>1.4038769693273999E-3</v>
      </c>
      <c r="I85">
        <v>6</v>
      </c>
      <c r="J85">
        <v>0</v>
      </c>
      <c r="K85">
        <v>0</v>
      </c>
      <c r="L85">
        <v>0</v>
      </c>
      <c r="M85">
        <v>2</v>
      </c>
      <c r="N85">
        <v>0.34259315308809779</v>
      </c>
      <c r="O85">
        <v>-0.28198176463538371</v>
      </c>
      <c r="P85">
        <v>37882764.940535873</v>
      </c>
      <c r="Q85">
        <v>1547807.760276526</v>
      </c>
      <c r="R85" t="s">
        <v>656</v>
      </c>
      <c r="S85" t="s">
        <v>821</v>
      </c>
      <c r="T85" t="s">
        <v>470</v>
      </c>
      <c r="U85">
        <v>4689</v>
      </c>
      <c r="V85">
        <v>3073</v>
      </c>
      <c r="W85">
        <v>1616</v>
      </c>
    </row>
    <row r="86" spans="1:23" x14ac:dyDescent="0.3">
      <c r="A86" t="s">
        <v>1100</v>
      </c>
      <c r="B86">
        <v>2022</v>
      </c>
      <c r="C86">
        <v>5.8498380301395549</v>
      </c>
      <c r="D86">
        <v>3943</v>
      </c>
      <c r="E86">
        <v>308496.38909313717</v>
      </c>
      <c r="F86">
        <v>3</v>
      </c>
      <c r="G86">
        <v>111</v>
      </c>
      <c r="H86">
        <v>1.2398523985238999E-3</v>
      </c>
      <c r="I86">
        <v>9</v>
      </c>
      <c r="J86">
        <v>0</v>
      </c>
      <c r="K86">
        <v>0</v>
      </c>
      <c r="L86">
        <v>0</v>
      </c>
      <c r="M86">
        <v>1</v>
      </c>
      <c r="N86">
        <v>0.4281247714109912</v>
      </c>
      <c r="O86">
        <v>-0.25537424631712902</v>
      </c>
      <c r="P86">
        <v>39127489.416809529</v>
      </c>
      <c r="Q86">
        <v>1525618.3186049231</v>
      </c>
      <c r="R86" t="s">
        <v>410</v>
      </c>
      <c r="S86" t="s">
        <v>302</v>
      </c>
      <c r="T86" t="s">
        <v>431</v>
      </c>
      <c r="U86">
        <v>3761</v>
      </c>
      <c r="V86">
        <v>1132</v>
      </c>
      <c r="W86">
        <v>2629</v>
      </c>
    </row>
    <row r="87" spans="1:23" x14ac:dyDescent="0.3">
      <c r="A87" t="s">
        <v>1101</v>
      </c>
      <c r="B87">
        <v>2022</v>
      </c>
      <c r="C87">
        <v>6.398989844522907</v>
      </c>
      <c r="D87">
        <v>3551</v>
      </c>
      <c r="E87">
        <v>2828613.645833333</v>
      </c>
      <c r="F87">
        <v>34</v>
      </c>
      <c r="G87">
        <v>157</v>
      </c>
      <c r="H87">
        <v>3.4475609534059999E-4</v>
      </c>
      <c r="I87">
        <v>11</v>
      </c>
      <c r="J87">
        <v>0</v>
      </c>
      <c r="K87">
        <v>0</v>
      </c>
      <c r="L87">
        <v>0</v>
      </c>
      <c r="M87">
        <v>0</v>
      </c>
      <c r="N87">
        <v>0.50887666948724053</v>
      </c>
      <c r="O87">
        <v>-0.32951166991253328</v>
      </c>
      <c r="P87">
        <v>24540674.514061991</v>
      </c>
      <c r="Q87">
        <v>1499185.8129248109</v>
      </c>
      <c r="R87" t="s">
        <v>23</v>
      </c>
      <c r="S87" t="s">
        <v>63</v>
      </c>
      <c r="T87" t="s">
        <v>65</v>
      </c>
      <c r="U87">
        <v>3392</v>
      </c>
      <c r="V87">
        <v>2030</v>
      </c>
      <c r="W87">
        <v>1362</v>
      </c>
    </row>
    <row r="88" spans="1:23" x14ac:dyDescent="0.3">
      <c r="A88" t="s">
        <v>1102</v>
      </c>
      <c r="B88">
        <v>2022</v>
      </c>
      <c r="C88">
        <v>14.75400317620689</v>
      </c>
      <c r="D88">
        <v>38386</v>
      </c>
      <c r="E88">
        <v>9579240.8906862736</v>
      </c>
      <c r="F88">
        <v>25</v>
      </c>
      <c r="G88">
        <v>818</v>
      </c>
      <c r="H88">
        <v>5.3514228440339998E-4</v>
      </c>
      <c r="I88">
        <v>20</v>
      </c>
      <c r="J88">
        <v>3.6363636363636299E-2</v>
      </c>
      <c r="K88">
        <v>1</v>
      </c>
      <c r="L88">
        <v>0</v>
      </c>
      <c r="M88">
        <v>3</v>
      </c>
      <c r="N88">
        <v>7.8912960264562501E-2</v>
      </c>
      <c r="O88">
        <v>-0.1462930698740095</v>
      </c>
      <c r="P88">
        <v>35695700.753802359</v>
      </c>
      <c r="Q88">
        <v>1472746.8402733931</v>
      </c>
      <c r="R88" t="s">
        <v>944</v>
      </c>
      <c r="S88" t="s">
        <v>105</v>
      </c>
      <c r="T88" t="s">
        <v>1013</v>
      </c>
      <c r="U88">
        <v>36660</v>
      </c>
      <c r="V88">
        <v>19498</v>
      </c>
      <c r="W88">
        <v>17162</v>
      </c>
    </row>
    <row r="89" spans="1:23" x14ac:dyDescent="0.3">
      <c r="A89" t="s">
        <v>1103</v>
      </c>
      <c r="B89">
        <v>2022</v>
      </c>
      <c r="C89">
        <v>0.5900822306610588</v>
      </c>
      <c r="D89">
        <v>182</v>
      </c>
      <c r="E89">
        <v>87643.080882352951</v>
      </c>
      <c r="F89">
        <v>2</v>
      </c>
      <c r="G89">
        <v>33</v>
      </c>
      <c r="H89">
        <v>3.1595576619273002E-3</v>
      </c>
      <c r="I89">
        <v>3</v>
      </c>
      <c r="J89">
        <v>0</v>
      </c>
      <c r="K89">
        <v>0</v>
      </c>
      <c r="L89">
        <v>0</v>
      </c>
      <c r="M89">
        <v>0</v>
      </c>
      <c r="N89">
        <v>0.57633419595072399</v>
      </c>
      <c r="O89">
        <v>-0.21622021926962429</v>
      </c>
      <c r="P89">
        <v>243934452.9997668</v>
      </c>
      <c r="Q89">
        <v>1420786.392007319</v>
      </c>
      <c r="R89" t="s">
        <v>734</v>
      </c>
      <c r="S89" t="s">
        <v>747</v>
      </c>
      <c r="T89" t="s">
        <v>749</v>
      </c>
      <c r="U89">
        <v>174</v>
      </c>
      <c r="V89">
        <v>65</v>
      </c>
      <c r="W89">
        <v>109</v>
      </c>
    </row>
    <row r="90" spans="1:23" x14ac:dyDescent="0.3">
      <c r="A90" t="s">
        <v>1334</v>
      </c>
      <c r="B90">
        <v>2022</v>
      </c>
      <c r="C90">
        <v>7.2180076697126747</v>
      </c>
      <c r="D90">
        <v>11985</v>
      </c>
      <c r="E90">
        <v>496646.140625</v>
      </c>
      <c r="F90">
        <v>146</v>
      </c>
      <c r="G90">
        <v>453</v>
      </c>
      <c r="H90">
        <v>4.5753731728620002E-4</v>
      </c>
      <c r="I90">
        <v>30</v>
      </c>
      <c r="J90">
        <v>3.5690235690235599E-2</v>
      </c>
      <c r="K90">
        <v>2</v>
      </c>
      <c r="L90">
        <v>0</v>
      </c>
      <c r="M90">
        <v>4</v>
      </c>
      <c r="P90">
        <v>31572431.173402559</v>
      </c>
      <c r="Q90">
        <v>20486.770861776131</v>
      </c>
      <c r="R90" t="s">
        <v>656</v>
      </c>
      <c r="S90" t="s">
        <v>776</v>
      </c>
      <c r="T90" t="s">
        <v>788</v>
      </c>
      <c r="U90">
        <v>11436</v>
      </c>
      <c r="V90">
        <v>8278</v>
      </c>
      <c r="W90">
        <v>3158</v>
      </c>
    </row>
    <row r="91" spans="1:23" x14ac:dyDescent="0.3">
      <c r="A91" t="s">
        <v>1105</v>
      </c>
      <c r="B91">
        <v>2022</v>
      </c>
      <c r="C91">
        <v>0.67686622750580949</v>
      </c>
      <c r="D91">
        <v>4303</v>
      </c>
      <c r="E91">
        <v>3483975.0509803919</v>
      </c>
      <c r="F91">
        <v>4</v>
      </c>
      <c r="G91">
        <v>191</v>
      </c>
      <c r="H91">
        <v>2.2256228674329999E-4</v>
      </c>
      <c r="I91">
        <v>6</v>
      </c>
      <c r="J91">
        <v>0</v>
      </c>
      <c r="K91">
        <v>0</v>
      </c>
      <c r="L91">
        <v>0</v>
      </c>
      <c r="M91">
        <v>22</v>
      </c>
      <c r="N91">
        <v>0.39122663617682357</v>
      </c>
      <c r="O91">
        <v>-0.32431252166764862</v>
      </c>
      <c r="P91">
        <v>126041686.988334</v>
      </c>
      <c r="Q91">
        <v>1370081.9483392159</v>
      </c>
      <c r="R91" t="s">
        <v>195</v>
      </c>
      <c r="S91" t="s">
        <v>215</v>
      </c>
      <c r="T91" t="s">
        <v>217</v>
      </c>
      <c r="U91">
        <v>4109</v>
      </c>
      <c r="V91">
        <v>90</v>
      </c>
      <c r="W91">
        <v>4019</v>
      </c>
    </row>
    <row r="92" spans="1:23" x14ac:dyDescent="0.3">
      <c r="A92" t="s">
        <v>1106</v>
      </c>
      <c r="B92">
        <v>2022</v>
      </c>
      <c r="C92">
        <v>1.686300076827207</v>
      </c>
      <c r="D92">
        <v>2591</v>
      </c>
      <c r="E92">
        <v>1020545.138357843</v>
      </c>
      <c r="F92">
        <v>5</v>
      </c>
      <c r="G92">
        <v>110</v>
      </c>
      <c r="H92">
        <v>2.0371303763440001E-3</v>
      </c>
      <c r="I92">
        <v>3</v>
      </c>
      <c r="J92">
        <v>1.09820351679045E-2</v>
      </c>
      <c r="K92">
        <v>5</v>
      </c>
      <c r="L92">
        <v>0</v>
      </c>
      <c r="M92">
        <v>1</v>
      </c>
      <c r="N92">
        <v>0.62299647973197592</v>
      </c>
      <c r="O92">
        <v>-0.30867113605722302</v>
      </c>
      <c r="P92">
        <v>89609156.909708321</v>
      </c>
      <c r="Q92">
        <v>1328402.4278027511</v>
      </c>
      <c r="R92" t="s">
        <v>734</v>
      </c>
      <c r="S92" t="s">
        <v>752</v>
      </c>
      <c r="T92" t="s">
        <v>757</v>
      </c>
      <c r="U92">
        <v>2474</v>
      </c>
      <c r="V92">
        <v>1267</v>
      </c>
      <c r="W92">
        <v>1207</v>
      </c>
    </row>
    <row r="93" spans="1:23" x14ac:dyDescent="0.3">
      <c r="A93" t="s">
        <v>1107</v>
      </c>
      <c r="B93">
        <v>2022</v>
      </c>
      <c r="C93">
        <v>4.868919136958076</v>
      </c>
      <c r="D93">
        <v>1128</v>
      </c>
      <c r="E93">
        <v>293773.09754901961</v>
      </c>
      <c r="F93">
        <v>10</v>
      </c>
      <c r="G93">
        <v>56</v>
      </c>
      <c r="H93">
        <v>2.2675736961451001E-3</v>
      </c>
      <c r="I93">
        <v>7</v>
      </c>
      <c r="J93">
        <v>0</v>
      </c>
      <c r="K93">
        <v>0</v>
      </c>
      <c r="L93">
        <v>0</v>
      </c>
      <c r="M93">
        <v>1</v>
      </c>
      <c r="N93">
        <v>0.59159662315331574</v>
      </c>
      <c r="O93">
        <v>-0.38290352857378851</v>
      </c>
      <c r="P93">
        <v>6535497.8823005669</v>
      </c>
      <c r="Q93">
        <v>1268047.3905849941</v>
      </c>
      <c r="R93" t="s">
        <v>128</v>
      </c>
      <c r="S93" t="s">
        <v>137</v>
      </c>
      <c r="T93" t="s">
        <v>140</v>
      </c>
      <c r="U93">
        <v>1078</v>
      </c>
      <c r="V93">
        <v>377</v>
      </c>
      <c r="W93">
        <v>701</v>
      </c>
    </row>
    <row r="94" spans="1:23" x14ac:dyDescent="0.3">
      <c r="A94" t="s">
        <v>1108</v>
      </c>
      <c r="B94">
        <v>2022</v>
      </c>
      <c r="C94">
        <v>1.9317359860824941</v>
      </c>
      <c r="D94">
        <v>6430</v>
      </c>
      <c r="E94">
        <v>2461767.046629902</v>
      </c>
      <c r="F94">
        <v>6</v>
      </c>
      <c r="G94">
        <v>277</v>
      </c>
      <c r="H94">
        <v>5.0569141374140003E-4</v>
      </c>
      <c r="I94">
        <v>5</v>
      </c>
      <c r="J94">
        <v>0</v>
      </c>
      <c r="K94">
        <v>0</v>
      </c>
      <c r="L94">
        <v>0</v>
      </c>
      <c r="M94">
        <v>4</v>
      </c>
      <c r="N94">
        <v>0.27079568191001352</v>
      </c>
      <c r="O94">
        <v>-0.2753936531540398</v>
      </c>
      <c r="P94">
        <v>125942443.6147677</v>
      </c>
      <c r="Q94">
        <v>1232629.339898135</v>
      </c>
      <c r="R94" t="s">
        <v>464</v>
      </c>
      <c r="S94" t="s">
        <v>465</v>
      </c>
      <c r="T94" t="s">
        <v>467</v>
      </c>
      <c r="U94">
        <v>6142</v>
      </c>
      <c r="V94">
        <v>3892</v>
      </c>
      <c r="W94">
        <v>2250</v>
      </c>
    </row>
    <row r="95" spans="1:23" x14ac:dyDescent="0.3">
      <c r="A95" t="s">
        <v>1109</v>
      </c>
      <c r="B95">
        <v>2022</v>
      </c>
      <c r="C95">
        <v>13.253881790482099</v>
      </c>
      <c r="D95">
        <v>29425</v>
      </c>
      <c r="E95">
        <v>5043379.8027573526</v>
      </c>
      <c r="F95">
        <v>19</v>
      </c>
      <c r="G95">
        <v>470</v>
      </c>
      <c r="H95">
        <v>1.1618957288997999E-3</v>
      </c>
      <c r="I95">
        <v>7</v>
      </c>
      <c r="J95">
        <v>0</v>
      </c>
      <c r="K95">
        <v>0</v>
      </c>
      <c r="L95">
        <v>0</v>
      </c>
      <c r="M95">
        <v>8</v>
      </c>
      <c r="N95">
        <v>0.36783502878351271</v>
      </c>
      <c r="O95">
        <v>-0.32101547797176189</v>
      </c>
      <c r="P95">
        <v>22420950.076243792</v>
      </c>
      <c r="Q95">
        <v>1195624.1958637191</v>
      </c>
      <c r="R95" t="s">
        <v>464</v>
      </c>
      <c r="S95" t="s">
        <v>472</v>
      </c>
      <c r="T95" t="s">
        <v>473</v>
      </c>
      <c r="U95">
        <v>28066</v>
      </c>
      <c r="V95">
        <v>22981</v>
      </c>
      <c r="W95">
        <v>5085</v>
      </c>
    </row>
    <row r="96" spans="1:23" x14ac:dyDescent="0.3">
      <c r="A96" t="s">
        <v>1110</v>
      </c>
      <c r="B96">
        <v>2022</v>
      </c>
      <c r="C96">
        <v>1.6774922327016599</v>
      </c>
      <c r="D96">
        <v>22623</v>
      </c>
      <c r="E96">
        <v>3215039.7272671568</v>
      </c>
      <c r="F96">
        <v>2</v>
      </c>
      <c r="G96">
        <v>335</v>
      </c>
      <c r="H96">
        <v>3.4091843064930002E-4</v>
      </c>
      <c r="I96">
        <v>9</v>
      </c>
      <c r="J96">
        <v>0</v>
      </c>
      <c r="K96">
        <v>0</v>
      </c>
      <c r="L96">
        <v>0</v>
      </c>
      <c r="M96">
        <v>0</v>
      </c>
      <c r="N96">
        <v>0.44079350324722738</v>
      </c>
      <c r="O96">
        <v>-0.17115687084035761</v>
      </c>
      <c r="P96">
        <v>171144875.35615221</v>
      </c>
      <c r="Q96">
        <v>1191973.6927723819</v>
      </c>
      <c r="R96" t="s">
        <v>590</v>
      </c>
      <c r="S96" t="s">
        <v>595</v>
      </c>
      <c r="T96" t="s">
        <v>595</v>
      </c>
      <c r="U96">
        <v>21564</v>
      </c>
      <c r="V96">
        <v>5496</v>
      </c>
      <c r="W96">
        <v>16068</v>
      </c>
    </row>
    <row r="97" spans="1:23" x14ac:dyDescent="0.3">
      <c r="A97" t="s">
        <v>1111</v>
      </c>
      <c r="B97">
        <v>2022</v>
      </c>
      <c r="C97">
        <v>0.88506223812493146</v>
      </c>
      <c r="D97">
        <v>3527</v>
      </c>
      <c r="E97">
        <v>938718.44454656879</v>
      </c>
      <c r="F97">
        <v>2</v>
      </c>
      <c r="G97">
        <v>150</v>
      </c>
      <c r="H97">
        <v>9.2561410321089996E-4</v>
      </c>
      <c r="I97">
        <v>2</v>
      </c>
      <c r="J97">
        <v>0.66666666666666663</v>
      </c>
      <c r="K97">
        <v>1</v>
      </c>
      <c r="L97">
        <v>0</v>
      </c>
      <c r="M97">
        <v>1</v>
      </c>
      <c r="N97">
        <v>0.42605113617997947</v>
      </c>
      <c r="O97">
        <v>-0.12741699018793939</v>
      </c>
      <c r="P97">
        <v>287341123.16906089</v>
      </c>
      <c r="Q97">
        <v>1177805.8512893971</v>
      </c>
      <c r="R97" t="s">
        <v>678</v>
      </c>
      <c r="S97" t="s">
        <v>125</v>
      </c>
      <c r="T97" t="s">
        <v>706</v>
      </c>
      <c r="U97">
        <v>3358</v>
      </c>
      <c r="V97">
        <v>1975</v>
      </c>
      <c r="W97">
        <v>1383</v>
      </c>
    </row>
    <row r="98" spans="1:23" x14ac:dyDescent="0.3">
      <c r="A98" t="s">
        <v>1112</v>
      </c>
      <c r="B98">
        <v>2022</v>
      </c>
      <c r="C98">
        <v>0.84827329907151694</v>
      </c>
      <c r="D98">
        <v>1807</v>
      </c>
      <c r="E98">
        <v>495651.96875</v>
      </c>
      <c r="F98">
        <v>2</v>
      </c>
      <c r="G98">
        <v>64</v>
      </c>
      <c r="H98">
        <v>2.1579022468086002E-3</v>
      </c>
      <c r="I98">
        <v>5</v>
      </c>
      <c r="J98">
        <v>0</v>
      </c>
      <c r="K98">
        <v>0</v>
      </c>
      <c r="L98">
        <v>0</v>
      </c>
      <c r="M98">
        <v>0</v>
      </c>
      <c r="N98">
        <v>0.57172475604231132</v>
      </c>
      <c r="O98">
        <v>-0.23065114904045131</v>
      </c>
      <c r="P98">
        <v>127403104.0982175</v>
      </c>
      <c r="Q98">
        <v>1163387.7441141531</v>
      </c>
      <c r="R98" t="s">
        <v>878</v>
      </c>
      <c r="S98" t="s">
        <v>902</v>
      </c>
      <c r="T98" t="s">
        <v>904</v>
      </c>
      <c r="U98">
        <v>1724</v>
      </c>
      <c r="V98">
        <v>768</v>
      </c>
      <c r="W98">
        <v>956</v>
      </c>
    </row>
    <row r="99" spans="1:23" x14ac:dyDescent="0.3">
      <c r="A99" t="s">
        <v>1406</v>
      </c>
      <c r="B99">
        <v>2022</v>
      </c>
      <c r="C99">
        <v>9.4114939036594745</v>
      </c>
      <c r="D99">
        <v>45297</v>
      </c>
      <c r="E99">
        <v>5163149.6766544124</v>
      </c>
      <c r="F99">
        <v>2379</v>
      </c>
      <c r="G99">
        <v>909</v>
      </c>
      <c r="H99">
        <v>4.0894732118360001E-4</v>
      </c>
      <c r="I99">
        <v>27</v>
      </c>
      <c r="J99">
        <v>0.33333333333333331</v>
      </c>
      <c r="K99">
        <v>2</v>
      </c>
      <c r="L99">
        <v>0</v>
      </c>
      <c r="M99">
        <v>12</v>
      </c>
      <c r="P99">
        <v>56377558.010918632</v>
      </c>
      <c r="Q99">
        <v>4509.3027933823114</v>
      </c>
      <c r="R99" t="s">
        <v>656</v>
      </c>
      <c r="S99" t="s">
        <v>776</v>
      </c>
      <c r="T99" t="s">
        <v>779</v>
      </c>
      <c r="U99">
        <v>43150</v>
      </c>
      <c r="V99">
        <v>32488</v>
      </c>
      <c r="W99">
        <v>10662</v>
      </c>
    </row>
    <row r="100" spans="1:23" x14ac:dyDescent="0.3">
      <c r="A100" t="s">
        <v>1114</v>
      </c>
      <c r="B100">
        <v>2022</v>
      </c>
      <c r="C100">
        <v>11.251790366598501</v>
      </c>
      <c r="D100">
        <v>7242</v>
      </c>
      <c r="E100">
        <v>817035.22187500005</v>
      </c>
      <c r="F100">
        <v>11</v>
      </c>
      <c r="G100">
        <v>235</v>
      </c>
      <c r="H100">
        <v>2.020539620807E-3</v>
      </c>
      <c r="I100">
        <v>12</v>
      </c>
      <c r="J100">
        <v>0</v>
      </c>
      <c r="K100">
        <v>0</v>
      </c>
      <c r="L100">
        <v>0</v>
      </c>
      <c r="M100">
        <v>4</v>
      </c>
      <c r="N100">
        <v>0.31932828937218161</v>
      </c>
      <c r="O100">
        <v>-0.25599928896283891</v>
      </c>
      <c r="P100">
        <v>10131644.96673909</v>
      </c>
      <c r="Q100">
        <v>1154014.34042138</v>
      </c>
      <c r="R100" t="s">
        <v>464</v>
      </c>
      <c r="S100" t="s">
        <v>485</v>
      </c>
      <c r="T100" t="s">
        <v>486</v>
      </c>
      <c r="U100">
        <v>6913</v>
      </c>
      <c r="V100">
        <v>3583</v>
      </c>
      <c r="W100">
        <v>3330</v>
      </c>
    </row>
    <row r="101" spans="1:23" x14ac:dyDescent="0.3">
      <c r="A101" t="s">
        <v>1188</v>
      </c>
      <c r="B101">
        <v>2022</v>
      </c>
      <c r="C101">
        <v>16.183488412157629</v>
      </c>
      <c r="D101">
        <v>38625</v>
      </c>
      <c r="E101">
        <v>18210596.126286771</v>
      </c>
      <c r="F101">
        <v>315</v>
      </c>
      <c r="G101">
        <v>1168</v>
      </c>
      <c r="H101">
        <v>3.5066307522180001E-4</v>
      </c>
      <c r="I101">
        <v>22</v>
      </c>
      <c r="J101">
        <v>0</v>
      </c>
      <c r="K101">
        <v>0</v>
      </c>
      <c r="L101">
        <v>0</v>
      </c>
      <c r="M101">
        <v>11</v>
      </c>
      <c r="P101">
        <v>23720313.57290297</v>
      </c>
      <c r="Q101">
        <v>242224.0479895162</v>
      </c>
      <c r="R101" t="s">
        <v>656</v>
      </c>
      <c r="S101" t="s">
        <v>776</v>
      </c>
      <c r="T101" t="s">
        <v>799</v>
      </c>
      <c r="U101">
        <v>36749</v>
      </c>
      <c r="V101">
        <v>31877</v>
      </c>
      <c r="W101">
        <v>4872</v>
      </c>
    </row>
    <row r="102" spans="1:23" x14ac:dyDescent="0.3">
      <c r="A102" t="s">
        <v>1116</v>
      </c>
      <c r="B102">
        <v>2022</v>
      </c>
      <c r="C102">
        <v>4.2850521600282372</v>
      </c>
      <c r="D102">
        <v>18106</v>
      </c>
      <c r="E102">
        <v>10981029.82696078</v>
      </c>
      <c r="F102">
        <v>23</v>
      </c>
      <c r="G102">
        <v>449</v>
      </c>
      <c r="H102">
        <v>3.1135892236039999E-4</v>
      </c>
      <c r="I102">
        <v>13</v>
      </c>
      <c r="J102">
        <v>0</v>
      </c>
      <c r="K102">
        <v>0</v>
      </c>
      <c r="L102">
        <v>0</v>
      </c>
      <c r="M102">
        <v>2</v>
      </c>
      <c r="N102">
        <v>0.48165275022585308</v>
      </c>
      <c r="O102">
        <v>-0.39138211025852893</v>
      </c>
      <c r="P102">
        <v>76187341.005297109</v>
      </c>
      <c r="Q102">
        <v>1129922.9556225131</v>
      </c>
      <c r="R102" t="s">
        <v>128</v>
      </c>
      <c r="S102" t="s">
        <v>128</v>
      </c>
      <c r="T102" t="s">
        <v>128</v>
      </c>
      <c r="U102">
        <v>17183</v>
      </c>
      <c r="V102">
        <v>13086</v>
      </c>
      <c r="W102">
        <v>4097</v>
      </c>
    </row>
    <row r="103" spans="1:23" x14ac:dyDescent="0.3">
      <c r="A103" t="s">
        <v>1117</v>
      </c>
      <c r="B103">
        <v>2022</v>
      </c>
      <c r="C103">
        <v>1.6818590420920601</v>
      </c>
      <c r="D103">
        <v>11101</v>
      </c>
      <c r="E103">
        <v>1489862.375</v>
      </c>
      <c r="F103">
        <v>2</v>
      </c>
      <c r="G103">
        <v>215</v>
      </c>
      <c r="H103">
        <v>3.033126349267E-4</v>
      </c>
      <c r="I103">
        <v>9</v>
      </c>
      <c r="J103">
        <v>0</v>
      </c>
      <c r="K103">
        <v>0</v>
      </c>
      <c r="L103">
        <v>0</v>
      </c>
      <c r="M103">
        <v>5</v>
      </c>
      <c r="N103">
        <v>0.44338108859278458</v>
      </c>
      <c r="O103">
        <v>-0.27764700203818538</v>
      </c>
      <c r="P103">
        <v>92605695.418687493</v>
      </c>
      <c r="Q103">
        <v>1128609.362609901</v>
      </c>
      <c r="R103" t="s">
        <v>160</v>
      </c>
      <c r="S103" t="s">
        <v>161</v>
      </c>
      <c r="T103" t="s">
        <v>163</v>
      </c>
      <c r="U103">
        <v>10593</v>
      </c>
      <c r="V103">
        <v>5294</v>
      </c>
      <c r="W103">
        <v>5299</v>
      </c>
    </row>
    <row r="104" spans="1:23" x14ac:dyDescent="0.3">
      <c r="A104" t="s">
        <v>1118</v>
      </c>
      <c r="B104">
        <v>2022</v>
      </c>
      <c r="C104">
        <v>0.50291289718250587</v>
      </c>
      <c r="D104">
        <v>443</v>
      </c>
      <c r="E104">
        <v>496629.59375</v>
      </c>
      <c r="F104">
        <v>5</v>
      </c>
      <c r="G104">
        <v>4</v>
      </c>
      <c r="H104">
        <v>0.125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0.5745326195490531</v>
      </c>
      <c r="O104">
        <v>-0.18243151171734781</v>
      </c>
      <c r="P104">
        <v>849485573.50067782</v>
      </c>
      <c r="Q104">
        <v>1127591.0962500379</v>
      </c>
      <c r="R104" t="s">
        <v>963</v>
      </c>
      <c r="S104" t="s">
        <v>975</v>
      </c>
      <c r="T104" t="s">
        <v>980</v>
      </c>
      <c r="U104">
        <v>422</v>
      </c>
      <c r="V104">
        <v>61</v>
      </c>
      <c r="W104">
        <v>361</v>
      </c>
    </row>
    <row r="105" spans="1:23" x14ac:dyDescent="0.3">
      <c r="A105" t="s">
        <v>1119</v>
      </c>
      <c r="B105">
        <v>2022</v>
      </c>
      <c r="C105">
        <v>0.75207390119943873</v>
      </c>
      <c r="D105">
        <v>1716</v>
      </c>
      <c r="E105">
        <v>495559.765625</v>
      </c>
      <c r="F105">
        <v>2</v>
      </c>
      <c r="G105">
        <v>80</v>
      </c>
      <c r="H105">
        <v>3.8475271782420002E-4</v>
      </c>
      <c r="I105">
        <v>2</v>
      </c>
      <c r="J105">
        <v>0</v>
      </c>
      <c r="K105">
        <v>0</v>
      </c>
      <c r="L105">
        <v>0</v>
      </c>
      <c r="M105">
        <v>3</v>
      </c>
      <c r="N105">
        <v>0.46659628600702918</v>
      </c>
      <c r="O105">
        <v>-0.3160939301082491</v>
      </c>
      <c r="P105">
        <v>108628251.6965344</v>
      </c>
      <c r="Q105">
        <v>1085948.6194961341</v>
      </c>
      <c r="R105" t="s">
        <v>503</v>
      </c>
      <c r="S105" t="s">
        <v>503</v>
      </c>
      <c r="T105" t="s">
        <v>506</v>
      </c>
      <c r="U105">
        <v>1622</v>
      </c>
      <c r="V105">
        <v>752</v>
      </c>
      <c r="W105">
        <v>870</v>
      </c>
    </row>
    <row r="106" spans="1:23" x14ac:dyDescent="0.3">
      <c r="A106" t="s">
        <v>1120</v>
      </c>
      <c r="B106">
        <v>2022</v>
      </c>
      <c r="C106">
        <v>7.8459288258120568</v>
      </c>
      <c r="D106">
        <v>6301</v>
      </c>
      <c r="E106">
        <v>1127218.9616421571</v>
      </c>
      <c r="F106">
        <v>13</v>
      </c>
      <c r="G106">
        <v>145</v>
      </c>
      <c r="H106">
        <v>8.2532986741809999E-4</v>
      </c>
      <c r="I106">
        <v>5</v>
      </c>
      <c r="J106">
        <v>0</v>
      </c>
      <c r="K106">
        <v>0</v>
      </c>
      <c r="L106">
        <v>0</v>
      </c>
      <c r="M106">
        <v>3</v>
      </c>
      <c r="N106">
        <v>0.33199848778111613</v>
      </c>
      <c r="O106">
        <v>-0.37055919278718358</v>
      </c>
      <c r="P106">
        <v>14674615.99576026</v>
      </c>
      <c r="Q106">
        <v>1079691.836967286</v>
      </c>
      <c r="R106" t="s">
        <v>101</v>
      </c>
      <c r="S106" t="s">
        <v>113</v>
      </c>
      <c r="T106" t="s">
        <v>114</v>
      </c>
      <c r="U106">
        <v>6015</v>
      </c>
      <c r="V106">
        <v>4202</v>
      </c>
      <c r="W106">
        <v>1813</v>
      </c>
    </row>
    <row r="107" spans="1:23" x14ac:dyDescent="0.3">
      <c r="A107" t="s">
        <v>1121</v>
      </c>
      <c r="B107">
        <v>2022</v>
      </c>
      <c r="C107">
        <v>1.513541682245368</v>
      </c>
      <c r="D107">
        <v>3121</v>
      </c>
      <c r="E107">
        <v>1058946.872794118</v>
      </c>
      <c r="F107">
        <v>5</v>
      </c>
      <c r="G107">
        <v>204</v>
      </c>
      <c r="H107">
        <v>3.8563569065520003E-4</v>
      </c>
      <c r="I107">
        <v>9</v>
      </c>
      <c r="J107">
        <v>0</v>
      </c>
      <c r="K107">
        <v>0</v>
      </c>
      <c r="L107">
        <v>0</v>
      </c>
      <c r="M107">
        <v>6</v>
      </c>
      <c r="N107">
        <v>0.56346866500773662</v>
      </c>
      <c r="O107">
        <v>-0.37764555240408959</v>
      </c>
      <c r="P107">
        <v>120213890.75005411</v>
      </c>
      <c r="Q107">
        <v>1027081.2119559631</v>
      </c>
      <c r="R107" t="s">
        <v>23</v>
      </c>
      <c r="S107" t="s">
        <v>73</v>
      </c>
      <c r="T107" t="s">
        <v>73</v>
      </c>
      <c r="U107">
        <v>2985</v>
      </c>
      <c r="V107">
        <v>1936</v>
      </c>
      <c r="W107">
        <v>1049</v>
      </c>
    </row>
    <row r="108" spans="1:23" x14ac:dyDescent="0.3">
      <c r="A108" t="s">
        <v>1122</v>
      </c>
      <c r="B108">
        <v>2022</v>
      </c>
      <c r="C108">
        <v>3.392128393306304</v>
      </c>
      <c r="D108">
        <v>10784</v>
      </c>
      <c r="E108">
        <v>3722206.15625</v>
      </c>
      <c r="F108">
        <v>12</v>
      </c>
      <c r="G108">
        <v>324</v>
      </c>
      <c r="H108">
        <v>3.1539558858259997E-4</v>
      </c>
      <c r="I108">
        <v>6</v>
      </c>
      <c r="J108">
        <v>0</v>
      </c>
      <c r="K108">
        <v>0</v>
      </c>
      <c r="L108">
        <v>0</v>
      </c>
      <c r="M108">
        <v>0</v>
      </c>
      <c r="N108">
        <v>0.38605692295537852</v>
      </c>
      <c r="O108">
        <v>-0.31486935064806371</v>
      </c>
      <c r="P108">
        <v>53092715.861168183</v>
      </c>
      <c r="Q108">
        <v>975689.38460954104</v>
      </c>
      <c r="R108" t="s">
        <v>236</v>
      </c>
      <c r="S108" t="s">
        <v>248</v>
      </c>
      <c r="T108" t="s">
        <v>248</v>
      </c>
      <c r="U108">
        <v>10102</v>
      </c>
      <c r="V108">
        <v>5735</v>
      </c>
      <c r="W108">
        <v>4367</v>
      </c>
    </row>
    <row r="109" spans="1:23" x14ac:dyDescent="0.3">
      <c r="A109" t="s">
        <v>1123</v>
      </c>
      <c r="B109">
        <v>2022</v>
      </c>
      <c r="C109">
        <v>4.940534233041614</v>
      </c>
      <c r="D109">
        <v>12940</v>
      </c>
      <c r="E109">
        <v>7335642.8530024504</v>
      </c>
      <c r="F109">
        <v>30</v>
      </c>
      <c r="G109">
        <v>482</v>
      </c>
      <c r="H109">
        <v>2.3460252176889999E-4</v>
      </c>
      <c r="I109">
        <v>29</v>
      </c>
      <c r="J109">
        <v>0.1333333333333333</v>
      </c>
      <c r="K109">
        <v>1</v>
      </c>
      <c r="L109">
        <v>0</v>
      </c>
      <c r="M109">
        <v>6</v>
      </c>
      <c r="N109">
        <v>0.60615276227752479</v>
      </c>
      <c r="O109">
        <v>-0.38383428697768929</v>
      </c>
      <c r="P109">
        <v>59946403.568803944</v>
      </c>
      <c r="Q109">
        <v>933590.79434893501</v>
      </c>
      <c r="R109" t="s">
        <v>128</v>
      </c>
      <c r="S109" t="s">
        <v>137</v>
      </c>
      <c r="T109" t="s">
        <v>137</v>
      </c>
      <c r="U109">
        <v>12375</v>
      </c>
      <c r="V109">
        <v>7825</v>
      </c>
      <c r="W109">
        <v>4550</v>
      </c>
    </row>
    <row r="110" spans="1:23" x14ac:dyDescent="0.3">
      <c r="A110" t="s">
        <v>1124</v>
      </c>
      <c r="B110">
        <v>2022</v>
      </c>
      <c r="C110">
        <v>2.289243369595058</v>
      </c>
      <c r="D110">
        <v>1442</v>
      </c>
      <c r="E110">
        <v>578704.2323529413</v>
      </c>
      <c r="F110">
        <v>10</v>
      </c>
      <c r="G110">
        <v>64</v>
      </c>
      <c r="H110">
        <v>1.1737007928538999E-3</v>
      </c>
      <c r="I110">
        <v>10</v>
      </c>
      <c r="J110">
        <v>0</v>
      </c>
      <c r="K110">
        <v>0</v>
      </c>
      <c r="L110">
        <v>0</v>
      </c>
      <c r="M110">
        <v>0</v>
      </c>
      <c r="N110">
        <v>0.47487280010798488</v>
      </c>
      <c r="O110">
        <v>-0.262574750730868</v>
      </c>
      <c r="P110">
        <v>30609471.61896506</v>
      </c>
      <c r="Q110">
        <v>918720.40698375076</v>
      </c>
      <c r="R110" t="s">
        <v>23</v>
      </c>
      <c r="S110" t="s">
        <v>50</v>
      </c>
      <c r="T110" t="s">
        <v>54</v>
      </c>
      <c r="U110">
        <v>1380</v>
      </c>
      <c r="V110">
        <v>804</v>
      </c>
      <c r="W110">
        <v>576</v>
      </c>
    </row>
    <row r="111" spans="1:23" x14ac:dyDescent="0.3">
      <c r="A111" t="s">
        <v>1125</v>
      </c>
      <c r="B111">
        <v>2022</v>
      </c>
      <c r="C111">
        <v>1.8011395138739821</v>
      </c>
      <c r="D111">
        <v>2487</v>
      </c>
      <c r="E111">
        <v>993268.703125</v>
      </c>
      <c r="F111">
        <v>8</v>
      </c>
      <c r="G111">
        <v>116</v>
      </c>
      <c r="H111">
        <v>1.1090211447543001E-3</v>
      </c>
      <c r="I111">
        <v>7</v>
      </c>
      <c r="J111">
        <v>0</v>
      </c>
      <c r="K111">
        <v>0</v>
      </c>
      <c r="L111">
        <v>0</v>
      </c>
      <c r="M111">
        <v>3</v>
      </c>
      <c r="N111">
        <v>0.39225901006081831</v>
      </c>
      <c r="O111">
        <v>-0.31136607229491231</v>
      </c>
      <c r="P111">
        <v>76562607.72302264</v>
      </c>
      <c r="Q111">
        <v>899183.50879212038</v>
      </c>
      <c r="R111" t="s">
        <v>464</v>
      </c>
      <c r="S111" t="s">
        <v>465</v>
      </c>
      <c r="T111" t="s">
        <v>105</v>
      </c>
      <c r="U111">
        <v>2367</v>
      </c>
      <c r="V111">
        <v>1686</v>
      </c>
      <c r="W111">
        <v>681</v>
      </c>
    </row>
    <row r="112" spans="1:23" x14ac:dyDescent="0.3">
      <c r="A112" t="s">
        <v>1126</v>
      </c>
      <c r="B112">
        <v>2022</v>
      </c>
      <c r="C112">
        <v>8.252692561950397</v>
      </c>
      <c r="D112">
        <v>23331</v>
      </c>
      <c r="E112">
        <v>3971155.265625</v>
      </c>
      <c r="F112">
        <v>16</v>
      </c>
      <c r="G112">
        <v>254</v>
      </c>
      <c r="H112">
        <v>7.8807479275860002E-4</v>
      </c>
      <c r="I112">
        <v>8</v>
      </c>
      <c r="J112">
        <v>0</v>
      </c>
      <c r="K112">
        <v>0</v>
      </c>
      <c r="L112">
        <v>0</v>
      </c>
      <c r="M112">
        <v>2</v>
      </c>
      <c r="N112">
        <v>0.26713928432720069</v>
      </c>
      <c r="O112">
        <v>-0.25312834911869148</v>
      </c>
      <c r="P112">
        <v>71846739.981580824</v>
      </c>
      <c r="Q112">
        <v>877928.6015112293</v>
      </c>
      <c r="R112" t="s">
        <v>410</v>
      </c>
      <c r="S112" t="s">
        <v>458</v>
      </c>
      <c r="T112" t="s">
        <v>458</v>
      </c>
      <c r="U112">
        <v>22188</v>
      </c>
      <c r="V112">
        <v>9267</v>
      </c>
      <c r="W112">
        <v>12921</v>
      </c>
    </row>
    <row r="113" spans="1:23" x14ac:dyDescent="0.3">
      <c r="A113" t="s">
        <v>1127</v>
      </c>
      <c r="B113">
        <v>2022</v>
      </c>
      <c r="C113">
        <v>5.9200283946735563</v>
      </c>
      <c r="D113">
        <v>2801</v>
      </c>
      <c r="E113">
        <v>248325.625</v>
      </c>
      <c r="F113">
        <v>6</v>
      </c>
      <c r="G113">
        <v>86</v>
      </c>
      <c r="H113">
        <v>1.0548400803866E-3</v>
      </c>
      <c r="I113">
        <v>8</v>
      </c>
      <c r="J113">
        <v>0.33333333333333331</v>
      </c>
      <c r="K113">
        <v>1</v>
      </c>
      <c r="L113">
        <v>0</v>
      </c>
      <c r="M113">
        <v>0</v>
      </c>
      <c r="N113">
        <v>0.66123948269754418</v>
      </c>
      <c r="O113">
        <v>-0.29532344794277299</v>
      </c>
      <c r="P113">
        <v>498796479.2906372</v>
      </c>
      <c r="Q113">
        <v>874743.99091101834</v>
      </c>
      <c r="R113" t="s">
        <v>926</v>
      </c>
      <c r="S113" t="s">
        <v>939</v>
      </c>
      <c r="T113" t="s">
        <v>945</v>
      </c>
      <c r="U113">
        <v>2667</v>
      </c>
      <c r="V113">
        <v>307</v>
      </c>
      <c r="W113">
        <v>2360</v>
      </c>
    </row>
    <row r="114" spans="1:23" x14ac:dyDescent="0.3">
      <c r="A114" t="s">
        <v>1128</v>
      </c>
      <c r="B114">
        <v>2022</v>
      </c>
      <c r="C114">
        <v>26.025714569778401</v>
      </c>
      <c r="D114">
        <v>27236</v>
      </c>
      <c r="E114">
        <v>5711429.796875</v>
      </c>
      <c r="F114">
        <v>64</v>
      </c>
      <c r="G114">
        <v>711</v>
      </c>
      <c r="H114">
        <v>5.8843930341020002E-4</v>
      </c>
      <c r="I114">
        <v>13</v>
      </c>
      <c r="J114">
        <v>1.2651864264767399E-2</v>
      </c>
      <c r="K114">
        <v>4</v>
      </c>
      <c r="L114">
        <v>0</v>
      </c>
      <c r="M114">
        <v>9</v>
      </c>
      <c r="N114">
        <v>0.55820738834784522</v>
      </c>
      <c r="O114">
        <v>-0.2927019614786715</v>
      </c>
      <c r="P114">
        <v>191325549.84620291</v>
      </c>
      <c r="Q114">
        <v>852754.86533675657</v>
      </c>
      <c r="R114" t="s">
        <v>963</v>
      </c>
      <c r="S114" t="s">
        <v>981</v>
      </c>
      <c r="T114" t="s">
        <v>981</v>
      </c>
      <c r="U114">
        <v>25968</v>
      </c>
      <c r="V114">
        <v>8323</v>
      </c>
      <c r="W114">
        <v>17645</v>
      </c>
    </row>
    <row r="115" spans="1:23" x14ac:dyDescent="0.3">
      <c r="A115" t="s">
        <v>1129</v>
      </c>
      <c r="B115">
        <v>2022</v>
      </c>
      <c r="C115">
        <v>0.75816464102605263</v>
      </c>
      <c r="D115">
        <v>3822</v>
      </c>
      <c r="E115">
        <v>1241338.640625</v>
      </c>
      <c r="F115">
        <v>3</v>
      </c>
      <c r="G115">
        <v>170</v>
      </c>
      <c r="H115">
        <v>8.851557848114E-4</v>
      </c>
      <c r="I115">
        <v>3</v>
      </c>
      <c r="J115">
        <v>3.5714285714285698E-2</v>
      </c>
      <c r="K115">
        <v>1</v>
      </c>
      <c r="L115">
        <v>0</v>
      </c>
      <c r="M115">
        <v>5</v>
      </c>
      <c r="N115">
        <v>0.70830227269726398</v>
      </c>
      <c r="O115">
        <v>-0.30441436734359961</v>
      </c>
      <c r="P115">
        <v>243443063.40325409</v>
      </c>
      <c r="Q115">
        <v>820808.53380535613</v>
      </c>
      <c r="R115" t="s">
        <v>760</v>
      </c>
      <c r="S115" t="s">
        <v>773</v>
      </c>
      <c r="T115" t="s">
        <v>773</v>
      </c>
      <c r="U115">
        <v>3642</v>
      </c>
      <c r="V115">
        <v>1898</v>
      </c>
      <c r="W115">
        <v>1744</v>
      </c>
    </row>
    <row r="116" spans="1:23" x14ac:dyDescent="0.3">
      <c r="A116" t="s">
        <v>1130</v>
      </c>
      <c r="B116">
        <v>2022</v>
      </c>
      <c r="C116">
        <v>27.94598435340972</v>
      </c>
      <c r="D116">
        <v>36598</v>
      </c>
      <c r="E116">
        <v>13991572.75116422</v>
      </c>
      <c r="F116">
        <v>132</v>
      </c>
      <c r="G116">
        <v>793</v>
      </c>
      <c r="H116">
        <v>9.4865080774009995E-4</v>
      </c>
      <c r="I116">
        <v>6</v>
      </c>
      <c r="J116">
        <v>0.1111111111111111</v>
      </c>
      <c r="K116">
        <v>5</v>
      </c>
      <c r="L116">
        <v>0</v>
      </c>
      <c r="M116">
        <v>8</v>
      </c>
      <c r="N116">
        <v>1.8730404506421501E-2</v>
      </c>
      <c r="O116">
        <v>-8.1028648066845996E-2</v>
      </c>
      <c r="P116">
        <v>17124925.87614895</v>
      </c>
      <c r="Q116">
        <v>809384.08868101123</v>
      </c>
      <c r="R116" t="s">
        <v>944</v>
      </c>
      <c r="S116" t="s">
        <v>105</v>
      </c>
      <c r="T116" t="s">
        <v>105</v>
      </c>
      <c r="U116">
        <v>35048</v>
      </c>
      <c r="V116">
        <v>22347</v>
      </c>
      <c r="W116">
        <v>12701</v>
      </c>
    </row>
    <row r="117" spans="1:23" x14ac:dyDescent="0.3">
      <c r="A117" t="s">
        <v>1131</v>
      </c>
      <c r="B117">
        <v>2022</v>
      </c>
      <c r="C117">
        <v>0.67432476881311454</v>
      </c>
      <c r="D117">
        <v>2243</v>
      </c>
      <c r="E117">
        <v>495756.34375</v>
      </c>
      <c r="F117">
        <v>2</v>
      </c>
      <c r="G117">
        <v>96</v>
      </c>
      <c r="H117">
        <v>3.2288586952700001E-4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0.48481438333079407</v>
      </c>
      <c r="O117">
        <v>-0.33276776411048409</v>
      </c>
      <c r="P117">
        <v>181284461.5066494</v>
      </c>
      <c r="Q117">
        <v>745209.05458505056</v>
      </c>
      <c r="R117" t="s">
        <v>503</v>
      </c>
      <c r="S117" t="s">
        <v>561</v>
      </c>
      <c r="T117" t="s">
        <v>565</v>
      </c>
      <c r="U117">
        <v>2142</v>
      </c>
      <c r="V117">
        <v>635</v>
      </c>
      <c r="W117">
        <v>1507</v>
      </c>
    </row>
    <row r="118" spans="1:23" x14ac:dyDescent="0.3">
      <c r="A118" t="s">
        <v>1132</v>
      </c>
      <c r="B118">
        <v>2022</v>
      </c>
      <c r="C118">
        <v>0.97951838026564297</v>
      </c>
      <c r="D118">
        <v>694</v>
      </c>
      <c r="E118">
        <v>52529.12205882353</v>
      </c>
      <c r="F118">
        <v>1</v>
      </c>
      <c r="G118">
        <v>53</v>
      </c>
      <c r="H118">
        <v>1.6233174516389001E-3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0.48513553862093989</v>
      </c>
      <c r="O118">
        <v>-0.1461597836932983</v>
      </c>
      <c r="P118">
        <v>101112437.51520351</v>
      </c>
      <c r="Q118">
        <v>741401.16074690316</v>
      </c>
      <c r="R118" t="s">
        <v>678</v>
      </c>
      <c r="S118" t="s">
        <v>125</v>
      </c>
      <c r="T118" t="s">
        <v>708</v>
      </c>
      <c r="U118">
        <v>663</v>
      </c>
      <c r="V118">
        <v>227</v>
      </c>
      <c r="W118">
        <v>436</v>
      </c>
    </row>
    <row r="119" spans="1:23" x14ac:dyDescent="0.3">
      <c r="A119" t="s">
        <v>1133</v>
      </c>
      <c r="B119">
        <v>2022</v>
      </c>
      <c r="C119">
        <v>4.9497679313269778</v>
      </c>
      <c r="D119">
        <v>19058</v>
      </c>
      <c r="E119">
        <v>1401251.1904411761</v>
      </c>
      <c r="F119">
        <v>5</v>
      </c>
      <c r="G119">
        <v>303</v>
      </c>
      <c r="H119">
        <v>9.2579962028789997E-4</v>
      </c>
      <c r="I119">
        <v>11</v>
      </c>
      <c r="J119">
        <v>0</v>
      </c>
      <c r="K119">
        <v>0</v>
      </c>
      <c r="L119">
        <v>0</v>
      </c>
      <c r="M119">
        <v>1</v>
      </c>
      <c r="N119">
        <v>0.4035942438975661</v>
      </c>
      <c r="O119">
        <v>-0.2285852572900825</v>
      </c>
      <c r="P119">
        <v>51738962.560907677</v>
      </c>
      <c r="Q119">
        <v>727869.47278617765</v>
      </c>
      <c r="R119" t="s">
        <v>410</v>
      </c>
      <c r="S119" t="s">
        <v>450</v>
      </c>
      <c r="T119" t="s">
        <v>453</v>
      </c>
      <c r="U119">
        <v>18180</v>
      </c>
      <c r="V119">
        <v>8924</v>
      </c>
      <c r="W119">
        <v>9256</v>
      </c>
    </row>
    <row r="120" spans="1:23" x14ac:dyDescent="0.3">
      <c r="A120" t="s">
        <v>1134</v>
      </c>
      <c r="B120">
        <v>2022</v>
      </c>
      <c r="C120">
        <v>2.314787993473375</v>
      </c>
      <c r="D120">
        <v>2808</v>
      </c>
      <c r="E120">
        <v>437553.3703431373</v>
      </c>
      <c r="F120">
        <v>5</v>
      </c>
      <c r="G120">
        <v>231</v>
      </c>
      <c r="H120">
        <v>3.1452961642929999E-4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0.56760496365746149</v>
      </c>
      <c r="O120">
        <v>-0.36885299309645048</v>
      </c>
      <c r="P120">
        <v>53500496.612351149</v>
      </c>
      <c r="Q120">
        <v>721398.35340035835</v>
      </c>
      <c r="R120" t="s">
        <v>23</v>
      </c>
      <c r="S120" t="s">
        <v>47</v>
      </c>
      <c r="T120" t="s">
        <v>48</v>
      </c>
      <c r="U120">
        <v>2681</v>
      </c>
      <c r="V120">
        <v>1969</v>
      </c>
      <c r="W120">
        <v>712</v>
      </c>
    </row>
    <row r="121" spans="1:23" x14ac:dyDescent="0.3">
      <c r="A121" t="s">
        <v>1135</v>
      </c>
      <c r="B121">
        <v>2022</v>
      </c>
      <c r="C121">
        <v>1.9377961798011041</v>
      </c>
      <c r="D121">
        <v>7413</v>
      </c>
      <c r="E121">
        <v>2731433.3125</v>
      </c>
      <c r="F121">
        <v>10</v>
      </c>
      <c r="G121">
        <v>255</v>
      </c>
      <c r="H121">
        <v>5.5095602719229997E-4</v>
      </c>
      <c r="I121">
        <v>17</v>
      </c>
      <c r="J121">
        <v>0</v>
      </c>
      <c r="K121">
        <v>0</v>
      </c>
      <c r="L121">
        <v>0</v>
      </c>
      <c r="M121">
        <v>6</v>
      </c>
      <c r="N121">
        <v>0.50236264812664044</v>
      </c>
      <c r="O121">
        <v>-0.37796099608390299</v>
      </c>
      <c r="P121">
        <v>114236110.3673362</v>
      </c>
      <c r="Q121">
        <v>714010.66212653113</v>
      </c>
      <c r="R121" t="s">
        <v>160</v>
      </c>
      <c r="S121" t="s">
        <v>176</v>
      </c>
      <c r="T121" t="s">
        <v>177</v>
      </c>
      <c r="U121">
        <v>7075</v>
      </c>
      <c r="V121">
        <v>4809</v>
      </c>
      <c r="W121">
        <v>2266</v>
      </c>
    </row>
    <row r="122" spans="1:23" x14ac:dyDescent="0.3">
      <c r="A122" t="s">
        <v>1136</v>
      </c>
      <c r="B122">
        <v>2022</v>
      </c>
      <c r="C122">
        <v>3.6546354223391928</v>
      </c>
      <c r="D122">
        <v>2631</v>
      </c>
      <c r="E122">
        <v>1228527.481801471</v>
      </c>
      <c r="F122">
        <v>25</v>
      </c>
      <c r="G122">
        <v>116</v>
      </c>
      <c r="H122">
        <v>8.1765577855520005E-4</v>
      </c>
      <c r="I122">
        <v>14</v>
      </c>
      <c r="J122">
        <v>0</v>
      </c>
      <c r="K122">
        <v>0</v>
      </c>
      <c r="L122">
        <v>0</v>
      </c>
      <c r="M122">
        <v>1</v>
      </c>
      <c r="N122">
        <v>0.60277123857967296</v>
      </c>
      <c r="O122">
        <v>-0.37586560578324257</v>
      </c>
      <c r="P122">
        <v>20940358.185414221</v>
      </c>
      <c r="Q122">
        <v>682602.82057146681</v>
      </c>
      <c r="R122" t="s">
        <v>23</v>
      </c>
      <c r="S122" t="s">
        <v>24</v>
      </c>
      <c r="T122" t="s">
        <v>34</v>
      </c>
      <c r="U122">
        <v>2516</v>
      </c>
      <c r="V122">
        <v>1552</v>
      </c>
      <c r="W122">
        <v>964</v>
      </c>
    </row>
    <row r="123" spans="1:23" x14ac:dyDescent="0.3">
      <c r="A123" t="s">
        <v>1312</v>
      </c>
      <c r="B123">
        <v>2022</v>
      </c>
      <c r="C123">
        <v>1.493780886381459</v>
      </c>
      <c r="D123">
        <v>5200</v>
      </c>
      <c r="E123">
        <v>2085941.8062499999</v>
      </c>
      <c r="F123">
        <v>195</v>
      </c>
      <c r="G123">
        <v>279</v>
      </c>
      <c r="H123">
        <v>2.1614180624950001E-4</v>
      </c>
      <c r="I123">
        <v>19</v>
      </c>
      <c r="J123">
        <v>0</v>
      </c>
      <c r="K123">
        <v>0</v>
      </c>
      <c r="L123">
        <v>0</v>
      </c>
      <c r="M123">
        <v>5</v>
      </c>
      <c r="P123">
        <v>189671236.37262151</v>
      </c>
      <c r="Q123">
        <v>30729.191324262971</v>
      </c>
      <c r="R123" t="s">
        <v>656</v>
      </c>
      <c r="S123" t="s">
        <v>776</v>
      </c>
      <c r="T123" t="s">
        <v>780</v>
      </c>
      <c r="U123">
        <v>4963</v>
      </c>
      <c r="V123">
        <v>3554</v>
      </c>
      <c r="W123">
        <v>1409</v>
      </c>
    </row>
    <row r="124" spans="1:23" x14ac:dyDescent="0.3">
      <c r="A124" t="s">
        <v>1138</v>
      </c>
      <c r="B124">
        <v>2022</v>
      </c>
      <c r="C124">
        <v>1.04434447909058</v>
      </c>
      <c r="D124">
        <v>2648</v>
      </c>
      <c r="E124">
        <v>337792.17126225488</v>
      </c>
      <c r="F124">
        <v>2</v>
      </c>
      <c r="G124">
        <v>89</v>
      </c>
      <c r="H124">
        <v>5.0876134663259995E-4</v>
      </c>
      <c r="I124">
        <v>4</v>
      </c>
      <c r="J124">
        <v>0</v>
      </c>
      <c r="K124">
        <v>0</v>
      </c>
      <c r="L124">
        <v>0</v>
      </c>
      <c r="M124">
        <v>13</v>
      </c>
      <c r="N124">
        <v>0.49880531535199779</v>
      </c>
      <c r="O124">
        <v>-0.308134154999607</v>
      </c>
      <c r="P124">
        <v>83279343.071894914</v>
      </c>
      <c r="Q124">
        <v>666109.11846252973</v>
      </c>
      <c r="R124" t="s">
        <v>101</v>
      </c>
      <c r="S124" t="s">
        <v>102</v>
      </c>
      <c r="T124" t="s">
        <v>104</v>
      </c>
      <c r="U124">
        <v>2527</v>
      </c>
      <c r="V124">
        <v>143</v>
      </c>
      <c r="W124">
        <v>2384</v>
      </c>
    </row>
    <row r="125" spans="1:23" x14ac:dyDescent="0.3">
      <c r="A125" t="s">
        <v>1139</v>
      </c>
      <c r="B125">
        <v>2022</v>
      </c>
      <c r="C125">
        <v>3.477368556894048</v>
      </c>
      <c r="D125">
        <v>1833</v>
      </c>
      <c r="E125">
        <v>67187.868933823527</v>
      </c>
      <c r="F125">
        <v>2</v>
      </c>
      <c r="G125">
        <v>58</v>
      </c>
      <c r="H125">
        <v>1.0712153518122999E-3</v>
      </c>
      <c r="I125">
        <v>7</v>
      </c>
      <c r="J125">
        <v>0</v>
      </c>
      <c r="K125">
        <v>0</v>
      </c>
      <c r="L125">
        <v>0</v>
      </c>
      <c r="M125">
        <v>1</v>
      </c>
      <c r="N125">
        <v>0.41863521490544298</v>
      </c>
      <c r="O125">
        <v>-0.29327576903822727</v>
      </c>
      <c r="P125">
        <v>39918328.212049998</v>
      </c>
      <c r="Q125">
        <v>637307.64548607846</v>
      </c>
      <c r="R125" t="s">
        <v>160</v>
      </c>
      <c r="S125" t="s">
        <v>161</v>
      </c>
      <c r="T125" t="s">
        <v>168</v>
      </c>
      <c r="U125">
        <v>1769</v>
      </c>
      <c r="V125">
        <v>578</v>
      </c>
      <c r="W125">
        <v>1191</v>
      </c>
    </row>
    <row r="126" spans="1:23" x14ac:dyDescent="0.3">
      <c r="A126" t="s">
        <v>1140</v>
      </c>
      <c r="B126">
        <v>2022</v>
      </c>
      <c r="C126">
        <v>1.8049903721932219</v>
      </c>
      <c r="D126">
        <v>2857</v>
      </c>
      <c r="E126">
        <v>1982727.3794117649</v>
      </c>
      <c r="F126">
        <v>20</v>
      </c>
      <c r="G126">
        <v>82</v>
      </c>
      <c r="H126">
        <v>8.8731109748230001E-4</v>
      </c>
      <c r="I126">
        <v>11</v>
      </c>
      <c r="J126">
        <v>0</v>
      </c>
      <c r="K126">
        <v>0</v>
      </c>
      <c r="L126">
        <v>0</v>
      </c>
      <c r="M126">
        <v>0</v>
      </c>
      <c r="N126">
        <v>0.39386403052026059</v>
      </c>
      <c r="O126">
        <v>-0.33582294529331169</v>
      </c>
      <c r="P126">
        <v>44526706.593909927</v>
      </c>
      <c r="Q126">
        <v>626321.98644069524</v>
      </c>
      <c r="R126" t="s">
        <v>236</v>
      </c>
      <c r="S126" t="s">
        <v>237</v>
      </c>
      <c r="T126" t="s">
        <v>241</v>
      </c>
      <c r="U126">
        <v>2731</v>
      </c>
      <c r="V126">
        <v>126</v>
      </c>
      <c r="W126">
        <v>2605</v>
      </c>
    </row>
    <row r="127" spans="1:23" x14ac:dyDescent="0.3">
      <c r="A127" t="s">
        <v>1141</v>
      </c>
      <c r="B127">
        <v>2022</v>
      </c>
      <c r="C127">
        <v>1.783463090798568</v>
      </c>
      <c r="D127">
        <v>15066</v>
      </c>
      <c r="E127">
        <v>34029732.617034309</v>
      </c>
      <c r="F127">
        <v>65</v>
      </c>
      <c r="G127">
        <v>578</v>
      </c>
      <c r="H127">
        <v>1.5126698804930001E-4</v>
      </c>
      <c r="I127">
        <v>22</v>
      </c>
      <c r="J127">
        <v>0</v>
      </c>
      <c r="K127">
        <v>0</v>
      </c>
      <c r="L127">
        <v>0</v>
      </c>
      <c r="M127">
        <v>0</v>
      </c>
      <c r="N127">
        <v>0.45249074495450492</v>
      </c>
      <c r="O127">
        <v>-0.38408934049433319</v>
      </c>
      <c r="P127">
        <v>219885547.920333</v>
      </c>
      <c r="Q127">
        <v>619742.59016455628</v>
      </c>
      <c r="R127" t="s">
        <v>236</v>
      </c>
      <c r="S127" t="s">
        <v>258</v>
      </c>
      <c r="T127" t="s">
        <v>259</v>
      </c>
      <c r="U127">
        <v>14387</v>
      </c>
      <c r="V127">
        <v>4606</v>
      </c>
      <c r="W127">
        <v>9781</v>
      </c>
    </row>
    <row r="128" spans="1:23" x14ac:dyDescent="0.3">
      <c r="A128" t="s">
        <v>1142</v>
      </c>
      <c r="B128">
        <v>2022</v>
      </c>
      <c r="C128">
        <v>1.3483665033950101</v>
      </c>
      <c r="D128">
        <v>40268</v>
      </c>
      <c r="E128">
        <v>3698736.2879901961</v>
      </c>
      <c r="F128">
        <v>2</v>
      </c>
      <c r="G128">
        <v>416</v>
      </c>
      <c r="H128">
        <v>2.4350915609369999E-4</v>
      </c>
      <c r="I128">
        <v>8</v>
      </c>
      <c r="J128">
        <v>0</v>
      </c>
      <c r="K128">
        <v>0</v>
      </c>
      <c r="L128">
        <v>0</v>
      </c>
      <c r="M128">
        <v>20</v>
      </c>
      <c r="N128">
        <v>0.30014298465672851</v>
      </c>
      <c r="O128">
        <v>-0.3106947232176801</v>
      </c>
      <c r="P128">
        <v>520179189.54845822</v>
      </c>
      <c r="Q128">
        <v>619257.4892740614</v>
      </c>
      <c r="R128" t="s">
        <v>410</v>
      </c>
      <c r="S128" t="s">
        <v>440</v>
      </c>
      <c r="T128" t="s">
        <v>440</v>
      </c>
      <c r="U128">
        <v>38306</v>
      </c>
      <c r="V128">
        <v>12653</v>
      </c>
      <c r="W128">
        <v>25653</v>
      </c>
    </row>
    <row r="129" spans="1:23" x14ac:dyDescent="0.3">
      <c r="A129" t="s">
        <v>1143</v>
      </c>
      <c r="B129">
        <v>2022</v>
      </c>
      <c r="C129">
        <v>1.630928719253526</v>
      </c>
      <c r="D129">
        <v>8862</v>
      </c>
      <c r="E129">
        <v>1665232.7466299019</v>
      </c>
      <c r="F129">
        <v>5</v>
      </c>
      <c r="G129">
        <v>220</v>
      </c>
      <c r="H129">
        <v>2.8591239951850003E-4</v>
      </c>
      <c r="I129">
        <v>11</v>
      </c>
      <c r="J129">
        <v>0</v>
      </c>
      <c r="K129">
        <v>0</v>
      </c>
      <c r="L129">
        <v>0</v>
      </c>
      <c r="M129">
        <v>2</v>
      </c>
      <c r="N129">
        <v>0.4316533138167471</v>
      </c>
      <c r="O129">
        <v>-0.30520507124718987</v>
      </c>
      <c r="P129">
        <v>165127451.38143101</v>
      </c>
      <c r="Q129">
        <v>612926.18161140557</v>
      </c>
      <c r="R129" t="s">
        <v>464</v>
      </c>
      <c r="S129" t="s">
        <v>485</v>
      </c>
      <c r="T129" t="s">
        <v>490</v>
      </c>
      <c r="U129">
        <v>8435</v>
      </c>
      <c r="V129">
        <v>2897</v>
      </c>
      <c r="W129">
        <v>5538</v>
      </c>
    </row>
    <row r="130" spans="1:23" x14ac:dyDescent="0.3">
      <c r="A130" t="s">
        <v>1144</v>
      </c>
      <c r="B130">
        <v>2022</v>
      </c>
      <c r="C130">
        <v>5.6376269247302968</v>
      </c>
      <c r="D130">
        <v>17488</v>
      </c>
      <c r="E130">
        <v>1489090.03125</v>
      </c>
      <c r="F130">
        <v>8</v>
      </c>
      <c r="G130">
        <v>338</v>
      </c>
      <c r="H130">
        <v>9.913233213143999E-4</v>
      </c>
      <c r="I130">
        <v>21</v>
      </c>
      <c r="J130">
        <v>0.4</v>
      </c>
      <c r="K130">
        <v>1</v>
      </c>
      <c r="L130">
        <v>0</v>
      </c>
      <c r="M130">
        <v>1</v>
      </c>
      <c r="N130">
        <v>0.50814735358045748</v>
      </c>
      <c r="O130">
        <v>-0.14519401713746991</v>
      </c>
      <c r="P130">
        <v>93161981.380779594</v>
      </c>
      <c r="Q130">
        <v>600049.60926939035</v>
      </c>
      <c r="R130" t="s">
        <v>410</v>
      </c>
      <c r="S130" t="s">
        <v>443</v>
      </c>
      <c r="T130" t="s">
        <v>444</v>
      </c>
      <c r="U130">
        <v>16686</v>
      </c>
      <c r="V130">
        <v>6143</v>
      </c>
      <c r="W130">
        <v>10543</v>
      </c>
    </row>
    <row r="131" spans="1:23" x14ac:dyDescent="0.3">
      <c r="A131" t="s">
        <v>1145</v>
      </c>
      <c r="B131">
        <v>2022</v>
      </c>
      <c r="C131">
        <v>7.2104669413260796</v>
      </c>
      <c r="D131">
        <v>20440</v>
      </c>
      <c r="E131">
        <v>14405479.776899509</v>
      </c>
      <c r="F131">
        <v>85</v>
      </c>
      <c r="G131">
        <v>504</v>
      </c>
      <c r="H131">
        <v>5.2319836414829995E-4</v>
      </c>
      <c r="I131">
        <v>15</v>
      </c>
      <c r="J131">
        <v>0</v>
      </c>
      <c r="K131">
        <v>0</v>
      </c>
      <c r="L131">
        <v>0</v>
      </c>
      <c r="M131">
        <v>0</v>
      </c>
      <c r="N131">
        <v>0.38323304439784828</v>
      </c>
      <c r="O131">
        <v>-0.28658242088687208</v>
      </c>
      <c r="P131">
        <v>29871441.9154393</v>
      </c>
      <c r="Q131">
        <v>597848.71477653552</v>
      </c>
      <c r="R131" t="s">
        <v>236</v>
      </c>
      <c r="S131" t="s">
        <v>237</v>
      </c>
      <c r="T131" t="s">
        <v>247</v>
      </c>
      <c r="U131">
        <v>19061</v>
      </c>
      <c r="V131">
        <v>10119</v>
      </c>
      <c r="W131">
        <v>8942</v>
      </c>
    </row>
    <row r="132" spans="1:23" x14ac:dyDescent="0.3">
      <c r="A132" t="s">
        <v>1146</v>
      </c>
      <c r="B132">
        <v>2022</v>
      </c>
      <c r="C132">
        <v>3.510164948065047</v>
      </c>
      <c r="D132">
        <v>6766</v>
      </c>
      <c r="E132">
        <v>1986492.921875</v>
      </c>
      <c r="F132">
        <v>18</v>
      </c>
      <c r="G132">
        <v>179</v>
      </c>
      <c r="H132">
        <v>5.2643389412090002E-4</v>
      </c>
      <c r="I132">
        <v>6</v>
      </c>
      <c r="J132">
        <v>0</v>
      </c>
      <c r="K132">
        <v>0</v>
      </c>
      <c r="L132">
        <v>0</v>
      </c>
      <c r="M132">
        <v>5</v>
      </c>
      <c r="N132">
        <v>0.43064723663116838</v>
      </c>
      <c r="O132">
        <v>-0.26217216758432882</v>
      </c>
      <c r="P132">
        <v>43251462.597660869</v>
      </c>
      <c r="Q132">
        <v>572545.55653635354</v>
      </c>
      <c r="R132" t="s">
        <v>160</v>
      </c>
      <c r="S132" t="s">
        <v>192</v>
      </c>
      <c r="T132" t="s">
        <v>193</v>
      </c>
      <c r="U132">
        <v>6391</v>
      </c>
      <c r="V132">
        <v>4599</v>
      </c>
      <c r="W132">
        <v>1792</v>
      </c>
    </row>
    <row r="133" spans="1:23" x14ac:dyDescent="0.3">
      <c r="A133" t="s">
        <v>1147</v>
      </c>
      <c r="B133">
        <v>2022</v>
      </c>
      <c r="C133">
        <v>7.6194333908433736</v>
      </c>
      <c r="D133">
        <v>2801</v>
      </c>
      <c r="E133">
        <v>6121937.6761642164</v>
      </c>
      <c r="F133">
        <v>296</v>
      </c>
      <c r="G133">
        <v>101</v>
      </c>
      <c r="H133">
        <v>9.7177608041919999E-4</v>
      </c>
      <c r="I133">
        <v>13</v>
      </c>
      <c r="J133">
        <v>0</v>
      </c>
      <c r="K133">
        <v>0</v>
      </c>
      <c r="L133">
        <v>0</v>
      </c>
      <c r="M133">
        <v>1</v>
      </c>
      <c r="N133">
        <v>0.41806354889764558</v>
      </c>
      <c r="O133">
        <v>-0.33285216640189458</v>
      </c>
      <c r="P133">
        <v>11615794.32999501</v>
      </c>
      <c r="Q133">
        <v>562609.11096456531</v>
      </c>
      <c r="R133" t="s">
        <v>834</v>
      </c>
      <c r="S133" t="s">
        <v>861</v>
      </c>
      <c r="T133" t="s">
        <v>429</v>
      </c>
      <c r="U133">
        <v>2674</v>
      </c>
      <c r="V133">
        <v>551</v>
      </c>
      <c r="W133">
        <v>2123</v>
      </c>
    </row>
    <row r="134" spans="1:23" x14ac:dyDescent="0.3">
      <c r="A134" t="s">
        <v>1148</v>
      </c>
      <c r="B134">
        <v>2022</v>
      </c>
      <c r="C134">
        <v>47.165561070140363</v>
      </c>
      <c r="D134">
        <v>117479</v>
      </c>
      <c r="E134">
        <v>17913957.325980391</v>
      </c>
      <c r="F134">
        <v>132</v>
      </c>
      <c r="G134">
        <v>1094</v>
      </c>
      <c r="H134">
        <v>4.4410556822079998E-4</v>
      </c>
      <c r="I134">
        <v>50</v>
      </c>
      <c r="J134">
        <v>1.5211119853134E-2</v>
      </c>
      <c r="K134">
        <v>9</v>
      </c>
      <c r="L134">
        <v>0</v>
      </c>
      <c r="M134">
        <v>6</v>
      </c>
      <c r="N134">
        <v>7.9652965956861096E-2</v>
      </c>
      <c r="O134">
        <v>-0.20947034992972149</v>
      </c>
      <c r="P134">
        <v>25279089.335742369</v>
      </c>
      <c r="Q134">
        <v>544856.79082452157</v>
      </c>
      <c r="R134" t="s">
        <v>944</v>
      </c>
      <c r="S134" t="s">
        <v>179</v>
      </c>
      <c r="T134" t="s">
        <v>179</v>
      </c>
      <c r="U134">
        <v>112114</v>
      </c>
      <c r="V134">
        <v>62143</v>
      </c>
      <c r="W134">
        <v>49971</v>
      </c>
    </row>
    <row r="135" spans="1:23" x14ac:dyDescent="0.3">
      <c r="A135" t="s">
        <v>1149</v>
      </c>
      <c r="B135">
        <v>2022</v>
      </c>
      <c r="C135">
        <v>5.3935477050384089</v>
      </c>
      <c r="D135">
        <v>64424</v>
      </c>
      <c r="E135">
        <v>9358460.5775735285</v>
      </c>
      <c r="F135">
        <v>15</v>
      </c>
      <c r="G135">
        <v>999</v>
      </c>
      <c r="H135">
        <v>5.5073472108949995E-4</v>
      </c>
      <c r="I135">
        <v>5</v>
      </c>
      <c r="J135">
        <v>0</v>
      </c>
      <c r="K135">
        <v>0</v>
      </c>
      <c r="L135">
        <v>0</v>
      </c>
      <c r="M135">
        <v>23</v>
      </c>
      <c r="N135">
        <v>0.40986011521564919</v>
      </c>
      <c r="O135">
        <v>-0.15830631861593819</v>
      </c>
      <c r="P135">
        <v>141817149.76429909</v>
      </c>
      <c r="Q135">
        <v>522324.0155931965</v>
      </c>
      <c r="R135" t="s">
        <v>291</v>
      </c>
      <c r="S135" t="s">
        <v>334</v>
      </c>
      <c r="T135" t="s">
        <v>334</v>
      </c>
      <c r="U135">
        <v>61430</v>
      </c>
      <c r="V135">
        <v>45080</v>
      </c>
      <c r="W135">
        <v>16350</v>
      </c>
    </row>
    <row r="136" spans="1:23" x14ac:dyDescent="0.3">
      <c r="A136" t="s">
        <v>1150</v>
      </c>
      <c r="B136">
        <v>2022</v>
      </c>
      <c r="C136">
        <v>0.65366090933568088</v>
      </c>
      <c r="D136">
        <v>3121</v>
      </c>
      <c r="E136">
        <v>991357.21875</v>
      </c>
      <c r="F136">
        <v>4</v>
      </c>
      <c r="G136">
        <v>136</v>
      </c>
      <c r="H136">
        <v>4.0645703121740002E-4</v>
      </c>
      <c r="I136">
        <v>5</v>
      </c>
      <c r="J136">
        <v>0</v>
      </c>
      <c r="K136">
        <v>0</v>
      </c>
      <c r="L136">
        <v>0</v>
      </c>
      <c r="M136">
        <v>2</v>
      </c>
      <c r="N136">
        <v>0.53798497969851067</v>
      </c>
      <c r="O136">
        <v>-0.24995011704385639</v>
      </c>
      <c r="P136">
        <v>430341752.68475097</v>
      </c>
      <c r="Q136">
        <v>519073.58305400232</v>
      </c>
      <c r="R136" t="s">
        <v>878</v>
      </c>
      <c r="S136" t="s">
        <v>896</v>
      </c>
      <c r="T136" t="s">
        <v>897</v>
      </c>
      <c r="U136">
        <v>2979</v>
      </c>
      <c r="V136">
        <v>980</v>
      </c>
      <c r="W136">
        <v>1999</v>
      </c>
    </row>
    <row r="137" spans="1:23" x14ac:dyDescent="0.3">
      <c r="A137" t="s">
        <v>1151</v>
      </c>
      <c r="B137">
        <v>2022</v>
      </c>
      <c r="C137">
        <v>4.0301949292020716</v>
      </c>
      <c r="D137">
        <v>8296</v>
      </c>
      <c r="E137">
        <v>1985058.609375</v>
      </c>
      <c r="F137">
        <v>19</v>
      </c>
      <c r="G137">
        <v>331</v>
      </c>
      <c r="H137">
        <v>3.8851052481549998E-4</v>
      </c>
      <c r="I137">
        <v>4</v>
      </c>
      <c r="J137">
        <v>0.1176470588235294</v>
      </c>
      <c r="K137">
        <v>1</v>
      </c>
      <c r="L137">
        <v>0</v>
      </c>
      <c r="M137">
        <v>7</v>
      </c>
      <c r="N137">
        <v>0.17551992036885489</v>
      </c>
      <c r="O137">
        <v>-0.34647961003491429</v>
      </c>
      <c r="P137">
        <v>65755370.373904079</v>
      </c>
      <c r="Q137">
        <v>507547.9077851114</v>
      </c>
      <c r="R137" t="s">
        <v>944</v>
      </c>
      <c r="S137" t="s">
        <v>944</v>
      </c>
      <c r="T137" t="s">
        <v>1011</v>
      </c>
      <c r="U137">
        <v>7895</v>
      </c>
      <c r="V137">
        <v>4785</v>
      </c>
      <c r="W137">
        <v>3110</v>
      </c>
    </row>
    <row r="138" spans="1:23" x14ac:dyDescent="0.3">
      <c r="A138" t="s">
        <v>1152</v>
      </c>
      <c r="B138">
        <v>2022</v>
      </c>
      <c r="C138">
        <v>12.250827865651081</v>
      </c>
      <c r="D138">
        <v>8352</v>
      </c>
      <c r="E138">
        <v>931938.80686274497</v>
      </c>
      <c r="F138">
        <v>27</v>
      </c>
      <c r="G138">
        <v>173</v>
      </c>
      <c r="H138">
        <v>3.8859870587035E-3</v>
      </c>
      <c r="I138">
        <v>15</v>
      </c>
      <c r="J138">
        <v>0</v>
      </c>
      <c r="K138">
        <v>0</v>
      </c>
      <c r="L138">
        <v>0</v>
      </c>
      <c r="M138">
        <v>2</v>
      </c>
      <c r="N138">
        <v>0.35739066577488898</v>
      </c>
      <c r="O138">
        <v>-0.33088921269450589</v>
      </c>
      <c r="P138">
        <v>10608826.07083467</v>
      </c>
      <c r="Q138">
        <v>506289.10813979967</v>
      </c>
      <c r="R138" t="s">
        <v>464</v>
      </c>
      <c r="S138" t="s">
        <v>472</v>
      </c>
      <c r="T138" t="s">
        <v>475</v>
      </c>
      <c r="U138">
        <v>7974</v>
      </c>
      <c r="V138">
        <v>5749</v>
      </c>
      <c r="W138">
        <v>2225</v>
      </c>
    </row>
    <row r="139" spans="1:23" x14ac:dyDescent="0.3">
      <c r="A139" t="s">
        <v>1153</v>
      </c>
      <c r="B139">
        <v>2022</v>
      </c>
      <c r="C139">
        <v>1.701509381623592</v>
      </c>
      <c r="D139">
        <v>7038</v>
      </c>
      <c r="E139">
        <v>2233977.9375</v>
      </c>
      <c r="F139">
        <v>11</v>
      </c>
      <c r="G139">
        <v>164</v>
      </c>
      <c r="H139">
        <v>2.3893530602519001E-3</v>
      </c>
      <c r="I139">
        <v>1</v>
      </c>
      <c r="J139">
        <v>0</v>
      </c>
      <c r="K139">
        <v>0</v>
      </c>
      <c r="L139">
        <v>0</v>
      </c>
      <c r="M139">
        <v>4</v>
      </c>
      <c r="N139">
        <v>0.64411923503398871</v>
      </c>
      <c r="O139">
        <v>-0.31619309177259181</v>
      </c>
      <c r="P139">
        <v>120848770.5861191</v>
      </c>
      <c r="Q139">
        <v>490988.45475165627</v>
      </c>
      <c r="R139" t="s">
        <v>678</v>
      </c>
      <c r="S139" t="s">
        <v>702</v>
      </c>
      <c r="T139" t="s">
        <v>702</v>
      </c>
      <c r="U139">
        <v>6706</v>
      </c>
      <c r="V139">
        <v>4474</v>
      </c>
      <c r="W139">
        <v>2232</v>
      </c>
    </row>
    <row r="140" spans="1:23" x14ac:dyDescent="0.3">
      <c r="A140" t="s">
        <v>1154</v>
      </c>
      <c r="B140">
        <v>2022</v>
      </c>
      <c r="C140">
        <v>1.8306409724817241</v>
      </c>
      <c r="D140">
        <v>3125</v>
      </c>
      <c r="E140">
        <v>248312.96875</v>
      </c>
      <c r="F140">
        <v>3</v>
      </c>
      <c r="G140">
        <v>127</v>
      </c>
      <c r="H140">
        <v>8.7743099351730001E-4</v>
      </c>
      <c r="I140">
        <v>11</v>
      </c>
      <c r="J140">
        <v>0</v>
      </c>
      <c r="K140">
        <v>0</v>
      </c>
      <c r="L140">
        <v>0</v>
      </c>
      <c r="M140">
        <v>2</v>
      </c>
      <c r="N140">
        <v>0.48056218967250658</v>
      </c>
      <c r="O140">
        <v>-0.36790015398109871</v>
      </c>
      <c r="P140">
        <v>46420833.582064718</v>
      </c>
      <c r="Q140">
        <v>484876.68756514561</v>
      </c>
      <c r="R140" t="s">
        <v>160</v>
      </c>
      <c r="S140" t="s">
        <v>176</v>
      </c>
      <c r="T140" t="s">
        <v>180</v>
      </c>
      <c r="U140">
        <v>2982</v>
      </c>
      <c r="V140">
        <v>2048</v>
      </c>
      <c r="W140">
        <v>934</v>
      </c>
    </row>
    <row r="141" spans="1:23" x14ac:dyDescent="0.3">
      <c r="A141" t="s">
        <v>1155</v>
      </c>
      <c r="B141">
        <v>2022</v>
      </c>
      <c r="C141">
        <v>7.3970698246191766</v>
      </c>
      <c r="D141">
        <v>29459</v>
      </c>
      <c r="E141">
        <v>6936724.421875</v>
      </c>
      <c r="F141">
        <v>36</v>
      </c>
      <c r="G141">
        <v>973</v>
      </c>
      <c r="H141">
        <v>1.9106827891320001E-4</v>
      </c>
      <c r="I141">
        <v>3</v>
      </c>
      <c r="J141">
        <v>0</v>
      </c>
      <c r="K141">
        <v>0</v>
      </c>
      <c r="L141">
        <v>0</v>
      </c>
      <c r="M141">
        <v>8</v>
      </c>
      <c r="N141">
        <v>0.37068881692276651</v>
      </c>
      <c r="O141">
        <v>-0.30801576463473218</v>
      </c>
      <c r="P141">
        <v>147408320.92059529</v>
      </c>
      <c r="Q141">
        <v>483830.96377593023</v>
      </c>
      <c r="R141" t="s">
        <v>503</v>
      </c>
      <c r="S141" t="s">
        <v>522</v>
      </c>
      <c r="T141" t="s">
        <v>522</v>
      </c>
      <c r="U141">
        <v>28123</v>
      </c>
      <c r="V141">
        <v>20273</v>
      </c>
      <c r="W141">
        <v>7850</v>
      </c>
    </row>
    <row r="142" spans="1:23" x14ac:dyDescent="0.3">
      <c r="A142" t="s">
        <v>1402</v>
      </c>
      <c r="B142">
        <v>2022</v>
      </c>
      <c r="C142">
        <v>1.561792242322096</v>
      </c>
      <c r="D142">
        <v>24349</v>
      </c>
      <c r="E142">
        <v>1489927.984375</v>
      </c>
      <c r="F142">
        <v>196</v>
      </c>
      <c r="G142">
        <v>746</v>
      </c>
      <c r="H142">
        <v>1.1265804066509999E-4</v>
      </c>
      <c r="I142">
        <v>19</v>
      </c>
      <c r="J142">
        <v>0.13186813186813179</v>
      </c>
      <c r="K142">
        <v>2</v>
      </c>
      <c r="L142">
        <v>0</v>
      </c>
      <c r="M142">
        <v>14</v>
      </c>
      <c r="N142">
        <v>0.48797362234290831</v>
      </c>
      <c r="O142">
        <v>-0.34664798759710141</v>
      </c>
      <c r="P142">
        <v>486515784.24552959</v>
      </c>
      <c r="Q142">
        <v>4875.8612381002786</v>
      </c>
      <c r="R142" t="s">
        <v>656</v>
      </c>
      <c r="S142" t="s">
        <v>776</v>
      </c>
      <c r="T142" t="s">
        <v>798</v>
      </c>
      <c r="U142">
        <v>23239</v>
      </c>
      <c r="V142">
        <v>14781</v>
      </c>
      <c r="W142">
        <v>8458</v>
      </c>
    </row>
    <row r="143" spans="1:23" x14ac:dyDescent="0.3">
      <c r="A143" t="s">
        <v>1157</v>
      </c>
      <c r="B143">
        <v>2022</v>
      </c>
      <c r="C143">
        <v>4.138718510443363</v>
      </c>
      <c r="D143">
        <v>7203</v>
      </c>
      <c r="E143">
        <v>744876.390625</v>
      </c>
      <c r="F143">
        <v>9</v>
      </c>
      <c r="G143">
        <v>112</v>
      </c>
      <c r="H143">
        <v>1.6191537930668001E-3</v>
      </c>
      <c r="I143">
        <v>7</v>
      </c>
      <c r="J143">
        <v>0</v>
      </c>
      <c r="K143">
        <v>0</v>
      </c>
      <c r="L143">
        <v>0</v>
      </c>
      <c r="M143">
        <v>1</v>
      </c>
      <c r="N143">
        <v>0.48145098566863181</v>
      </c>
      <c r="O143">
        <v>-0.1586101202628411</v>
      </c>
      <c r="P143">
        <v>39438859.324688137</v>
      </c>
      <c r="Q143">
        <v>475547.79734862462</v>
      </c>
      <c r="R143" t="s">
        <v>590</v>
      </c>
      <c r="S143" t="s">
        <v>601</v>
      </c>
      <c r="T143" t="s">
        <v>470</v>
      </c>
      <c r="U143">
        <v>6868</v>
      </c>
      <c r="V143">
        <v>2365</v>
      </c>
      <c r="W143">
        <v>4503</v>
      </c>
    </row>
    <row r="144" spans="1:23" x14ac:dyDescent="0.3">
      <c r="A144" t="s">
        <v>1158</v>
      </c>
      <c r="B144">
        <v>2022</v>
      </c>
      <c r="C144">
        <v>1.252252192760732</v>
      </c>
      <c r="D144">
        <v>3349</v>
      </c>
      <c r="E144">
        <v>991172.77892156865</v>
      </c>
      <c r="F144">
        <v>8</v>
      </c>
      <c r="G144">
        <v>147</v>
      </c>
      <c r="H144">
        <v>5.0336063585330003E-4</v>
      </c>
      <c r="I144">
        <v>3</v>
      </c>
      <c r="J144">
        <v>6.8783068783068696E-2</v>
      </c>
      <c r="K144">
        <v>2</v>
      </c>
      <c r="L144">
        <v>0</v>
      </c>
      <c r="M144">
        <v>1</v>
      </c>
      <c r="N144">
        <v>0.4657103396510443</v>
      </c>
      <c r="O144">
        <v>-0.40076426442150248</v>
      </c>
      <c r="P144">
        <v>110846975.09621421</v>
      </c>
      <c r="Q144">
        <v>463271.97887775529</v>
      </c>
      <c r="R144" t="s">
        <v>23</v>
      </c>
      <c r="S144" t="s">
        <v>24</v>
      </c>
      <c r="T144" t="s">
        <v>28</v>
      </c>
      <c r="U144">
        <v>3184</v>
      </c>
      <c r="V144">
        <v>2157</v>
      </c>
      <c r="W144">
        <v>1027</v>
      </c>
    </row>
    <row r="145" spans="1:23" x14ac:dyDescent="0.3">
      <c r="A145" t="s">
        <v>1159</v>
      </c>
      <c r="B145">
        <v>2022</v>
      </c>
      <c r="C145">
        <v>1.8178741490300621</v>
      </c>
      <c r="D145">
        <v>6597</v>
      </c>
      <c r="E145">
        <v>991220.21875</v>
      </c>
      <c r="F145">
        <v>6</v>
      </c>
      <c r="G145">
        <v>204</v>
      </c>
      <c r="H145">
        <v>4.206206587169E-4</v>
      </c>
      <c r="I145">
        <v>2</v>
      </c>
      <c r="J145">
        <v>0</v>
      </c>
      <c r="K145">
        <v>0</v>
      </c>
      <c r="L145">
        <v>0</v>
      </c>
      <c r="M145">
        <v>3</v>
      </c>
      <c r="N145">
        <v>0.29354788697565481</v>
      </c>
      <c r="O145">
        <v>-0.1591195388939661</v>
      </c>
      <c r="P145">
        <v>55821946.8022938</v>
      </c>
      <c r="Q145">
        <v>455235.61509311001</v>
      </c>
      <c r="R145" t="s">
        <v>291</v>
      </c>
      <c r="S145" t="s">
        <v>305</v>
      </c>
      <c r="T145" t="s">
        <v>305</v>
      </c>
      <c r="U145">
        <v>6283</v>
      </c>
      <c r="V145">
        <v>2823</v>
      </c>
      <c r="W145">
        <v>3460</v>
      </c>
    </row>
    <row r="146" spans="1:23" x14ac:dyDescent="0.3">
      <c r="A146" t="s">
        <v>1160</v>
      </c>
      <c r="B146">
        <v>2022</v>
      </c>
      <c r="C146">
        <v>0.83308951827834321</v>
      </c>
      <c r="D146">
        <v>2362</v>
      </c>
      <c r="E146">
        <v>2454944.06317402</v>
      </c>
      <c r="F146">
        <v>20</v>
      </c>
      <c r="G146">
        <v>104</v>
      </c>
      <c r="H146">
        <v>1.5981796686705999E-3</v>
      </c>
      <c r="I146">
        <v>3</v>
      </c>
      <c r="J146">
        <v>1.02530541012216E-2</v>
      </c>
      <c r="K146">
        <v>4</v>
      </c>
      <c r="L146">
        <v>0</v>
      </c>
      <c r="M146">
        <v>1</v>
      </c>
      <c r="N146">
        <v>0.59262590794778336</v>
      </c>
      <c r="O146">
        <v>-0.27910091633919798</v>
      </c>
      <c r="P146">
        <v>161111785.57104471</v>
      </c>
      <c r="Q146">
        <v>432935.6831054028</v>
      </c>
      <c r="R146" t="s">
        <v>734</v>
      </c>
      <c r="S146" t="s">
        <v>752</v>
      </c>
      <c r="T146" t="s">
        <v>753</v>
      </c>
      <c r="U146">
        <v>2243</v>
      </c>
      <c r="V146">
        <v>1739</v>
      </c>
      <c r="W146">
        <v>504</v>
      </c>
    </row>
    <row r="147" spans="1:23" x14ac:dyDescent="0.3">
      <c r="A147" t="s">
        <v>1161</v>
      </c>
      <c r="B147">
        <v>2022</v>
      </c>
      <c r="C147">
        <v>2.594486943992083</v>
      </c>
      <c r="D147">
        <v>1233</v>
      </c>
      <c r="E147">
        <v>141145.16035539209</v>
      </c>
      <c r="F147">
        <v>7</v>
      </c>
      <c r="G147">
        <v>70</v>
      </c>
      <c r="H147">
        <v>8.5214062483100002E-4</v>
      </c>
      <c r="I147">
        <v>6</v>
      </c>
      <c r="J147">
        <v>0</v>
      </c>
      <c r="K147">
        <v>0</v>
      </c>
      <c r="L147">
        <v>0</v>
      </c>
      <c r="M147">
        <v>1</v>
      </c>
      <c r="N147">
        <v>0.33626718945597062</v>
      </c>
      <c r="O147">
        <v>-0.34637166617014498</v>
      </c>
      <c r="P147">
        <v>10569541.37448634</v>
      </c>
      <c r="Q147">
        <v>424283.71654470381</v>
      </c>
      <c r="R147" t="s">
        <v>101</v>
      </c>
      <c r="S147" t="s">
        <v>113</v>
      </c>
      <c r="T147" t="s">
        <v>117</v>
      </c>
      <c r="U147">
        <v>1176</v>
      </c>
      <c r="V147">
        <v>328</v>
      </c>
      <c r="W147">
        <v>848</v>
      </c>
    </row>
    <row r="148" spans="1:23" x14ac:dyDescent="0.3">
      <c r="A148" t="s">
        <v>1162</v>
      </c>
      <c r="B148">
        <v>2022</v>
      </c>
      <c r="C148">
        <v>2.13268852940076</v>
      </c>
      <c r="D148">
        <v>25063</v>
      </c>
      <c r="E148">
        <v>4461500.9375</v>
      </c>
      <c r="F148">
        <v>9</v>
      </c>
      <c r="G148">
        <v>985</v>
      </c>
      <c r="H148">
        <v>2.5435443887620001E-4</v>
      </c>
      <c r="I148">
        <v>18</v>
      </c>
      <c r="J148">
        <v>0</v>
      </c>
      <c r="K148">
        <v>0</v>
      </c>
      <c r="L148">
        <v>0</v>
      </c>
      <c r="M148">
        <v>19</v>
      </c>
      <c r="N148">
        <v>0.35717125580396231</v>
      </c>
      <c r="O148">
        <v>-0.23147134159302851</v>
      </c>
      <c r="P148">
        <v>260373297.55376741</v>
      </c>
      <c r="Q148">
        <v>421825.52737399482</v>
      </c>
      <c r="R148" t="s">
        <v>291</v>
      </c>
      <c r="S148" t="s">
        <v>294</v>
      </c>
      <c r="T148" t="s">
        <v>294</v>
      </c>
      <c r="U148">
        <v>23915</v>
      </c>
      <c r="V148">
        <v>15806</v>
      </c>
      <c r="W148">
        <v>8109</v>
      </c>
    </row>
    <row r="149" spans="1:23" x14ac:dyDescent="0.3">
      <c r="A149" t="s">
        <v>1163</v>
      </c>
      <c r="B149">
        <v>2022</v>
      </c>
      <c r="C149">
        <v>8.8457011833304868</v>
      </c>
      <c r="D149">
        <v>27971</v>
      </c>
      <c r="E149">
        <v>5027592.009681372</v>
      </c>
      <c r="F149">
        <v>38</v>
      </c>
      <c r="G149">
        <v>748</v>
      </c>
      <c r="H149">
        <v>2.6150150251560002E-4</v>
      </c>
      <c r="I149">
        <v>45</v>
      </c>
      <c r="J149">
        <v>0</v>
      </c>
      <c r="K149">
        <v>0</v>
      </c>
      <c r="L149">
        <v>0</v>
      </c>
      <c r="M149">
        <v>7</v>
      </c>
      <c r="N149">
        <v>0.51690846793519019</v>
      </c>
      <c r="O149">
        <v>-0.3796345126504041</v>
      </c>
      <c r="P149">
        <v>46660249.90330404</v>
      </c>
      <c r="Q149">
        <v>418408.69574824133</v>
      </c>
      <c r="R149" t="s">
        <v>23</v>
      </c>
      <c r="S149" t="s">
        <v>24</v>
      </c>
      <c r="T149" t="s">
        <v>42</v>
      </c>
      <c r="U149">
        <v>26720</v>
      </c>
      <c r="V149">
        <v>17784</v>
      </c>
      <c r="W149">
        <v>8936</v>
      </c>
    </row>
    <row r="150" spans="1:23" x14ac:dyDescent="0.3">
      <c r="A150" t="s">
        <v>1164</v>
      </c>
      <c r="B150">
        <v>2022</v>
      </c>
      <c r="C150">
        <v>0.7252912147539925</v>
      </c>
      <c r="D150">
        <v>629</v>
      </c>
      <c r="E150">
        <v>552126.33566176472</v>
      </c>
      <c r="F150">
        <v>16</v>
      </c>
      <c r="G150">
        <v>41</v>
      </c>
      <c r="H150">
        <v>1.4902055828668001E-3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0.57419429200308136</v>
      </c>
      <c r="O150">
        <v>-0.24619301776992411</v>
      </c>
      <c r="P150">
        <v>89025920.345823184</v>
      </c>
      <c r="Q150">
        <v>397905.78367427661</v>
      </c>
      <c r="R150" t="s">
        <v>926</v>
      </c>
      <c r="S150" t="s">
        <v>926</v>
      </c>
      <c r="T150" t="s">
        <v>955</v>
      </c>
      <c r="U150">
        <v>597</v>
      </c>
      <c r="V150">
        <v>268</v>
      </c>
      <c r="W150">
        <v>329</v>
      </c>
    </row>
    <row r="151" spans="1:23" x14ac:dyDescent="0.3">
      <c r="A151" t="s">
        <v>1165</v>
      </c>
      <c r="B151">
        <v>2022</v>
      </c>
      <c r="C151">
        <v>8.302824638953167</v>
      </c>
      <c r="D151">
        <v>35200</v>
      </c>
      <c r="E151">
        <v>4673154.3247549012</v>
      </c>
      <c r="F151">
        <v>28</v>
      </c>
      <c r="G151">
        <v>460</v>
      </c>
      <c r="H151">
        <v>9.0857556028560004E-4</v>
      </c>
      <c r="I151">
        <v>3</v>
      </c>
      <c r="J151">
        <v>3.8461538461538401E-2</v>
      </c>
      <c r="K151">
        <v>10</v>
      </c>
      <c r="L151">
        <v>0</v>
      </c>
      <c r="M151">
        <v>4</v>
      </c>
      <c r="N151">
        <v>0.1553858626100332</v>
      </c>
      <c r="O151">
        <v>-0.1146024685260375</v>
      </c>
      <c r="P151">
        <v>73829736.596663207</v>
      </c>
      <c r="Q151">
        <v>393672.69550736138</v>
      </c>
      <c r="R151" t="s">
        <v>410</v>
      </c>
      <c r="S151" t="s">
        <v>411</v>
      </c>
      <c r="T151" t="s">
        <v>414</v>
      </c>
      <c r="U151">
        <v>33691</v>
      </c>
      <c r="V151">
        <v>18122</v>
      </c>
      <c r="W151">
        <v>15569</v>
      </c>
    </row>
    <row r="152" spans="1:23" x14ac:dyDescent="0.3">
      <c r="A152" t="s">
        <v>1166</v>
      </c>
      <c r="B152">
        <v>2022</v>
      </c>
      <c r="C152">
        <v>0.64456444435579485</v>
      </c>
      <c r="D152">
        <v>2636</v>
      </c>
      <c r="E152">
        <v>954871.5431985294</v>
      </c>
      <c r="F152">
        <v>6</v>
      </c>
      <c r="G152">
        <v>83</v>
      </c>
      <c r="H152">
        <v>2.1677445856616E-3</v>
      </c>
      <c r="I152">
        <v>8</v>
      </c>
      <c r="J152">
        <v>0</v>
      </c>
      <c r="K152">
        <v>0</v>
      </c>
      <c r="L152">
        <v>0</v>
      </c>
      <c r="M152">
        <v>10</v>
      </c>
      <c r="N152">
        <v>0.63764186870205153</v>
      </c>
      <c r="O152">
        <v>-0.29723277699341327</v>
      </c>
      <c r="P152">
        <v>202212905.1262562</v>
      </c>
      <c r="Q152">
        <v>389147.85386502312</v>
      </c>
      <c r="R152" t="s">
        <v>678</v>
      </c>
      <c r="S152" t="s">
        <v>702</v>
      </c>
      <c r="T152" t="s">
        <v>704</v>
      </c>
      <c r="U152">
        <v>2515</v>
      </c>
      <c r="V152">
        <v>511</v>
      </c>
      <c r="W152">
        <v>2004</v>
      </c>
    </row>
    <row r="153" spans="1:23" x14ac:dyDescent="0.3">
      <c r="A153" t="s">
        <v>1167</v>
      </c>
      <c r="B153">
        <v>2022</v>
      </c>
      <c r="C153">
        <v>1.9116473402348779</v>
      </c>
      <c r="D153">
        <v>18892</v>
      </c>
      <c r="E153">
        <v>2234049.65625</v>
      </c>
      <c r="F153">
        <v>6</v>
      </c>
      <c r="G153">
        <v>393</v>
      </c>
      <c r="H153">
        <v>3.910934426472E-4</v>
      </c>
      <c r="I153">
        <v>13</v>
      </c>
      <c r="J153">
        <v>0</v>
      </c>
      <c r="K153">
        <v>0</v>
      </c>
      <c r="L153">
        <v>0</v>
      </c>
      <c r="M153">
        <v>7</v>
      </c>
      <c r="N153">
        <v>0.2976380776841987</v>
      </c>
      <c r="O153">
        <v>-0.25954290012219727</v>
      </c>
      <c r="P153">
        <v>186468253.3336665</v>
      </c>
      <c r="Q153">
        <v>376765.74593504798</v>
      </c>
      <c r="R153" t="s">
        <v>410</v>
      </c>
      <c r="S153" t="s">
        <v>439</v>
      </c>
      <c r="T153" t="s">
        <v>439</v>
      </c>
      <c r="U153">
        <v>17991</v>
      </c>
      <c r="V153">
        <v>5872</v>
      </c>
      <c r="W153">
        <v>12119</v>
      </c>
    </row>
    <row r="154" spans="1:23" x14ac:dyDescent="0.3">
      <c r="A154" t="s">
        <v>1168</v>
      </c>
      <c r="B154">
        <v>2022</v>
      </c>
      <c r="C154">
        <v>16.28929995304031</v>
      </c>
      <c r="D154">
        <v>43166</v>
      </c>
      <c r="E154">
        <v>14311956.00520833</v>
      </c>
      <c r="F154">
        <v>145</v>
      </c>
      <c r="G154">
        <v>1627</v>
      </c>
      <c r="H154">
        <v>1.9825289392540001E-4</v>
      </c>
      <c r="I154">
        <v>51</v>
      </c>
      <c r="J154">
        <v>0</v>
      </c>
      <c r="K154">
        <v>0</v>
      </c>
      <c r="L154">
        <v>0</v>
      </c>
      <c r="M154">
        <v>36</v>
      </c>
      <c r="N154">
        <v>0.52227352134283933</v>
      </c>
      <c r="O154">
        <v>-0.35140561392788089</v>
      </c>
      <c r="P154">
        <v>56554971.235437408</v>
      </c>
      <c r="Q154">
        <v>372470.26200946001</v>
      </c>
      <c r="R154" t="s">
        <v>128</v>
      </c>
      <c r="S154" t="s">
        <v>129</v>
      </c>
      <c r="T154" t="s">
        <v>129</v>
      </c>
      <c r="U154">
        <v>40922</v>
      </c>
      <c r="V154">
        <v>34618</v>
      </c>
      <c r="W154">
        <v>6304</v>
      </c>
    </row>
    <row r="155" spans="1:23" x14ac:dyDescent="0.3">
      <c r="A155" t="s">
        <v>1169</v>
      </c>
      <c r="B155">
        <v>2022</v>
      </c>
      <c r="C155">
        <v>9.9184972171023364</v>
      </c>
      <c r="D155">
        <v>2227</v>
      </c>
      <c r="E155">
        <v>852984.04301470588</v>
      </c>
      <c r="F155">
        <v>103</v>
      </c>
      <c r="G155">
        <v>73</v>
      </c>
      <c r="H155">
        <v>5.1620947630922004E-3</v>
      </c>
      <c r="I155">
        <v>7</v>
      </c>
      <c r="J155">
        <v>0</v>
      </c>
      <c r="K155">
        <v>0</v>
      </c>
      <c r="L155">
        <v>0</v>
      </c>
      <c r="M155">
        <v>2</v>
      </c>
      <c r="P155">
        <v>4710646.1177028902</v>
      </c>
      <c r="Q155">
        <v>368832.63465038792</v>
      </c>
      <c r="R155" t="s">
        <v>195</v>
      </c>
      <c r="S155" t="s">
        <v>228</v>
      </c>
      <c r="T155" t="s">
        <v>229</v>
      </c>
      <c r="U155">
        <v>2125</v>
      </c>
      <c r="V155">
        <v>799</v>
      </c>
      <c r="W155">
        <v>1326</v>
      </c>
    </row>
    <row r="156" spans="1:23" x14ac:dyDescent="0.3">
      <c r="A156" t="s">
        <v>1170</v>
      </c>
      <c r="B156">
        <v>2022</v>
      </c>
      <c r="C156">
        <v>10.66496326637197</v>
      </c>
      <c r="D156">
        <v>8205</v>
      </c>
      <c r="E156">
        <v>4326591.290808823</v>
      </c>
      <c r="F156">
        <v>154</v>
      </c>
      <c r="G156">
        <v>208</v>
      </c>
      <c r="H156">
        <v>6.7473788984880002E-4</v>
      </c>
      <c r="I156">
        <v>25</v>
      </c>
      <c r="J156">
        <v>0</v>
      </c>
      <c r="K156">
        <v>0</v>
      </c>
      <c r="L156">
        <v>0</v>
      </c>
      <c r="M156">
        <v>4</v>
      </c>
      <c r="N156">
        <v>0.43028870883625869</v>
      </c>
      <c r="O156">
        <v>-0.33198845701487689</v>
      </c>
      <c r="P156">
        <v>15663178.47386058</v>
      </c>
      <c r="Q156">
        <v>365179.11302959872</v>
      </c>
      <c r="R156" t="s">
        <v>834</v>
      </c>
      <c r="S156" t="s">
        <v>861</v>
      </c>
      <c r="T156" t="s">
        <v>171</v>
      </c>
      <c r="U156">
        <v>7836</v>
      </c>
      <c r="V156">
        <v>4288</v>
      </c>
      <c r="W156">
        <v>3548</v>
      </c>
    </row>
    <row r="157" spans="1:23" x14ac:dyDescent="0.3">
      <c r="A157" t="s">
        <v>1171</v>
      </c>
      <c r="B157">
        <v>2022</v>
      </c>
      <c r="C157">
        <v>3.0232377690873218</v>
      </c>
      <c r="D157">
        <v>32017</v>
      </c>
      <c r="E157">
        <v>2233833.328125</v>
      </c>
      <c r="F157">
        <v>6</v>
      </c>
      <c r="G157">
        <v>313</v>
      </c>
      <c r="H157">
        <v>4.9359869431570003E-4</v>
      </c>
      <c r="I157">
        <v>25</v>
      </c>
      <c r="J157">
        <v>0</v>
      </c>
      <c r="K157">
        <v>0</v>
      </c>
      <c r="L157">
        <v>0</v>
      </c>
      <c r="M157">
        <v>12</v>
      </c>
      <c r="N157">
        <v>0.4525015149671327</v>
      </c>
      <c r="O157">
        <v>-0.25697012265947511</v>
      </c>
      <c r="P157">
        <v>132360032.75546069</v>
      </c>
      <c r="Q157">
        <v>351553.30436088808</v>
      </c>
      <c r="R157" t="s">
        <v>410</v>
      </c>
      <c r="S157" t="s">
        <v>446</v>
      </c>
      <c r="T157" t="s">
        <v>447</v>
      </c>
      <c r="U157">
        <v>30540</v>
      </c>
      <c r="V157">
        <v>5526</v>
      </c>
      <c r="W157">
        <v>25014</v>
      </c>
    </row>
    <row r="158" spans="1:23" x14ac:dyDescent="0.3">
      <c r="A158" t="s">
        <v>1172</v>
      </c>
      <c r="B158">
        <v>2022</v>
      </c>
      <c r="C158">
        <v>7.4661543572232807</v>
      </c>
      <c r="D158">
        <v>22428</v>
      </c>
      <c r="E158">
        <v>5540038.8656249996</v>
      </c>
      <c r="F158">
        <v>54</v>
      </c>
      <c r="G158">
        <v>382</v>
      </c>
      <c r="H158">
        <v>4.8774235888429998E-4</v>
      </c>
      <c r="I158">
        <v>6</v>
      </c>
      <c r="J158">
        <v>0</v>
      </c>
      <c r="K158">
        <v>0</v>
      </c>
      <c r="L158">
        <v>0</v>
      </c>
      <c r="M158">
        <v>5</v>
      </c>
      <c r="N158">
        <v>0.42286521125330262</v>
      </c>
      <c r="O158">
        <v>-0.3635633156959408</v>
      </c>
      <c r="P158">
        <v>65791411.942562163</v>
      </c>
      <c r="Q158">
        <v>341527.33451383858</v>
      </c>
      <c r="R158" t="s">
        <v>464</v>
      </c>
      <c r="S158" t="s">
        <v>477</v>
      </c>
      <c r="T158" t="s">
        <v>477</v>
      </c>
      <c r="U158">
        <v>21362</v>
      </c>
      <c r="V158">
        <v>13350</v>
      </c>
      <c r="W158">
        <v>8012</v>
      </c>
    </row>
    <row r="159" spans="1:23" x14ac:dyDescent="0.3">
      <c r="A159" t="s">
        <v>1173</v>
      </c>
      <c r="B159">
        <v>2022</v>
      </c>
      <c r="C159">
        <v>0.92601184524596925</v>
      </c>
      <c r="D159">
        <v>2073</v>
      </c>
      <c r="E159">
        <v>75945.425367647069</v>
      </c>
      <c r="F159">
        <v>1</v>
      </c>
      <c r="G159">
        <v>122</v>
      </c>
      <c r="H159">
        <v>7.4810836431559997E-4</v>
      </c>
      <c r="I159">
        <v>6</v>
      </c>
      <c r="J159">
        <v>0</v>
      </c>
      <c r="K159">
        <v>0</v>
      </c>
      <c r="L159">
        <v>0</v>
      </c>
      <c r="M159">
        <v>0</v>
      </c>
      <c r="N159">
        <v>0.63747732659762935</v>
      </c>
      <c r="O159">
        <v>-0.2884355588147795</v>
      </c>
      <c r="P159">
        <v>218723675.1961152</v>
      </c>
      <c r="Q159">
        <v>339249.22085231502</v>
      </c>
      <c r="R159" t="s">
        <v>352</v>
      </c>
      <c r="S159" t="s">
        <v>106</v>
      </c>
      <c r="T159" t="s">
        <v>182</v>
      </c>
      <c r="U159">
        <v>1976</v>
      </c>
      <c r="V159">
        <v>22</v>
      </c>
      <c r="W159">
        <v>1954</v>
      </c>
    </row>
    <row r="160" spans="1:23" x14ac:dyDescent="0.3">
      <c r="A160" t="s">
        <v>1174</v>
      </c>
      <c r="B160">
        <v>2022</v>
      </c>
      <c r="C160">
        <v>3.6138756181169271</v>
      </c>
      <c r="D160">
        <v>3730</v>
      </c>
      <c r="E160">
        <v>7627040.3794730389</v>
      </c>
      <c r="F160">
        <v>233</v>
      </c>
      <c r="G160">
        <v>142</v>
      </c>
      <c r="H160">
        <v>1.7130127083602E-3</v>
      </c>
      <c r="I160">
        <v>10</v>
      </c>
      <c r="J160">
        <v>0</v>
      </c>
      <c r="K160">
        <v>0</v>
      </c>
      <c r="L160">
        <v>0</v>
      </c>
      <c r="M160">
        <v>2</v>
      </c>
      <c r="N160">
        <v>0.3411251394231184</v>
      </c>
      <c r="O160">
        <v>-0.37138078022007498</v>
      </c>
      <c r="P160">
        <v>18657909.866692249</v>
      </c>
      <c r="Q160">
        <v>317149.83794280101</v>
      </c>
      <c r="R160" t="s">
        <v>195</v>
      </c>
      <c r="S160" t="s">
        <v>215</v>
      </c>
      <c r="T160" t="s">
        <v>218</v>
      </c>
      <c r="U160">
        <v>3556</v>
      </c>
      <c r="V160">
        <v>1263</v>
      </c>
      <c r="W160">
        <v>2293</v>
      </c>
    </row>
    <row r="161" spans="1:23" x14ac:dyDescent="0.3">
      <c r="A161" t="s">
        <v>1175</v>
      </c>
      <c r="B161">
        <v>2022</v>
      </c>
      <c r="C161">
        <v>1.817560973041862</v>
      </c>
      <c r="D161">
        <v>6158</v>
      </c>
      <c r="E161">
        <v>2234852.875</v>
      </c>
      <c r="F161">
        <v>21</v>
      </c>
      <c r="G161">
        <v>266</v>
      </c>
      <c r="H161">
        <v>4.055977344816E-4</v>
      </c>
      <c r="I161">
        <v>3</v>
      </c>
      <c r="J161">
        <v>0</v>
      </c>
      <c r="K161">
        <v>0</v>
      </c>
      <c r="L161">
        <v>0</v>
      </c>
      <c r="M161">
        <v>6</v>
      </c>
      <c r="N161">
        <v>0.39028938414712389</v>
      </c>
      <c r="O161">
        <v>-0.30194580212479738</v>
      </c>
      <c r="P161">
        <v>99654807.710796326</v>
      </c>
      <c r="Q161">
        <v>314107.96378620161</v>
      </c>
      <c r="R161" t="s">
        <v>160</v>
      </c>
      <c r="S161" t="s">
        <v>101</v>
      </c>
      <c r="T161" t="s">
        <v>101</v>
      </c>
      <c r="U161">
        <v>5872</v>
      </c>
      <c r="V161">
        <v>3972</v>
      </c>
      <c r="W161">
        <v>1900</v>
      </c>
    </row>
    <row r="162" spans="1:23" x14ac:dyDescent="0.3">
      <c r="A162" t="s">
        <v>1176</v>
      </c>
      <c r="B162">
        <v>2022</v>
      </c>
      <c r="C162">
        <v>1.804389975547088</v>
      </c>
      <c r="D162">
        <v>11037</v>
      </c>
      <c r="E162">
        <v>744636.03125</v>
      </c>
      <c r="F162">
        <v>4</v>
      </c>
      <c r="G162">
        <v>168</v>
      </c>
      <c r="H162">
        <v>8.5174378213139998E-4</v>
      </c>
      <c r="I162">
        <v>6</v>
      </c>
      <c r="J162">
        <v>0</v>
      </c>
      <c r="K162">
        <v>0</v>
      </c>
      <c r="L162">
        <v>0</v>
      </c>
      <c r="M162">
        <v>3</v>
      </c>
      <c r="N162">
        <v>0.54599712946136003</v>
      </c>
      <c r="O162">
        <v>-0.2733730252793436</v>
      </c>
      <c r="P162">
        <v>85101810.389026284</v>
      </c>
      <c r="Q162">
        <v>304343.07108332613</v>
      </c>
      <c r="R162" t="s">
        <v>410</v>
      </c>
      <c r="S162" t="s">
        <v>446</v>
      </c>
      <c r="T162" t="s">
        <v>448</v>
      </c>
      <c r="U162">
        <v>10518</v>
      </c>
      <c r="V162">
        <v>410</v>
      </c>
      <c r="W162">
        <v>10108</v>
      </c>
    </row>
    <row r="163" spans="1:23" x14ac:dyDescent="0.3">
      <c r="A163" t="s">
        <v>1177</v>
      </c>
      <c r="B163">
        <v>2022</v>
      </c>
      <c r="C163">
        <v>9.8972878462424241</v>
      </c>
      <c r="D163">
        <v>2750</v>
      </c>
      <c r="E163">
        <v>1439907.361642157</v>
      </c>
      <c r="F163">
        <v>173</v>
      </c>
      <c r="G163">
        <v>121</v>
      </c>
      <c r="H163">
        <v>2.8357286354503998E-3</v>
      </c>
      <c r="I163">
        <v>15</v>
      </c>
      <c r="J163">
        <v>0</v>
      </c>
      <c r="K163">
        <v>0</v>
      </c>
      <c r="L163">
        <v>0</v>
      </c>
      <c r="M163">
        <v>1</v>
      </c>
      <c r="N163">
        <v>0.39705511127445681</v>
      </c>
      <c r="O163">
        <v>-0.26002644821155851</v>
      </c>
      <c r="P163">
        <v>5167582.5092525957</v>
      </c>
      <c r="Q163">
        <v>299551.81566150108</v>
      </c>
      <c r="R163" t="s">
        <v>834</v>
      </c>
      <c r="S163" t="s">
        <v>861</v>
      </c>
      <c r="T163" t="s">
        <v>863</v>
      </c>
      <c r="U163">
        <v>2626</v>
      </c>
      <c r="V163">
        <v>1718</v>
      </c>
      <c r="W163">
        <v>908</v>
      </c>
    </row>
    <row r="164" spans="1:23" x14ac:dyDescent="0.3">
      <c r="A164" t="s">
        <v>1178</v>
      </c>
      <c r="B164">
        <v>2022</v>
      </c>
      <c r="C164">
        <v>0.51564568319505044</v>
      </c>
      <c r="D164">
        <v>5728</v>
      </c>
      <c r="E164">
        <v>993223.75</v>
      </c>
      <c r="F164">
        <v>3</v>
      </c>
      <c r="G164">
        <v>112</v>
      </c>
      <c r="H164">
        <v>7.8342649276900002E-4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0.67824776984119739</v>
      </c>
      <c r="O164">
        <v>-0.30045738628360957</v>
      </c>
      <c r="P164">
        <v>501395987.91494077</v>
      </c>
      <c r="Q164">
        <v>298039.76904928999</v>
      </c>
      <c r="R164" t="s">
        <v>963</v>
      </c>
      <c r="S164" t="s">
        <v>988</v>
      </c>
      <c r="T164" t="s">
        <v>992</v>
      </c>
      <c r="U164">
        <v>5461</v>
      </c>
      <c r="V164">
        <v>250</v>
      </c>
      <c r="W164">
        <v>5211</v>
      </c>
    </row>
    <row r="165" spans="1:23" x14ac:dyDescent="0.3">
      <c r="A165" t="s">
        <v>1179</v>
      </c>
      <c r="B165">
        <v>2022</v>
      </c>
      <c r="C165">
        <v>1.7681200540719451</v>
      </c>
      <c r="D165">
        <v>7146</v>
      </c>
      <c r="E165">
        <v>1488800.40625</v>
      </c>
      <c r="F165">
        <v>13</v>
      </c>
      <c r="G165">
        <v>204</v>
      </c>
      <c r="H165">
        <v>2.6401235481479998E-4</v>
      </c>
      <c r="I165">
        <v>2</v>
      </c>
      <c r="J165">
        <v>0</v>
      </c>
      <c r="K165">
        <v>0</v>
      </c>
      <c r="L165">
        <v>0</v>
      </c>
      <c r="M165">
        <v>4</v>
      </c>
      <c r="N165">
        <v>0.50336488629821052</v>
      </c>
      <c r="O165">
        <v>-0.37541085409013081</v>
      </c>
      <c r="P165">
        <v>126895255.7567421</v>
      </c>
      <c r="Q165">
        <v>283362.16654837388</v>
      </c>
      <c r="R165" t="s">
        <v>236</v>
      </c>
      <c r="S165" t="s">
        <v>265</v>
      </c>
      <c r="T165" t="s">
        <v>265</v>
      </c>
      <c r="U165">
        <v>6796</v>
      </c>
      <c r="V165">
        <v>3728</v>
      </c>
      <c r="W165">
        <v>3068</v>
      </c>
    </row>
    <row r="166" spans="1:23" x14ac:dyDescent="0.3">
      <c r="A166" t="s">
        <v>1180</v>
      </c>
      <c r="B166">
        <v>2022</v>
      </c>
      <c r="C166">
        <v>2.9095682783581438</v>
      </c>
      <c r="D166">
        <v>21554</v>
      </c>
      <c r="E166">
        <v>3724699.53125</v>
      </c>
      <c r="F166">
        <v>18</v>
      </c>
      <c r="G166">
        <v>593</v>
      </c>
      <c r="H166">
        <v>2.0159282541660001E-4</v>
      </c>
      <c r="I166">
        <v>15</v>
      </c>
      <c r="J166">
        <v>0</v>
      </c>
      <c r="K166">
        <v>0</v>
      </c>
      <c r="L166">
        <v>0</v>
      </c>
      <c r="M166">
        <v>16</v>
      </c>
      <c r="N166">
        <v>0.44604731485517801</v>
      </c>
      <c r="O166">
        <v>-0.28788381161457421</v>
      </c>
      <c r="P166">
        <v>145817883.9327639</v>
      </c>
      <c r="Q166">
        <v>279331.17860413762</v>
      </c>
      <c r="R166" t="s">
        <v>160</v>
      </c>
      <c r="S166" t="s">
        <v>185</v>
      </c>
      <c r="T166" t="s">
        <v>186</v>
      </c>
      <c r="U166">
        <v>20567</v>
      </c>
      <c r="V166">
        <v>14310</v>
      </c>
      <c r="W166">
        <v>6257</v>
      </c>
    </row>
    <row r="167" spans="1:23" x14ac:dyDescent="0.3">
      <c r="A167" t="s">
        <v>1181</v>
      </c>
      <c r="B167">
        <v>2022</v>
      </c>
      <c r="C167">
        <v>3.3159357355696901</v>
      </c>
      <c r="D167">
        <v>7025</v>
      </c>
      <c r="E167">
        <v>2101440.7673406862</v>
      </c>
      <c r="F167">
        <v>36</v>
      </c>
      <c r="G167">
        <v>251</v>
      </c>
      <c r="H167">
        <v>4.1983687982230001E-4</v>
      </c>
      <c r="I167">
        <v>3</v>
      </c>
      <c r="J167">
        <v>0</v>
      </c>
      <c r="K167">
        <v>0</v>
      </c>
      <c r="L167">
        <v>0</v>
      </c>
      <c r="M167">
        <v>10</v>
      </c>
      <c r="N167">
        <v>0.36646844883779051</v>
      </c>
      <c r="O167">
        <v>-0.31954478695184119</v>
      </c>
      <c r="P167">
        <v>100734569.5577791</v>
      </c>
      <c r="Q167">
        <v>275533.51271680387</v>
      </c>
      <c r="R167" t="s">
        <v>160</v>
      </c>
      <c r="S167" t="s">
        <v>181</v>
      </c>
      <c r="T167" t="s">
        <v>181</v>
      </c>
      <c r="U167">
        <v>6701</v>
      </c>
      <c r="V167">
        <v>5083</v>
      </c>
      <c r="W167">
        <v>1618</v>
      </c>
    </row>
    <row r="168" spans="1:23" x14ac:dyDescent="0.3">
      <c r="A168" t="s">
        <v>1073</v>
      </c>
      <c r="B168">
        <v>2022</v>
      </c>
      <c r="C168">
        <v>21.03945169839794</v>
      </c>
      <c r="D168">
        <v>15832</v>
      </c>
      <c r="E168">
        <v>5069740.7517156862</v>
      </c>
      <c r="F168">
        <v>21</v>
      </c>
      <c r="G168">
        <v>408</v>
      </c>
      <c r="H168">
        <v>1.2607538541373E-3</v>
      </c>
      <c r="I168">
        <v>18</v>
      </c>
      <c r="J168">
        <v>0</v>
      </c>
      <c r="K168">
        <v>0</v>
      </c>
      <c r="L168">
        <v>0</v>
      </c>
      <c r="M168">
        <v>6</v>
      </c>
      <c r="P168">
        <v>7517041.950958401</v>
      </c>
      <c r="Q168">
        <v>3208227.0287158559</v>
      </c>
      <c r="R168" t="s">
        <v>656</v>
      </c>
      <c r="S168" t="s">
        <v>776</v>
      </c>
      <c r="T168" t="s">
        <v>789</v>
      </c>
      <c r="U168">
        <v>15109</v>
      </c>
      <c r="V168">
        <v>11873</v>
      </c>
      <c r="W168">
        <v>3236</v>
      </c>
    </row>
    <row r="169" spans="1:23" x14ac:dyDescent="0.3">
      <c r="A169" t="s">
        <v>1183</v>
      </c>
      <c r="B169">
        <v>2022</v>
      </c>
      <c r="C169">
        <v>0.54351599534291506</v>
      </c>
      <c r="D169">
        <v>3235</v>
      </c>
      <c r="E169">
        <v>1241629.46875</v>
      </c>
      <c r="F169">
        <v>8</v>
      </c>
      <c r="G169">
        <v>53</v>
      </c>
      <c r="H169">
        <v>4.1911203086544002E-3</v>
      </c>
      <c r="I169">
        <v>2</v>
      </c>
      <c r="J169">
        <v>1</v>
      </c>
      <c r="K169">
        <v>1</v>
      </c>
      <c r="L169">
        <v>0</v>
      </c>
      <c r="M169">
        <v>0</v>
      </c>
      <c r="N169">
        <v>0.58809244961333684</v>
      </c>
      <c r="O169">
        <v>-0.22076825904822411</v>
      </c>
      <c r="P169">
        <v>1076216148.3011069</v>
      </c>
      <c r="Q169">
        <v>260759.4577104912</v>
      </c>
      <c r="R169" t="s">
        <v>926</v>
      </c>
      <c r="S169" t="s">
        <v>939</v>
      </c>
      <c r="T169" t="s">
        <v>940</v>
      </c>
      <c r="U169">
        <v>3066</v>
      </c>
      <c r="V169">
        <v>1292</v>
      </c>
      <c r="W169">
        <v>1774</v>
      </c>
    </row>
    <row r="170" spans="1:23" x14ac:dyDescent="0.3">
      <c r="A170" t="s">
        <v>1184</v>
      </c>
      <c r="B170">
        <v>2022</v>
      </c>
      <c r="C170">
        <v>1.293401308282895</v>
      </c>
      <c r="D170">
        <v>6464</v>
      </c>
      <c r="E170">
        <v>248284.515625</v>
      </c>
      <c r="F170">
        <v>2</v>
      </c>
      <c r="G170">
        <v>92</v>
      </c>
      <c r="H170">
        <v>1.8724409326464999E-3</v>
      </c>
      <c r="I170">
        <v>7</v>
      </c>
      <c r="J170">
        <v>0</v>
      </c>
      <c r="K170">
        <v>0</v>
      </c>
      <c r="L170">
        <v>0</v>
      </c>
      <c r="M170">
        <v>0</v>
      </c>
      <c r="N170">
        <v>0.42228515987310722</v>
      </c>
      <c r="O170">
        <v>-0.16467823455262601</v>
      </c>
      <c r="P170">
        <v>154629055.6650863</v>
      </c>
      <c r="Q170">
        <v>248399.9979391706</v>
      </c>
      <c r="R170" t="s">
        <v>352</v>
      </c>
      <c r="S170" t="s">
        <v>404</v>
      </c>
      <c r="T170" t="s">
        <v>409</v>
      </c>
      <c r="U170">
        <v>6173</v>
      </c>
      <c r="V170">
        <v>963</v>
      </c>
      <c r="W170">
        <v>5210</v>
      </c>
    </row>
    <row r="171" spans="1:23" x14ac:dyDescent="0.3">
      <c r="A171" t="s">
        <v>1185</v>
      </c>
      <c r="B171">
        <v>2022</v>
      </c>
      <c r="C171">
        <v>9.1064468513855896</v>
      </c>
      <c r="D171">
        <v>3385</v>
      </c>
      <c r="E171">
        <v>6443013.4837622549</v>
      </c>
      <c r="F171">
        <v>700</v>
      </c>
      <c r="G171">
        <v>115</v>
      </c>
      <c r="H171">
        <v>3.004830712264E-3</v>
      </c>
      <c r="I171">
        <v>16</v>
      </c>
      <c r="J171">
        <v>0</v>
      </c>
      <c r="K171">
        <v>0</v>
      </c>
      <c r="L171">
        <v>0</v>
      </c>
      <c r="M171">
        <v>1</v>
      </c>
      <c r="N171">
        <v>0.2480081612911664</v>
      </c>
      <c r="O171">
        <v>-0.33313752735143187</v>
      </c>
      <c r="P171">
        <v>10400715.2846606</v>
      </c>
      <c r="Q171">
        <v>247617.4714186186</v>
      </c>
      <c r="R171" t="s">
        <v>195</v>
      </c>
      <c r="S171" t="s">
        <v>196</v>
      </c>
      <c r="T171" t="s">
        <v>202</v>
      </c>
      <c r="U171">
        <v>3230</v>
      </c>
      <c r="V171">
        <v>1524</v>
      </c>
      <c r="W171">
        <v>1706</v>
      </c>
    </row>
    <row r="172" spans="1:23" x14ac:dyDescent="0.3">
      <c r="A172" t="s">
        <v>1186</v>
      </c>
      <c r="B172">
        <v>2022</v>
      </c>
      <c r="C172">
        <v>1.5178901316596469</v>
      </c>
      <c r="D172">
        <v>10571</v>
      </c>
      <c r="E172">
        <v>170392.29932598039</v>
      </c>
      <c r="F172">
        <v>1</v>
      </c>
      <c r="G172">
        <v>147</v>
      </c>
      <c r="H172">
        <v>4.4046665400249998E-4</v>
      </c>
      <c r="I172">
        <v>2</v>
      </c>
      <c r="J172">
        <v>0</v>
      </c>
      <c r="K172">
        <v>0</v>
      </c>
      <c r="L172">
        <v>0</v>
      </c>
      <c r="M172">
        <v>9</v>
      </c>
      <c r="N172">
        <v>0.2301782444435149</v>
      </c>
      <c r="O172">
        <v>-0.21557946951513751</v>
      </c>
      <c r="P172">
        <v>137385853.31914711</v>
      </c>
      <c r="Q172">
        <v>244666.34155491661</v>
      </c>
      <c r="R172" t="s">
        <v>410</v>
      </c>
      <c r="S172" t="s">
        <v>427</v>
      </c>
      <c r="T172" t="s">
        <v>429</v>
      </c>
      <c r="U172">
        <v>10080</v>
      </c>
      <c r="V172">
        <v>1529</v>
      </c>
      <c r="W172">
        <v>8551</v>
      </c>
    </row>
    <row r="173" spans="1:23" x14ac:dyDescent="0.3">
      <c r="A173" t="s">
        <v>1187</v>
      </c>
      <c r="B173">
        <v>2022</v>
      </c>
      <c r="C173">
        <v>1.5158755142226441</v>
      </c>
      <c r="D173">
        <v>2422</v>
      </c>
      <c r="E173">
        <v>506386.50821078429</v>
      </c>
      <c r="F173">
        <v>13</v>
      </c>
      <c r="G173">
        <v>124</v>
      </c>
      <c r="H173">
        <v>6.9659866034290003E-4</v>
      </c>
      <c r="I173">
        <v>9</v>
      </c>
      <c r="J173">
        <v>0</v>
      </c>
      <c r="K173">
        <v>0</v>
      </c>
      <c r="L173">
        <v>0</v>
      </c>
      <c r="M173">
        <v>0</v>
      </c>
      <c r="N173">
        <v>0.64828022007353758</v>
      </c>
      <c r="O173">
        <v>-0.33581229964453468</v>
      </c>
      <c r="P173">
        <v>47401944.281787887</v>
      </c>
      <c r="Q173">
        <v>243796.8965665476</v>
      </c>
      <c r="R173" t="s">
        <v>291</v>
      </c>
      <c r="S173" t="s">
        <v>340</v>
      </c>
      <c r="T173" t="s">
        <v>345</v>
      </c>
      <c r="U173">
        <v>2308</v>
      </c>
      <c r="V173">
        <v>1222</v>
      </c>
      <c r="W173">
        <v>1086</v>
      </c>
    </row>
    <row r="174" spans="1:23" x14ac:dyDescent="0.3">
      <c r="A174" t="s">
        <v>1084</v>
      </c>
      <c r="B174">
        <v>2022</v>
      </c>
      <c r="C174">
        <v>11.97801969502507</v>
      </c>
      <c r="D174">
        <v>6455</v>
      </c>
      <c r="E174">
        <v>1778206.684375</v>
      </c>
      <c r="F174">
        <v>15</v>
      </c>
      <c r="G174">
        <v>188</v>
      </c>
      <c r="H174">
        <v>1.7209058086352E-3</v>
      </c>
      <c r="I174">
        <v>16</v>
      </c>
      <c r="J174">
        <v>0</v>
      </c>
      <c r="K174">
        <v>0</v>
      </c>
      <c r="L174">
        <v>0</v>
      </c>
      <c r="M174">
        <v>2</v>
      </c>
      <c r="P174">
        <v>7573758.0401183376</v>
      </c>
      <c r="Q174">
        <v>2199782.5651710788</v>
      </c>
      <c r="R174" t="s">
        <v>656</v>
      </c>
      <c r="S174" t="s">
        <v>776</v>
      </c>
      <c r="T174" t="s">
        <v>806</v>
      </c>
      <c r="U174">
        <v>6152</v>
      </c>
      <c r="V174">
        <v>4283</v>
      </c>
      <c r="W174">
        <v>1869</v>
      </c>
    </row>
    <row r="175" spans="1:23" x14ac:dyDescent="0.3">
      <c r="A175" t="s">
        <v>1189</v>
      </c>
      <c r="B175">
        <v>2022</v>
      </c>
      <c r="C175">
        <v>4.4082035689426071</v>
      </c>
      <c r="D175">
        <v>9714</v>
      </c>
      <c r="E175">
        <v>1481752.5919730391</v>
      </c>
      <c r="F175">
        <v>28</v>
      </c>
      <c r="G175">
        <v>406</v>
      </c>
      <c r="H175">
        <v>4.0797172191539999E-4</v>
      </c>
      <c r="I175">
        <v>3</v>
      </c>
      <c r="J175">
        <v>4.08163265306122E-2</v>
      </c>
      <c r="K175">
        <v>1</v>
      </c>
      <c r="L175">
        <v>0</v>
      </c>
      <c r="M175">
        <v>5</v>
      </c>
      <c r="N175">
        <v>0.50082799910391795</v>
      </c>
      <c r="O175">
        <v>-0.39452571823347171</v>
      </c>
      <c r="P175">
        <v>63104682.145040959</v>
      </c>
      <c r="Q175">
        <v>240149.23469166411</v>
      </c>
      <c r="R175" t="s">
        <v>128</v>
      </c>
      <c r="S175" t="s">
        <v>156</v>
      </c>
      <c r="T175" t="s">
        <v>156</v>
      </c>
      <c r="U175">
        <v>9264</v>
      </c>
      <c r="V175">
        <v>6055</v>
      </c>
      <c r="W175">
        <v>3209</v>
      </c>
    </row>
    <row r="176" spans="1:23" x14ac:dyDescent="0.3">
      <c r="A176" t="s">
        <v>1190</v>
      </c>
      <c r="B176">
        <v>2022</v>
      </c>
      <c r="C176">
        <v>5.1647824438831744</v>
      </c>
      <c r="D176">
        <v>9945</v>
      </c>
      <c r="E176">
        <v>5461355.96875</v>
      </c>
      <c r="F176">
        <v>123</v>
      </c>
      <c r="G176">
        <v>254</v>
      </c>
      <c r="H176">
        <v>1.8699500557643001E-3</v>
      </c>
      <c r="I176">
        <v>7</v>
      </c>
      <c r="J176">
        <v>0</v>
      </c>
      <c r="K176">
        <v>0</v>
      </c>
      <c r="L176">
        <v>0</v>
      </c>
      <c r="M176">
        <v>5</v>
      </c>
      <c r="N176">
        <v>0.58534506454066149</v>
      </c>
      <c r="O176">
        <v>-0.28693145828981759</v>
      </c>
      <c r="P176">
        <v>24161781.983644389</v>
      </c>
      <c r="Q176">
        <v>230591.1409271039</v>
      </c>
      <c r="R176" t="s">
        <v>760</v>
      </c>
      <c r="S176" t="s">
        <v>770</v>
      </c>
      <c r="T176" t="s">
        <v>772</v>
      </c>
      <c r="U176">
        <v>9441</v>
      </c>
      <c r="V176">
        <v>5680</v>
      </c>
      <c r="W176">
        <v>3761</v>
      </c>
    </row>
    <row r="177" spans="1:23" x14ac:dyDescent="0.3">
      <c r="A177" t="s">
        <v>1191</v>
      </c>
      <c r="B177">
        <v>2022</v>
      </c>
      <c r="C177">
        <v>1.6036495929100569</v>
      </c>
      <c r="D177">
        <v>6938</v>
      </c>
      <c r="E177">
        <v>1486804.125</v>
      </c>
      <c r="F177">
        <v>15</v>
      </c>
      <c r="G177">
        <v>214</v>
      </c>
      <c r="H177">
        <v>3.2577518547820001E-4</v>
      </c>
      <c r="I177">
        <v>4</v>
      </c>
      <c r="J177">
        <v>0</v>
      </c>
      <c r="K177">
        <v>0</v>
      </c>
      <c r="L177">
        <v>0</v>
      </c>
      <c r="M177">
        <v>2</v>
      </c>
      <c r="N177">
        <v>0.30182010208506072</v>
      </c>
      <c r="O177">
        <v>-0.20119646726047649</v>
      </c>
      <c r="P177">
        <v>129842551.12085781</v>
      </c>
      <c r="Q177">
        <v>229106.6426245069</v>
      </c>
      <c r="R177" t="s">
        <v>291</v>
      </c>
      <c r="S177" t="s">
        <v>314</v>
      </c>
      <c r="T177" t="s">
        <v>314</v>
      </c>
      <c r="U177">
        <v>6603</v>
      </c>
      <c r="V177">
        <v>4732</v>
      </c>
      <c r="W177">
        <v>1871</v>
      </c>
    </row>
    <row r="178" spans="1:23" x14ac:dyDescent="0.3">
      <c r="A178" t="s">
        <v>1192</v>
      </c>
      <c r="B178">
        <v>2022</v>
      </c>
      <c r="C178">
        <v>5.1701432897421844</v>
      </c>
      <c r="D178">
        <v>1293</v>
      </c>
      <c r="E178">
        <v>744767.65625</v>
      </c>
      <c r="F178">
        <v>131</v>
      </c>
      <c r="G178">
        <v>81</v>
      </c>
      <c r="H178">
        <v>1.1104751561758E-3</v>
      </c>
      <c r="I178">
        <v>15</v>
      </c>
      <c r="J178">
        <v>0</v>
      </c>
      <c r="K178">
        <v>0</v>
      </c>
      <c r="L178">
        <v>0</v>
      </c>
      <c r="M178">
        <v>0</v>
      </c>
      <c r="N178">
        <v>0.49440932739586901</v>
      </c>
      <c r="O178">
        <v>-0.30497313186285302</v>
      </c>
      <c r="P178">
        <v>11259654.65620539</v>
      </c>
      <c r="Q178">
        <v>227328.33285382541</v>
      </c>
      <c r="R178" t="s">
        <v>834</v>
      </c>
      <c r="S178" t="s">
        <v>876</v>
      </c>
      <c r="T178" t="s">
        <v>877</v>
      </c>
      <c r="U178">
        <v>1234</v>
      </c>
      <c r="V178">
        <v>693</v>
      </c>
      <c r="W178">
        <v>541</v>
      </c>
    </row>
    <row r="179" spans="1:23" x14ac:dyDescent="0.3">
      <c r="A179" t="s">
        <v>1193</v>
      </c>
      <c r="B179">
        <v>2022</v>
      </c>
      <c r="C179">
        <v>5.7744348028492869</v>
      </c>
      <c r="D179">
        <v>9229</v>
      </c>
      <c r="E179">
        <v>1337058.510110294</v>
      </c>
      <c r="F179">
        <v>37</v>
      </c>
      <c r="G179">
        <v>381</v>
      </c>
      <c r="H179">
        <v>7.7179477758949997E-4</v>
      </c>
      <c r="I179">
        <v>7</v>
      </c>
      <c r="J179">
        <v>0</v>
      </c>
      <c r="K179">
        <v>0</v>
      </c>
      <c r="L179">
        <v>0</v>
      </c>
      <c r="M179">
        <v>6</v>
      </c>
      <c r="N179">
        <v>0.387550571170166</v>
      </c>
      <c r="O179">
        <v>-0.25089974657093927</v>
      </c>
      <c r="P179">
        <v>27983090.52790102</v>
      </c>
      <c r="Q179">
        <v>226101.54226620251</v>
      </c>
      <c r="R179" t="s">
        <v>464</v>
      </c>
      <c r="S179" t="s">
        <v>485</v>
      </c>
      <c r="T179" t="s">
        <v>487</v>
      </c>
      <c r="U179">
        <v>8809</v>
      </c>
      <c r="V179">
        <v>3462</v>
      </c>
      <c r="W179">
        <v>5347</v>
      </c>
    </row>
    <row r="180" spans="1:23" x14ac:dyDescent="0.3">
      <c r="A180" t="s">
        <v>1194</v>
      </c>
      <c r="B180">
        <v>2022</v>
      </c>
      <c r="C180">
        <v>1.8850651658675519</v>
      </c>
      <c r="D180">
        <v>11140</v>
      </c>
      <c r="E180">
        <v>1735887.140625</v>
      </c>
      <c r="F180">
        <v>13</v>
      </c>
      <c r="G180">
        <v>295</v>
      </c>
      <c r="H180">
        <v>3.2635383293839999E-4</v>
      </c>
      <c r="I180">
        <v>9</v>
      </c>
      <c r="J180">
        <v>0</v>
      </c>
      <c r="K180">
        <v>0</v>
      </c>
      <c r="L180">
        <v>0</v>
      </c>
      <c r="M180">
        <v>10</v>
      </c>
      <c r="N180">
        <v>0.45302198343647759</v>
      </c>
      <c r="O180">
        <v>-0.28795865593312531</v>
      </c>
      <c r="P180">
        <v>144069841.30832109</v>
      </c>
      <c r="Q180">
        <v>225953.62385510409</v>
      </c>
      <c r="R180" t="s">
        <v>23</v>
      </c>
      <c r="S180" t="s">
        <v>80</v>
      </c>
      <c r="T180" t="s">
        <v>80</v>
      </c>
      <c r="U180">
        <v>10655</v>
      </c>
      <c r="V180">
        <v>6370</v>
      </c>
      <c r="W180">
        <v>4285</v>
      </c>
    </row>
    <row r="181" spans="1:23" x14ac:dyDescent="0.3">
      <c r="A181" t="s">
        <v>1195</v>
      </c>
      <c r="B181">
        <v>2022</v>
      </c>
      <c r="C181">
        <v>0.95885753906347859</v>
      </c>
      <c r="D181">
        <v>21331</v>
      </c>
      <c r="E181">
        <v>1489432.71875</v>
      </c>
      <c r="F181">
        <v>3</v>
      </c>
      <c r="G181">
        <v>318</v>
      </c>
      <c r="H181">
        <v>2.0691521870279999E-4</v>
      </c>
      <c r="I181">
        <v>15</v>
      </c>
      <c r="J181">
        <v>5.5555555555555497E-2</v>
      </c>
      <c r="K181">
        <v>1</v>
      </c>
      <c r="L181">
        <v>0</v>
      </c>
      <c r="M181">
        <v>2</v>
      </c>
      <c r="N181">
        <v>0.32133907192317662</v>
      </c>
      <c r="O181">
        <v>-0.29746494581864957</v>
      </c>
      <c r="P181">
        <v>544023925.07545185</v>
      </c>
      <c r="Q181">
        <v>223173.43948576419</v>
      </c>
      <c r="R181" t="s">
        <v>410</v>
      </c>
      <c r="S181" t="s">
        <v>420</v>
      </c>
      <c r="T181" t="s">
        <v>420</v>
      </c>
      <c r="U181">
        <v>20299</v>
      </c>
      <c r="V181">
        <v>4363</v>
      </c>
      <c r="W181">
        <v>15936</v>
      </c>
    </row>
    <row r="182" spans="1:23" x14ac:dyDescent="0.3">
      <c r="A182" t="s">
        <v>1196</v>
      </c>
      <c r="B182">
        <v>2022</v>
      </c>
      <c r="C182">
        <v>9.1473590497282693</v>
      </c>
      <c r="D182">
        <v>68944</v>
      </c>
      <c r="E182">
        <v>19704434.839644611</v>
      </c>
      <c r="F182">
        <v>119</v>
      </c>
      <c r="G182">
        <v>1795</v>
      </c>
      <c r="H182">
        <v>2.5888489420639998E-4</v>
      </c>
      <c r="I182">
        <v>17</v>
      </c>
      <c r="J182">
        <v>8.6187083429095993E-3</v>
      </c>
      <c r="K182">
        <v>4</v>
      </c>
      <c r="L182">
        <v>0</v>
      </c>
      <c r="M182">
        <v>23</v>
      </c>
      <c r="N182">
        <v>0.5629917547970138</v>
      </c>
      <c r="O182">
        <v>-0.27234381883984859</v>
      </c>
      <c r="P182">
        <v>216958363.03748101</v>
      </c>
      <c r="Q182">
        <v>219693.02616348729</v>
      </c>
      <c r="R182" t="s">
        <v>926</v>
      </c>
      <c r="S182" t="s">
        <v>927</v>
      </c>
      <c r="T182" t="s">
        <v>928</v>
      </c>
      <c r="U182">
        <v>64904</v>
      </c>
      <c r="V182">
        <v>37197</v>
      </c>
      <c r="W182">
        <v>27707</v>
      </c>
    </row>
    <row r="183" spans="1:23" x14ac:dyDescent="0.3">
      <c r="A183" t="s">
        <v>1197</v>
      </c>
      <c r="B183">
        <v>2022</v>
      </c>
      <c r="C183">
        <v>1.3534565905597979</v>
      </c>
      <c r="D183">
        <v>9088</v>
      </c>
      <c r="E183">
        <v>1738283.34375</v>
      </c>
      <c r="F183">
        <v>12</v>
      </c>
      <c r="G183">
        <v>372</v>
      </c>
      <c r="H183">
        <v>7.7426685925190001E-4</v>
      </c>
      <c r="I183">
        <v>20</v>
      </c>
      <c r="J183">
        <v>2.1972534332084799E-2</v>
      </c>
      <c r="K183">
        <v>2</v>
      </c>
      <c r="L183">
        <v>0</v>
      </c>
      <c r="M183">
        <v>6</v>
      </c>
      <c r="N183">
        <v>0.63811482788413243</v>
      </c>
      <c r="O183">
        <v>-0.29982825056000978</v>
      </c>
      <c r="P183">
        <v>239149072.1365118</v>
      </c>
      <c r="Q183">
        <v>215732.3804154527</v>
      </c>
      <c r="R183" t="s">
        <v>926</v>
      </c>
      <c r="S183" t="s">
        <v>927</v>
      </c>
      <c r="T183" t="s">
        <v>933</v>
      </c>
      <c r="U183">
        <v>8662</v>
      </c>
      <c r="V183">
        <v>2683</v>
      </c>
      <c r="W183">
        <v>5979</v>
      </c>
    </row>
    <row r="184" spans="1:23" x14ac:dyDescent="0.3">
      <c r="A184" t="s">
        <v>1198</v>
      </c>
      <c r="B184">
        <v>2022</v>
      </c>
      <c r="C184">
        <v>3.104288539987714</v>
      </c>
      <c r="D184">
        <v>3755</v>
      </c>
      <c r="E184">
        <v>2902601.3778799018</v>
      </c>
      <c r="F184">
        <v>112</v>
      </c>
      <c r="G184">
        <v>157</v>
      </c>
      <c r="H184">
        <v>4.1295303898039999E-4</v>
      </c>
      <c r="I184">
        <v>19</v>
      </c>
      <c r="J184">
        <v>0</v>
      </c>
      <c r="K184">
        <v>0</v>
      </c>
      <c r="L184">
        <v>0</v>
      </c>
      <c r="M184">
        <v>4</v>
      </c>
      <c r="N184">
        <v>0.52911396789656251</v>
      </c>
      <c r="O184">
        <v>-0.30534448475347559</v>
      </c>
      <c r="P184">
        <v>40385129.813849308</v>
      </c>
      <c r="Q184">
        <v>214250.33749061069</v>
      </c>
      <c r="R184" t="s">
        <v>23</v>
      </c>
      <c r="S184" t="s">
        <v>99</v>
      </c>
      <c r="T184" t="s">
        <v>99</v>
      </c>
      <c r="U184">
        <v>3582</v>
      </c>
      <c r="V184">
        <v>2438</v>
      </c>
      <c r="W184">
        <v>1144</v>
      </c>
    </row>
    <row r="185" spans="1:23" x14ac:dyDescent="0.3">
      <c r="A185" t="s">
        <v>1199</v>
      </c>
      <c r="B185">
        <v>2022</v>
      </c>
      <c r="C185">
        <v>0.78775994027479324</v>
      </c>
      <c r="D185">
        <v>10442</v>
      </c>
      <c r="E185">
        <v>3967734.6639705878</v>
      </c>
      <c r="F185">
        <v>14</v>
      </c>
      <c r="G185">
        <v>318</v>
      </c>
      <c r="H185">
        <v>1.2985510723570001E-4</v>
      </c>
      <c r="I185">
        <v>11</v>
      </c>
      <c r="J185">
        <v>0</v>
      </c>
      <c r="K185">
        <v>0</v>
      </c>
      <c r="L185">
        <v>0</v>
      </c>
      <c r="M185">
        <v>0</v>
      </c>
      <c r="N185">
        <v>0.29783258776052318</v>
      </c>
      <c r="O185">
        <v>-0.2732616950550249</v>
      </c>
      <c r="P185">
        <v>241597889.6097692</v>
      </c>
      <c r="Q185">
        <v>213808.41258623809</v>
      </c>
      <c r="R185" t="s">
        <v>236</v>
      </c>
      <c r="S185" t="s">
        <v>270</v>
      </c>
      <c r="T185" t="s">
        <v>272</v>
      </c>
      <c r="U185">
        <v>9973</v>
      </c>
      <c r="V185">
        <v>519</v>
      </c>
      <c r="W185">
        <v>9454</v>
      </c>
    </row>
    <row r="186" spans="1:23" x14ac:dyDescent="0.3">
      <c r="A186" t="s">
        <v>1200</v>
      </c>
      <c r="B186">
        <v>2022</v>
      </c>
      <c r="C186">
        <v>10.978722373292779</v>
      </c>
      <c r="D186">
        <v>12809</v>
      </c>
      <c r="E186">
        <v>1375027.440073529</v>
      </c>
      <c r="F186">
        <v>57</v>
      </c>
      <c r="G186">
        <v>180</v>
      </c>
      <c r="H186">
        <v>1.8033397349800999E-3</v>
      </c>
      <c r="I186">
        <v>7</v>
      </c>
      <c r="J186">
        <v>0</v>
      </c>
      <c r="K186">
        <v>0</v>
      </c>
      <c r="L186">
        <v>0</v>
      </c>
      <c r="M186">
        <v>0</v>
      </c>
      <c r="N186">
        <v>0.36420105540215908</v>
      </c>
      <c r="O186">
        <v>-0.28905879967841719</v>
      </c>
      <c r="P186">
        <v>18309068.804060929</v>
      </c>
      <c r="Q186">
        <v>206763.12461532341</v>
      </c>
      <c r="R186" t="s">
        <v>464</v>
      </c>
      <c r="S186" t="s">
        <v>472</v>
      </c>
      <c r="T186" t="s">
        <v>328</v>
      </c>
      <c r="U186">
        <v>12215</v>
      </c>
      <c r="V186">
        <v>6571</v>
      </c>
      <c r="W186">
        <v>5644</v>
      </c>
    </row>
    <row r="187" spans="1:23" x14ac:dyDescent="0.3">
      <c r="A187" t="s">
        <v>1201</v>
      </c>
      <c r="B187">
        <v>2022</v>
      </c>
      <c r="C187">
        <v>11.128568658698359</v>
      </c>
      <c r="D187">
        <v>36409</v>
      </c>
      <c r="E187">
        <v>4724842.6190563729</v>
      </c>
      <c r="F187">
        <v>72</v>
      </c>
      <c r="G187">
        <v>756</v>
      </c>
      <c r="H187">
        <v>2.2165701435289999E-4</v>
      </c>
      <c r="I187">
        <v>45</v>
      </c>
      <c r="J187">
        <v>0</v>
      </c>
      <c r="K187">
        <v>0</v>
      </c>
      <c r="L187">
        <v>0</v>
      </c>
      <c r="M187">
        <v>12</v>
      </c>
      <c r="N187">
        <v>0.52947379268224515</v>
      </c>
      <c r="O187">
        <v>-0.352527515264344</v>
      </c>
      <c r="P187">
        <v>44346774.144208401</v>
      </c>
      <c r="Q187">
        <v>200578.97577107401</v>
      </c>
      <c r="R187" t="s">
        <v>23</v>
      </c>
      <c r="S187" t="s">
        <v>24</v>
      </c>
      <c r="T187" t="s">
        <v>45</v>
      </c>
      <c r="U187">
        <v>34785</v>
      </c>
      <c r="V187">
        <v>24756</v>
      </c>
      <c r="W187">
        <v>10029</v>
      </c>
    </row>
    <row r="188" spans="1:23" x14ac:dyDescent="0.3">
      <c r="A188" t="s">
        <v>1202</v>
      </c>
      <c r="B188">
        <v>2022</v>
      </c>
      <c r="C188">
        <v>10.028362483574419</v>
      </c>
      <c r="D188">
        <v>12149</v>
      </c>
      <c r="E188">
        <v>1239120.78125</v>
      </c>
      <c r="F188">
        <v>53</v>
      </c>
      <c r="G188">
        <v>276</v>
      </c>
      <c r="H188">
        <v>4.1617082274029998E-4</v>
      </c>
      <c r="I188">
        <v>6</v>
      </c>
      <c r="J188">
        <v>0</v>
      </c>
      <c r="K188">
        <v>0</v>
      </c>
      <c r="L188">
        <v>0</v>
      </c>
      <c r="M188">
        <v>2</v>
      </c>
      <c r="N188">
        <v>0.47685687593080101</v>
      </c>
      <c r="O188">
        <v>-0.343954678562233</v>
      </c>
      <c r="P188">
        <v>17101117.23067623</v>
      </c>
      <c r="Q188">
        <v>192986.6477915711</v>
      </c>
      <c r="R188" t="s">
        <v>291</v>
      </c>
      <c r="S188" t="s">
        <v>340</v>
      </c>
      <c r="T188" t="s">
        <v>340</v>
      </c>
      <c r="U188">
        <v>11530</v>
      </c>
      <c r="V188">
        <v>9488</v>
      </c>
      <c r="W188">
        <v>2042</v>
      </c>
    </row>
    <row r="189" spans="1:23" x14ac:dyDescent="0.3">
      <c r="A189" t="s">
        <v>1203</v>
      </c>
      <c r="B189">
        <v>2022</v>
      </c>
      <c r="C189">
        <v>3.838609854703217</v>
      </c>
      <c r="D189">
        <v>13123</v>
      </c>
      <c r="E189">
        <v>3871791.2958333329</v>
      </c>
      <c r="F189">
        <v>59</v>
      </c>
      <c r="G189">
        <v>414</v>
      </c>
      <c r="H189">
        <v>5.835192401866E-4</v>
      </c>
      <c r="I189">
        <v>12</v>
      </c>
      <c r="J189">
        <v>1.8489378442171502E-2</v>
      </c>
      <c r="K189">
        <v>2</v>
      </c>
      <c r="L189">
        <v>0</v>
      </c>
      <c r="M189">
        <v>10</v>
      </c>
      <c r="P189">
        <v>65650049.666887708</v>
      </c>
      <c r="Q189">
        <v>191955.59386017779</v>
      </c>
      <c r="R189" t="s">
        <v>656</v>
      </c>
      <c r="S189" t="s">
        <v>813</v>
      </c>
      <c r="T189" t="s">
        <v>816</v>
      </c>
      <c r="U189">
        <v>12526</v>
      </c>
      <c r="V189">
        <v>9341</v>
      </c>
      <c r="W189">
        <v>3185</v>
      </c>
    </row>
    <row r="190" spans="1:23" x14ac:dyDescent="0.3">
      <c r="A190" t="s">
        <v>1204</v>
      </c>
      <c r="B190">
        <v>2022</v>
      </c>
      <c r="C190">
        <v>0.73610117423772048</v>
      </c>
      <c r="D190">
        <v>4906</v>
      </c>
      <c r="E190">
        <v>495612.59375</v>
      </c>
      <c r="F190">
        <v>4</v>
      </c>
      <c r="G190">
        <v>84</v>
      </c>
      <c r="H190">
        <v>3.3972956355250001E-4</v>
      </c>
      <c r="I190">
        <v>3</v>
      </c>
      <c r="J190">
        <v>0</v>
      </c>
      <c r="K190">
        <v>0</v>
      </c>
      <c r="L190">
        <v>0</v>
      </c>
      <c r="M190">
        <v>3</v>
      </c>
      <c r="N190">
        <v>0.52108465120138558</v>
      </c>
      <c r="O190">
        <v>-0.31956937047776651</v>
      </c>
      <c r="P190">
        <v>157384017.1195713</v>
      </c>
      <c r="Q190">
        <v>185905.53007866759</v>
      </c>
      <c r="R190" t="s">
        <v>503</v>
      </c>
      <c r="S190" t="s">
        <v>503</v>
      </c>
      <c r="T190" t="s">
        <v>510</v>
      </c>
      <c r="U190">
        <v>4686</v>
      </c>
      <c r="V190">
        <v>534</v>
      </c>
      <c r="W190">
        <v>4152</v>
      </c>
    </row>
    <row r="191" spans="1:23" x14ac:dyDescent="0.3">
      <c r="A191" t="s">
        <v>1205</v>
      </c>
      <c r="B191">
        <v>2022</v>
      </c>
      <c r="C191">
        <v>1.9050266378261851</v>
      </c>
      <c r="D191">
        <v>2794</v>
      </c>
      <c r="E191">
        <v>731412.09785539214</v>
      </c>
      <c r="F191">
        <v>27</v>
      </c>
      <c r="G191">
        <v>99</v>
      </c>
      <c r="H191">
        <v>7.7062198376460004E-4</v>
      </c>
      <c r="I191">
        <v>3</v>
      </c>
      <c r="J191">
        <v>0</v>
      </c>
      <c r="K191">
        <v>0</v>
      </c>
      <c r="L191">
        <v>0</v>
      </c>
      <c r="M191">
        <v>2</v>
      </c>
      <c r="N191">
        <v>0.43414273839081929</v>
      </c>
      <c r="O191">
        <v>-0.25508061477185329</v>
      </c>
      <c r="P191">
        <v>74019422.555458501</v>
      </c>
      <c r="Q191">
        <v>184702.60739187861</v>
      </c>
      <c r="R191" t="s">
        <v>23</v>
      </c>
      <c r="S191" t="s">
        <v>50</v>
      </c>
      <c r="T191" t="s">
        <v>57</v>
      </c>
      <c r="U191">
        <v>2668</v>
      </c>
      <c r="V191">
        <v>1383</v>
      </c>
      <c r="W191">
        <v>1285</v>
      </c>
    </row>
    <row r="192" spans="1:23" x14ac:dyDescent="0.3">
      <c r="A192" t="s">
        <v>1206</v>
      </c>
      <c r="B192">
        <v>2022</v>
      </c>
      <c r="C192">
        <v>1.437556904973502</v>
      </c>
      <c r="D192">
        <v>9875</v>
      </c>
      <c r="E192">
        <v>496173.71875</v>
      </c>
      <c r="F192">
        <v>4</v>
      </c>
      <c r="G192">
        <v>166</v>
      </c>
      <c r="H192">
        <v>1.2498456756501E-3</v>
      </c>
      <c r="I192">
        <v>6</v>
      </c>
      <c r="J192">
        <v>0</v>
      </c>
      <c r="K192">
        <v>0</v>
      </c>
      <c r="L192">
        <v>0</v>
      </c>
      <c r="M192">
        <v>0</v>
      </c>
      <c r="N192">
        <v>0.47658203527010751</v>
      </c>
      <c r="O192">
        <v>-0.32346849832645708</v>
      </c>
      <c r="P192">
        <v>103330347.3823636</v>
      </c>
      <c r="Q192">
        <v>180576.69758365641</v>
      </c>
      <c r="R192" t="s">
        <v>410</v>
      </c>
      <c r="S192" t="s">
        <v>433</v>
      </c>
      <c r="T192" t="s">
        <v>435</v>
      </c>
      <c r="U192">
        <v>9398</v>
      </c>
      <c r="V192">
        <v>3013</v>
      </c>
      <c r="W192">
        <v>6385</v>
      </c>
    </row>
    <row r="193" spans="1:23" x14ac:dyDescent="0.3">
      <c r="A193" t="s">
        <v>1207</v>
      </c>
      <c r="B193">
        <v>2022</v>
      </c>
      <c r="C193">
        <v>0.82012366333892606</v>
      </c>
      <c r="D193">
        <v>3372</v>
      </c>
      <c r="E193">
        <v>496183.765625</v>
      </c>
      <c r="F193">
        <v>7</v>
      </c>
      <c r="G193">
        <v>152</v>
      </c>
      <c r="H193">
        <v>1.6697148492999999E-4</v>
      </c>
      <c r="I193">
        <v>4</v>
      </c>
      <c r="J193">
        <v>0</v>
      </c>
      <c r="K193">
        <v>0</v>
      </c>
      <c r="L193">
        <v>0</v>
      </c>
      <c r="M193">
        <v>2</v>
      </c>
      <c r="N193">
        <v>0.45714633000030003</v>
      </c>
      <c r="O193">
        <v>-0.40520307862526989</v>
      </c>
      <c r="P193">
        <v>291109803.13582581</v>
      </c>
      <c r="Q193">
        <v>172399.61343572201</v>
      </c>
      <c r="R193" t="s">
        <v>128</v>
      </c>
      <c r="S193" t="s">
        <v>128</v>
      </c>
      <c r="T193" t="s">
        <v>145</v>
      </c>
      <c r="U193">
        <v>3223</v>
      </c>
      <c r="V193">
        <v>1258</v>
      </c>
      <c r="W193">
        <v>1965</v>
      </c>
    </row>
    <row r="194" spans="1:23" x14ac:dyDescent="0.3">
      <c r="A194" t="s">
        <v>1208</v>
      </c>
      <c r="B194">
        <v>2022</v>
      </c>
      <c r="C194">
        <v>1.2718281283910571</v>
      </c>
      <c r="D194">
        <v>4182</v>
      </c>
      <c r="E194">
        <v>3814125.3053308828</v>
      </c>
      <c r="F194">
        <v>68</v>
      </c>
      <c r="G194">
        <v>176</v>
      </c>
      <c r="H194">
        <v>6.2128104573170001E-4</v>
      </c>
      <c r="I194">
        <v>20</v>
      </c>
      <c r="J194">
        <v>0</v>
      </c>
      <c r="K194">
        <v>0</v>
      </c>
      <c r="L194">
        <v>0</v>
      </c>
      <c r="M194">
        <v>8</v>
      </c>
      <c r="P194">
        <v>48313408.359092392</v>
      </c>
      <c r="Q194">
        <v>170580.91570765269</v>
      </c>
      <c r="R194" t="s">
        <v>195</v>
      </c>
      <c r="S194" t="s">
        <v>228</v>
      </c>
      <c r="T194" t="s">
        <v>1015</v>
      </c>
      <c r="U194">
        <v>3510</v>
      </c>
      <c r="V194">
        <v>724</v>
      </c>
      <c r="W194">
        <v>2786</v>
      </c>
    </row>
    <row r="195" spans="1:23" x14ac:dyDescent="0.3">
      <c r="A195" t="s">
        <v>1209</v>
      </c>
      <c r="B195">
        <v>2022</v>
      </c>
      <c r="C195">
        <v>1.5988315580280781</v>
      </c>
      <c r="D195">
        <v>3335</v>
      </c>
      <c r="E195">
        <v>603493.37665441178</v>
      </c>
      <c r="F195">
        <v>17</v>
      </c>
      <c r="G195">
        <v>183</v>
      </c>
      <c r="H195">
        <v>5.316321105794E-4</v>
      </c>
      <c r="I195">
        <v>28</v>
      </c>
      <c r="J195">
        <v>0</v>
      </c>
      <c r="K195">
        <v>0</v>
      </c>
      <c r="L195">
        <v>0</v>
      </c>
      <c r="M195">
        <v>0</v>
      </c>
      <c r="N195">
        <v>0.39044624516991999</v>
      </c>
      <c r="O195">
        <v>-0.38240814456176619</v>
      </c>
      <c r="P195">
        <v>55731379.441941537</v>
      </c>
      <c r="Q195">
        <v>170188.59787565019</v>
      </c>
      <c r="R195" t="s">
        <v>236</v>
      </c>
      <c r="S195" t="s">
        <v>258</v>
      </c>
      <c r="T195" t="s">
        <v>263</v>
      </c>
      <c r="U195">
        <v>3183</v>
      </c>
      <c r="V195">
        <v>185</v>
      </c>
      <c r="W195">
        <v>2998</v>
      </c>
    </row>
    <row r="196" spans="1:23" x14ac:dyDescent="0.3">
      <c r="A196" t="s">
        <v>1210</v>
      </c>
      <c r="B196">
        <v>2022</v>
      </c>
      <c r="C196">
        <v>0.67661452825967716</v>
      </c>
      <c r="D196">
        <v>3000</v>
      </c>
      <c r="E196">
        <v>603502.99675245094</v>
      </c>
      <c r="F196">
        <v>8</v>
      </c>
      <c r="G196">
        <v>94</v>
      </c>
      <c r="H196">
        <v>9.491371299703E-4</v>
      </c>
      <c r="I196">
        <v>7</v>
      </c>
      <c r="J196">
        <v>0</v>
      </c>
      <c r="K196">
        <v>0</v>
      </c>
      <c r="L196">
        <v>0</v>
      </c>
      <c r="M196">
        <v>5</v>
      </c>
      <c r="N196">
        <v>0.58446712555963198</v>
      </c>
      <c r="O196">
        <v>-0.25008018905213752</v>
      </c>
      <c r="P196">
        <v>265107533.4317365</v>
      </c>
      <c r="Q196">
        <v>170141.2064379004</v>
      </c>
      <c r="R196" t="s">
        <v>878</v>
      </c>
      <c r="S196" t="s">
        <v>899</v>
      </c>
      <c r="T196" t="s">
        <v>900</v>
      </c>
      <c r="U196">
        <v>2863</v>
      </c>
      <c r="V196">
        <v>804</v>
      </c>
      <c r="W196">
        <v>2059</v>
      </c>
    </row>
    <row r="197" spans="1:23" x14ac:dyDescent="0.3">
      <c r="A197" t="s">
        <v>1211</v>
      </c>
      <c r="B197">
        <v>2022</v>
      </c>
      <c r="C197">
        <v>1.8304713096813721</v>
      </c>
      <c r="D197">
        <v>2657</v>
      </c>
      <c r="E197">
        <v>217157.7006127451</v>
      </c>
      <c r="F197">
        <v>9</v>
      </c>
      <c r="G197">
        <v>129</v>
      </c>
      <c r="H197">
        <v>4.6064188141929998E-4</v>
      </c>
      <c r="I197">
        <v>4</v>
      </c>
      <c r="J197">
        <v>0</v>
      </c>
      <c r="K197">
        <v>0</v>
      </c>
      <c r="L197">
        <v>0</v>
      </c>
      <c r="M197">
        <v>3</v>
      </c>
      <c r="N197">
        <v>0.3178609111001201</v>
      </c>
      <c r="O197">
        <v>-0.2906828291692703</v>
      </c>
      <c r="P197">
        <v>58494595.385748439</v>
      </c>
      <c r="Q197">
        <v>166227.9683218362</v>
      </c>
      <c r="R197" t="s">
        <v>160</v>
      </c>
      <c r="S197" t="s">
        <v>101</v>
      </c>
      <c r="T197" t="s">
        <v>172</v>
      </c>
      <c r="U197">
        <v>2535</v>
      </c>
      <c r="V197">
        <v>1374</v>
      </c>
      <c r="W197">
        <v>1161</v>
      </c>
    </row>
    <row r="198" spans="1:23" x14ac:dyDescent="0.3">
      <c r="A198" t="s">
        <v>1212</v>
      </c>
      <c r="B198">
        <v>2022</v>
      </c>
      <c r="C198">
        <v>0.92518029033714677</v>
      </c>
      <c r="D198">
        <v>1003</v>
      </c>
      <c r="E198">
        <v>993078.515625</v>
      </c>
      <c r="F198">
        <v>56</v>
      </c>
      <c r="G198">
        <v>151</v>
      </c>
      <c r="H198">
        <v>7.7653902709329996E-4</v>
      </c>
      <c r="I198">
        <v>10</v>
      </c>
      <c r="J198">
        <v>0</v>
      </c>
      <c r="K198">
        <v>0</v>
      </c>
      <c r="L198">
        <v>0</v>
      </c>
      <c r="M198">
        <v>3</v>
      </c>
      <c r="N198">
        <v>0.32392099291768428</v>
      </c>
      <c r="O198">
        <v>-0.27611832188886209</v>
      </c>
      <c r="P198">
        <v>81597483.161557838</v>
      </c>
      <c r="Q198">
        <v>163576.53279688081</v>
      </c>
      <c r="R198" t="s">
        <v>616</v>
      </c>
      <c r="S198" t="s">
        <v>639</v>
      </c>
      <c r="T198" t="s">
        <v>643</v>
      </c>
      <c r="U198">
        <v>955</v>
      </c>
      <c r="V198">
        <v>35</v>
      </c>
      <c r="W198">
        <v>920</v>
      </c>
    </row>
    <row r="199" spans="1:23" x14ac:dyDescent="0.3">
      <c r="A199" t="s">
        <v>1213</v>
      </c>
      <c r="B199">
        <v>2022</v>
      </c>
      <c r="C199">
        <v>0.79779016942915981</v>
      </c>
      <c r="D199">
        <v>2002</v>
      </c>
      <c r="E199">
        <v>859620.42941176472</v>
      </c>
      <c r="F199">
        <v>21</v>
      </c>
      <c r="G199">
        <v>157</v>
      </c>
      <c r="H199">
        <v>7.6293876069240003E-4</v>
      </c>
      <c r="I199">
        <v>10</v>
      </c>
      <c r="J199">
        <v>0</v>
      </c>
      <c r="K199">
        <v>0</v>
      </c>
      <c r="L199">
        <v>0</v>
      </c>
      <c r="M199">
        <v>2</v>
      </c>
      <c r="N199">
        <v>0.61827635426446492</v>
      </c>
      <c r="O199">
        <v>-0.24051064303097131</v>
      </c>
      <c r="P199">
        <v>370631471.37880713</v>
      </c>
      <c r="Q199">
        <v>163121.81343065959</v>
      </c>
      <c r="R199" t="s">
        <v>760</v>
      </c>
      <c r="S199" t="s">
        <v>770</v>
      </c>
      <c r="T199" t="s">
        <v>770</v>
      </c>
      <c r="U199">
        <v>1883</v>
      </c>
      <c r="V199">
        <v>1167</v>
      </c>
      <c r="W199">
        <v>716</v>
      </c>
    </row>
    <row r="200" spans="1:23" x14ac:dyDescent="0.3">
      <c r="A200" t="s">
        <v>1214</v>
      </c>
      <c r="B200">
        <v>2022</v>
      </c>
      <c r="C200">
        <v>0.51533368708746219</v>
      </c>
      <c r="D200">
        <v>5967</v>
      </c>
      <c r="E200">
        <v>1489621.5</v>
      </c>
      <c r="F200">
        <v>8</v>
      </c>
      <c r="G200">
        <v>46</v>
      </c>
      <c r="H200">
        <v>2.1319290347924002E-3</v>
      </c>
      <c r="I200">
        <v>8</v>
      </c>
      <c r="J200">
        <v>0</v>
      </c>
      <c r="K200">
        <v>0</v>
      </c>
      <c r="L200">
        <v>0</v>
      </c>
      <c r="M200">
        <v>1</v>
      </c>
      <c r="N200">
        <v>0.68689086008029887</v>
      </c>
      <c r="O200">
        <v>-0.27211954540154459</v>
      </c>
      <c r="P200">
        <v>639353232.6268332</v>
      </c>
      <c r="Q200">
        <v>160811.9951315058</v>
      </c>
      <c r="R200" t="s">
        <v>760</v>
      </c>
      <c r="S200" t="s">
        <v>774</v>
      </c>
      <c r="T200" t="s">
        <v>774</v>
      </c>
      <c r="U200">
        <v>5687</v>
      </c>
      <c r="V200">
        <v>1084</v>
      </c>
      <c r="W200">
        <v>4603</v>
      </c>
    </row>
    <row r="201" spans="1:23" x14ac:dyDescent="0.3">
      <c r="A201" t="s">
        <v>1303</v>
      </c>
      <c r="B201">
        <v>2022</v>
      </c>
      <c r="C201">
        <v>40.580541240053918</v>
      </c>
      <c r="D201">
        <v>43794</v>
      </c>
      <c r="E201">
        <v>10110229.077083331</v>
      </c>
      <c r="F201">
        <v>2786</v>
      </c>
      <c r="G201">
        <v>2146</v>
      </c>
      <c r="H201">
        <v>2.463953964248E-4</v>
      </c>
      <c r="I201">
        <v>16</v>
      </c>
      <c r="J201">
        <v>0.1666666666666666</v>
      </c>
      <c r="K201">
        <v>3</v>
      </c>
      <c r="L201">
        <v>0</v>
      </c>
      <c r="M201">
        <v>14</v>
      </c>
      <c r="P201">
        <v>20972578.280250851</v>
      </c>
      <c r="Q201">
        <v>33626.611388036777</v>
      </c>
      <c r="R201" t="s">
        <v>656</v>
      </c>
      <c r="S201" t="s">
        <v>776</v>
      </c>
      <c r="T201" t="s">
        <v>782</v>
      </c>
      <c r="U201">
        <v>41752</v>
      </c>
      <c r="V201">
        <v>37789</v>
      </c>
      <c r="W201">
        <v>3963</v>
      </c>
    </row>
    <row r="202" spans="1:23" x14ac:dyDescent="0.3">
      <c r="A202" t="s">
        <v>1216</v>
      </c>
      <c r="B202">
        <v>2022</v>
      </c>
      <c r="C202">
        <v>7.3988976459034141</v>
      </c>
      <c r="D202">
        <v>5271</v>
      </c>
      <c r="E202">
        <v>102130.48995098039</v>
      </c>
      <c r="F202">
        <v>9</v>
      </c>
      <c r="G202">
        <v>203</v>
      </c>
      <c r="H202">
        <v>5.3048362956980004E-4</v>
      </c>
      <c r="I202">
        <v>13</v>
      </c>
      <c r="J202">
        <v>0</v>
      </c>
      <c r="K202">
        <v>0</v>
      </c>
      <c r="L202">
        <v>0</v>
      </c>
      <c r="M202">
        <v>2</v>
      </c>
      <c r="N202">
        <v>0.51062536740919229</v>
      </c>
      <c r="O202">
        <v>-0.35945544235850591</v>
      </c>
      <c r="P202">
        <v>16169106.21656906</v>
      </c>
      <c r="Q202">
        <v>159289.41201822789</v>
      </c>
      <c r="R202" t="s">
        <v>23</v>
      </c>
      <c r="S202" t="s">
        <v>24</v>
      </c>
      <c r="T202" t="s">
        <v>41</v>
      </c>
      <c r="U202">
        <v>5039</v>
      </c>
      <c r="V202">
        <v>3582</v>
      </c>
      <c r="W202">
        <v>1457</v>
      </c>
    </row>
    <row r="203" spans="1:23" x14ac:dyDescent="0.3">
      <c r="A203" t="s">
        <v>1217</v>
      </c>
      <c r="B203">
        <v>2022</v>
      </c>
      <c r="C203">
        <v>0.7941511402866589</v>
      </c>
      <c r="D203">
        <v>2809</v>
      </c>
      <c r="E203">
        <v>649509.52751225489</v>
      </c>
      <c r="F203">
        <v>12</v>
      </c>
      <c r="G203">
        <v>142</v>
      </c>
      <c r="H203">
        <v>3.6009208958759999E-4</v>
      </c>
      <c r="I203">
        <v>10</v>
      </c>
      <c r="J203">
        <v>0</v>
      </c>
      <c r="K203">
        <v>0</v>
      </c>
      <c r="L203">
        <v>0</v>
      </c>
      <c r="M203">
        <v>17</v>
      </c>
      <c r="N203">
        <v>0.5003871765805008</v>
      </c>
      <c r="O203">
        <v>-0.3343831850888167</v>
      </c>
      <c r="P203">
        <v>149179127.0093492</v>
      </c>
      <c r="Q203">
        <v>153022.64504002209</v>
      </c>
      <c r="R203" t="s">
        <v>160</v>
      </c>
      <c r="S203" t="s">
        <v>181</v>
      </c>
      <c r="T203" t="s">
        <v>182</v>
      </c>
      <c r="U203">
        <v>2657</v>
      </c>
      <c r="V203">
        <v>830</v>
      </c>
      <c r="W203">
        <v>1827</v>
      </c>
    </row>
    <row r="204" spans="1:23" x14ac:dyDescent="0.3">
      <c r="A204" t="s">
        <v>1218</v>
      </c>
      <c r="B204">
        <v>2022</v>
      </c>
      <c r="C204">
        <v>4.0383612816169494</v>
      </c>
      <c r="D204">
        <v>1011</v>
      </c>
      <c r="E204">
        <v>96218.330514705885</v>
      </c>
      <c r="F204">
        <v>26</v>
      </c>
      <c r="G204">
        <v>48</v>
      </c>
      <c r="H204">
        <v>1.1661799664129001E-3</v>
      </c>
      <c r="I204">
        <v>7</v>
      </c>
      <c r="J204">
        <v>0</v>
      </c>
      <c r="K204">
        <v>0</v>
      </c>
      <c r="L204">
        <v>0</v>
      </c>
      <c r="M204">
        <v>0</v>
      </c>
      <c r="N204">
        <v>0.4796699430209273</v>
      </c>
      <c r="O204">
        <v>-0.3429660209455318</v>
      </c>
      <c r="P204">
        <v>10263463.69740502</v>
      </c>
      <c r="Q204">
        <v>147821.7988786468</v>
      </c>
      <c r="R204" t="s">
        <v>291</v>
      </c>
      <c r="S204" t="s">
        <v>340</v>
      </c>
      <c r="T204" t="s">
        <v>346</v>
      </c>
      <c r="U204">
        <v>963</v>
      </c>
      <c r="V204">
        <v>540</v>
      </c>
      <c r="W204">
        <v>423</v>
      </c>
    </row>
    <row r="205" spans="1:23" x14ac:dyDescent="0.3">
      <c r="A205" t="s">
        <v>1219</v>
      </c>
      <c r="B205">
        <v>2022</v>
      </c>
      <c r="C205">
        <v>0.94042103350561157</v>
      </c>
      <c r="D205">
        <v>6596</v>
      </c>
      <c r="E205">
        <v>3608842.4644607841</v>
      </c>
      <c r="F205">
        <v>35</v>
      </c>
      <c r="G205">
        <v>224</v>
      </c>
      <c r="H205">
        <v>7.4932055449720004E-4</v>
      </c>
      <c r="I205">
        <v>7</v>
      </c>
      <c r="J205">
        <v>0</v>
      </c>
      <c r="K205">
        <v>0</v>
      </c>
      <c r="L205">
        <v>0</v>
      </c>
      <c r="M205">
        <v>1</v>
      </c>
      <c r="N205">
        <v>0.29811681173266918</v>
      </c>
      <c r="O205">
        <v>-0.26877518399013339</v>
      </c>
      <c r="P205">
        <v>137100260.83522949</v>
      </c>
      <c r="Q205">
        <v>147008.2023818396</v>
      </c>
      <c r="R205" t="s">
        <v>616</v>
      </c>
      <c r="S205" t="s">
        <v>672</v>
      </c>
      <c r="T205" t="s">
        <v>673</v>
      </c>
      <c r="U205">
        <v>6301</v>
      </c>
      <c r="V205">
        <v>1698</v>
      </c>
      <c r="W205">
        <v>4603</v>
      </c>
    </row>
    <row r="206" spans="1:23" x14ac:dyDescent="0.3">
      <c r="A206" t="s">
        <v>1220</v>
      </c>
      <c r="B206">
        <v>2022</v>
      </c>
      <c r="C206">
        <v>2.153131758478279</v>
      </c>
      <c r="D206">
        <v>3183</v>
      </c>
      <c r="E206">
        <v>250925.4317401961</v>
      </c>
      <c r="F206">
        <v>12</v>
      </c>
      <c r="G206">
        <v>120</v>
      </c>
      <c r="H206">
        <v>4.9974671052870003E-4</v>
      </c>
      <c r="I206">
        <v>6</v>
      </c>
      <c r="J206">
        <v>0</v>
      </c>
      <c r="K206">
        <v>0</v>
      </c>
      <c r="L206">
        <v>0</v>
      </c>
      <c r="M206">
        <v>2</v>
      </c>
      <c r="N206">
        <v>0.55164239892800326</v>
      </c>
      <c r="O206">
        <v>-0.30295233884760309</v>
      </c>
      <c r="P206">
        <v>41905784.037630983</v>
      </c>
      <c r="Q206">
        <v>141448.19250436951</v>
      </c>
      <c r="R206" t="s">
        <v>23</v>
      </c>
      <c r="S206" t="s">
        <v>50</v>
      </c>
      <c r="T206" t="s">
        <v>56</v>
      </c>
      <c r="U206">
        <v>3045</v>
      </c>
      <c r="V206">
        <v>1094</v>
      </c>
      <c r="W206">
        <v>1951</v>
      </c>
    </row>
    <row r="207" spans="1:23" x14ac:dyDescent="0.3">
      <c r="A207" t="s">
        <v>1221</v>
      </c>
      <c r="B207">
        <v>2022</v>
      </c>
      <c r="C207">
        <v>4.2419589232432164</v>
      </c>
      <c r="D207">
        <v>75980</v>
      </c>
      <c r="E207">
        <v>24223062.226286761</v>
      </c>
      <c r="F207">
        <v>96</v>
      </c>
      <c r="G207">
        <v>2146</v>
      </c>
      <c r="H207">
        <v>1.3162226186410001E-4</v>
      </c>
      <c r="I207">
        <v>12</v>
      </c>
      <c r="J207">
        <v>8.8867147690677006E-3</v>
      </c>
      <c r="K207">
        <v>4</v>
      </c>
      <c r="L207">
        <v>0</v>
      </c>
      <c r="M207">
        <v>6</v>
      </c>
      <c r="N207">
        <v>0.18285318254069999</v>
      </c>
      <c r="O207">
        <v>-0.30724509113299242</v>
      </c>
      <c r="P207">
        <v>537478977.03875327</v>
      </c>
      <c r="Q207">
        <v>140872.09759020031</v>
      </c>
      <c r="R207" t="s">
        <v>944</v>
      </c>
      <c r="S207" t="s">
        <v>944</v>
      </c>
      <c r="T207" t="s">
        <v>944</v>
      </c>
      <c r="U207">
        <v>72545</v>
      </c>
      <c r="V207">
        <v>42058</v>
      </c>
      <c r="W207">
        <v>30487</v>
      </c>
    </row>
    <row r="208" spans="1:23" x14ac:dyDescent="0.3">
      <c r="A208" t="s">
        <v>1222</v>
      </c>
      <c r="B208">
        <v>2022</v>
      </c>
      <c r="C208">
        <v>1.939486299550194</v>
      </c>
      <c r="D208">
        <v>2873</v>
      </c>
      <c r="E208">
        <v>40883.757352941167</v>
      </c>
      <c r="F208">
        <v>2</v>
      </c>
      <c r="G208">
        <v>113</v>
      </c>
      <c r="H208">
        <v>7.979616413098E-4</v>
      </c>
      <c r="I208">
        <v>7</v>
      </c>
      <c r="J208">
        <v>0</v>
      </c>
      <c r="K208">
        <v>0</v>
      </c>
      <c r="L208">
        <v>0</v>
      </c>
      <c r="M208">
        <v>2</v>
      </c>
      <c r="N208">
        <v>0.40755589850021401</v>
      </c>
      <c r="O208">
        <v>-0.34339448173710591</v>
      </c>
      <c r="P208">
        <v>34892792.724922404</v>
      </c>
      <c r="Q208">
        <v>137997.71538490069</v>
      </c>
      <c r="R208" t="s">
        <v>101</v>
      </c>
      <c r="S208" t="s">
        <v>113</v>
      </c>
      <c r="T208" t="s">
        <v>115</v>
      </c>
      <c r="U208">
        <v>2745</v>
      </c>
      <c r="V208">
        <v>865</v>
      </c>
      <c r="W208">
        <v>1880</v>
      </c>
    </row>
    <row r="209" spans="1:23" x14ac:dyDescent="0.3">
      <c r="A209" t="s">
        <v>1223</v>
      </c>
      <c r="B209">
        <v>2022</v>
      </c>
      <c r="C209">
        <v>13.36331437080068</v>
      </c>
      <c r="D209">
        <v>6487</v>
      </c>
      <c r="E209">
        <v>5745079.1718137264</v>
      </c>
      <c r="F209">
        <v>864</v>
      </c>
      <c r="G209">
        <v>135</v>
      </c>
      <c r="H209">
        <v>1.431878128869E-3</v>
      </c>
      <c r="I209">
        <v>11</v>
      </c>
      <c r="J209">
        <v>3.8461538461538401E-2</v>
      </c>
      <c r="K209">
        <v>1</v>
      </c>
      <c r="L209">
        <v>0</v>
      </c>
      <c r="M209">
        <v>2</v>
      </c>
      <c r="N209">
        <v>0.35897895946105229</v>
      </c>
      <c r="O209">
        <v>-0.26322048295581391</v>
      </c>
      <c r="P209">
        <v>10447145.66877198</v>
      </c>
      <c r="Q209">
        <v>136978.54943877429</v>
      </c>
      <c r="R209" t="s">
        <v>834</v>
      </c>
      <c r="S209" t="s">
        <v>835</v>
      </c>
      <c r="T209" t="s">
        <v>408</v>
      </c>
      <c r="U209">
        <v>6187</v>
      </c>
      <c r="V209">
        <v>4549</v>
      </c>
      <c r="W209">
        <v>1638</v>
      </c>
    </row>
    <row r="210" spans="1:23" x14ac:dyDescent="0.3">
      <c r="A210" t="s">
        <v>1224</v>
      </c>
      <c r="B210">
        <v>2022</v>
      </c>
      <c r="C210">
        <v>14.19498901039873</v>
      </c>
      <c r="D210">
        <v>6583</v>
      </c>
      <c r="E210">
        <v>5324504.5558823533</v>
      </c>
      <c r="F210">
        <v>843</v>
      </c>
      <c r="G210">
        <v>315</v>
      </c>
      <c r="H210">
        <v>7.0300234607389999E-4</v>
      </c>
      <c r="I210">
        <v>14</v>
      </c>
      <c r="J210">
        <v>0</v>
      </c>
      <c r="K210">
        <v>0</v>
      </c>
      <c r="L210">
        <v>0</v>
      </c>
      <c r="M210">
        <v>4</v>
      </c>
      <c r="N210">
        <v>0.40488224330316841</v>
      </c>
      <c r="O210">
        <v>-0.27899641755811277</v>
      </c>
      <c r="P210">
        <v>12502053.017602229</v>
      </c>
      <c r="Q210">
        <v>136195.52367364871</v>
      </c>
      <c r="R210" t="s">
        <v>834</v>
      </c>
      <c r="S210" t="s">
        <v>861</v>
      </c>
      <c r="T210" t="s">
        <v>867</v>
      </c>
      <c r="U210">
        <v>6288</v>
      </c>
      <c r="V210">
        <v>1801</v>
      </c>
      <c r="W210">
        <v>4487</v>
      </c>
    </row>
    <row r="211" spans="1:23" x14ac:dyDescent="0.3">
      <c r="A211" t="s">
        <v>1225</v>
      </c>
      <c r="B211">
        <v>2022</v>
      </c>
      <c r="C211">
        <v>8.5011116666974278</v>
      </c>
      <c r="D211">
        <v>6432</v>
      </c>
      <c r="E211">
        <v>1650299.4102328429</v>
      </c>
      <c r="F211">
        <v>161</v>
      </c>
      <c r="G211">
        <v>147</v>
      </c>
      <c r="H211">
        <v>1.4932198193276999E-3</v>
      </c>
      <c r="I211">
        <v>8</v>
      </c>
      <c r="J211">
        <v>0.5</v>
      </c>
      <c r="K211">
        <v>1</v>
      </c>
      <c r="L211">
        <v>0</v>
      </c>
      <c r="M211">
        <v>2</v>
      </c>
      <c r="N211">
        <v>0.31746532950029471</v>
      </c>
      <c r="O211">
        <v>-0.27753043844966863</v>
      </c>
      <c r="P211">
        <v>15439738.97499867</v>
      </c>
      <c r="Q211">
        <v>135477.30649812179</v>
      </c>
      <c r="R211" t="s">
        <v>834</v>
      </c>
      <c r="S211" t="s">
        <v>835</v>
      </c>
      <c r="T211" t="s">
        <v>849</v>
      </c>
      <c r="U211">
        <v>6141</v>
      </c>
      <c r="V211">
        <v>3603</v>
      </c>
      <c r="W211">
        <v>2538</v>
      </c>
    </row>
    <row r="212" spans="1:23" x14ac:dyDescent="0.3">
      <c r="A212" t="s">
        <v>1226</v>
      </c>
      <c r="B212">
        <v>2022</v>
      </c>
      <c r="C212">
        <v>1.007591329415048</v>
      </c>
      <c r="D212">
        <v>9413</v>
      </c>
      <c r="E212">
        <v>1734124.1875</v>
      </c>
      <c r="F212">
        <v>14</v>
      </c>
      <c r="G212">
        <v>302</v>
      </c>
      <c r="H212">
        <v>1.9298497450910001E-4</v>
      </c>
      <c r="I212">
        <v>14</v>
      </c>
      <c r="J212">
        <v>0</v>
      </c>
      <c r="K212">
        <v>0</v>
      </c>
      <c r="L212">
        <v>0</v>
      </c>
      <c r="M212">
        <v>31</v>
      </c>
      <c r="N212">
        <v>0.43125707473582908</v>
      </c>
      <c r="O212">
        <v>-0.33180145137115608</v>
      </c>
      <c r="P212">
        <v>241196700.2914764</v>
      </c>
      <c r="Q212">
        <v>132589.31382540221</v>
      </c>
      <c r="R212" t="s">
        <v>503</v>
      </c>
      <c r="S212" t="s">
        <v>554</v>
      </c>
      <c r="T212" t="s">
        <v>555</v>
      </c>
      <c r="U212">
        <v>8983</v>
      </c>
      <c r="V212">
        <v>5659</v>
      </c>
      <c r="W212">
        <v>3324</v>
      </c>
    </row>
    <row r="213" spans="1:23" x14ac:dyDescent="0.3">
      <c r="A213" t="s">
        <v>1227</v>
      </c>
      <c r="B213">
        <v>2022</v>
      </c>
      <c r="C213">
        <v>2.1710890531756011</v>
      </c>
      <c r="D213">
        <v>45829</v>
      </c>
      <c r="E213">
        <v>2233966.078125</v>
      </c>
      <c r="F213">
        <v>8</v>
      </c>
      <c r="G213">
        <v>643</v>
      </c>
      <c r="H213">
        <v>1.518674586598E-4</v>
      </c>
      <c r="I213">
        <v>16</v>
      </c>
      <c r="J213">
        <v>7.4074074074074001E-2</v>
      </c>
      <c r="K213">
        <v>1</v>
      </c>
      <c r="L213">
        <v>0</v>
      </c>
      <c r="M213">
        <v>6</v>
      </c>
      <c r="N213">
        <v>0.27621324437526329</v>
      </c>
      <c r="O213">
        <v>-0.23442106986076641</v>
      </c>
      <c r="P213">
        <v>365005095.08058041</v>
      </c>
      <c r="Q213">
        <v>132289.03361907351</v>
      </c>
      <c r="R213" t="s">
        <v>410</v>
      </c>
      <c r="S213" t="s">
        <v>445</v>
      </c>
      <c r="T213" t="s">
        <v>445</v>
      </c>
      <c r="U213">
        <v>43691</v>
      </c>
      <c r="V213">
        <v>11273</v>
      </c>
      <c r="W213">
        <v>32418</v>
      </c>
    </row>
    <row r="214" spans="1:23" x14ac:dyDescent="0.3">
      <c r="A214" t="s">
        <v>1228</v>
      </c>
      <c r="B214">
        <v>2022</v>
      </c>
      <c r="C214">
        <v>9.8510331513224365</v>
      </c>
      <c r="D214">
        <v>5533</v>
      </c>
      <c r="E214">
        <v>5883512.7572916681</v>
      </c>
      <c r="F214">
        <v>814</v>
      </c>
      <c r="G214">
        <v>161</v>
      </c>
      <c r="H214">
        <v>7.8853973078520003E-4</v>
      </c>
      <c r="I214">
        <v>5</v>
      </c>
      <c r="J214">
        <v>0</v>
      </c>
      <c r="K214">
        <v>0</v>
      </c>
      <c r="L214">
        <v>0</v>
      </c>
      <c r="M214">
        <v>2</v>
      </c>
      <c r="N214">
        <v>0.48005726508499191</v>
      </c>
      <c r="O214">
        <v>-0.34717873574753372</v>
      </c>
      <c r="P214">
        <v>12790115.22673128</v>
      </c>
      <c r="Q214">
        <v>128686.6232098335</v>
      </c>
      <c r="R214" t="s">
        <v>834</v>
      </c>
      <c r="S214" t="s">
        <v>835</v>
      </c>
      <c r="T214" t="s">
        <v>836</v>
      </c>
      <c r="U214">
        <v>5281</v>
      </c>
      <c r="V214">
        <v>2647</v>
      </c>
      <c r="W214">
        <v>2634</v>
      </c>
    </row>
    <row r="215" spans="1:23" x14ac:dyDescent="0.3">
      <c r="A215" t="s">
        <v>1229</v>
      </c>
      <c r="B215">
        <v>2022</v>
      </c>
      <c r="C215">
        <v>5.338210639583445</v>
      </c>
      <c r="D215">
        <v>4116</v>
      </c>
      <c r="E215">
        <v>4082386.286825981</v>
      </c>
      <c r="F215">
        <v>417</v>
      </c>
      <c r="G215">
        <v>159</v>
      </c>
      <c r="H215">
        <v>6.6256274915490001E-4</v>
      </c>
      <c r="I215">
        <v>7</v>
      </c>
      <c r="J215">
        <v>0</v>
      </c>
      <c r="K215">
        <v>0</v>
      </c>
      <c r="L215">
        <v>0</v>
      </c>
      <c r="M215">
        <v>1</v>
      </c>
      <c r="N215">
        <v>0.43238594171429068</v>
      </c>
      <c r="O215">
        <v>-0.3348591236674256</v>
      </c>
      <c r="P215">
        <v>19649343.485476971</v>
      </c>
      <c r="Q215">
        <v>126969.1996328535</v>
      </c>
      <c r="R215" t="s">
        <v>834</v>
      </c>
      <c r="S215" t="s">
        <v>835</v>
      </c>
      <c r="T215" t="s">
        <v>838</v>
      </c>
      <c r="U215">
        <v>3931</v>
      </c>
      <c r="V215">
        <v>1558</v>
      </c>
      <c r="W215">
        <v>2373</v>
      </c>
    </row>
    <row r="216" spans="1:23" x14ac:dyDescent="0.3">
      <c r="A216" t="s">
        <v>1230</v>
      </c>
      <c r="B216">
        <v>2022</v>
      </c>
      <c r="C216">
        <v>1.1259569595567831</v>
      </c>
      <c r="D216">
        <v>12549</v>
      </c>
      <c r="E216">
        <v>1241568.609375</v>
      </c>
      <c r="F216">
        <v>9</v>
      </c>
      <c r="G216">
        <v>328</v>
      </c>
      <c r="H216">
        <v>3.4641414546709998E-4</v>
      </c>
      <c r="I216">
        <v>16</v>
      </c>
      <c r="J216">
        <v>0</v>
      </c>
      <c r="K216">
        <v>0</v>
      </c>
      <c r="L216">
        <v>0</v>
      </c>
      <c r="M216">
        <v>28</v>
      </c>
      <c r="N216">
        <v>0.59917281202648431</v>
      </c>
      <c r="O216">
        <v>-0.29051081275574042</v>
      </c>
      <c r="P216">
        <v>167267276.2756061</v>
      </c>
      <c r="Q216">
        <v>123777.2656956303</v>
      </c>
      <c r="R216" t="s">
        <v>616</v>
      </c>
      <c r="S216" t="s">
        <v>631</v>
      </c>
      <c r="T216" t="s">
        <v>635</v>
      </c>
      <c r="U216">
        <v>11953</v>
      </c>
      <c r="V216">
        <v>1213</v>
      </c>
      <c r="W216">
        <v>10740</v>
      </c>
    </row>
    <row r="217" spans="1:23" x14ac:dyDescent="0.3">
      <c r="A217" t="s">
        <v>1231</v>
      </c>
      <c r="B217">
        <v>2022</v>
      </c>
      <c r="C217">
        <v>2.5249725091008481</v>
      </c>
      <c r="D217">
        <v>46278</v>
      </c>
      <c r="E217">
        <v>6451971.875</v>
      </c>
      <c r="F217">
        <v>30</v>
      </c>
      <c r="G217">
        <v>737</v>
      </c>
      <c r="H217">
        <v>3.8723730386019999E-4</v>
      </c>
      <c r="I217">
        <v>19</v>
      </c>
      <c r="J217">
        <v>0</v>
      </c>
      <c r="K217">
        <v>0</v>
      </c>
      <c r="L217">
        <v>0</v>
      </c>
      <c r="M217">
        <v>4</v>
      </c>
      <c r="N217">
        <v>0.38692001547465438</v>
      </c>
      <c r="O217">
        <v>-0.27834558073951687</v>
      </c>
      <c r="P217">
        <v>231000959.7363514</v>
      </c>
      <c r="Q217">
        <v>117341.94515656721</v>
      </c>
      <c r="R217" t="s">
        <v>410</v>
      </c>
      <c r="S217" t="s">
        <v>438</v>
      </c>
      <c r="T217" t="s">
        <v>438</v>
      </c>
      <c r="U217">
        <v>44130</v>
      </c>
      <c r="V217">
        <v>24248</v>
      </c>
      <c r="W217">
        <v>19882</v>
      </c>
    </row>
    <row r="218" spans="1:23" x14ac:dyDescent="0.3">
      <c r="A218" t="s">
        <v>1232</v>
      </c>
      <c r="B218">
        <v>2022</v>
      </c>
      <c r="C218">
        <v>1.9583491269941959</v>
      </c>
      <c r="D218">
        <v>14062</v>
      </c>
      <c r="E218">
        <v>5509436.9285539212</v>
      </c>
      <c r="F218">
        <v>67</v>
      </c>
      <c r="G218">
        <v>305</v>
      </c>
      <c r="H218">
        <v>3.3650113249810001E-4</v>
      </c>
      <c r="I218">
        <v>6</v>
      </c>
      <c r="J218">
        <v>0</v>
      </c>
      <c r="K218">
        <v>0</v>
      </c>
      <c r="L218">
        <v>0</v>
      </c>
      <c r="M218">
        <v>6</v>
      </c>
      <c r="N218">
        <v>0.41875583987119869</v>
      </c>
      <c r="O218">
        <v>-0.25571320058613772</v>
      </c>
      <c r="P218">
        <v>166186430.71365979</v>
      </c>
      <c r="Q218">
        <v>114518.4438983771</v>
      </c>
      <c r="R218" t="s">
        <v>236</v>
      </c>
      <c r="S218" t="s">
        <v>264</v>
      </c>
      <c r="T218" t="s">
        <v>264</v>
      </c>
      <c r="U218">
        <v>13399</v>
      </c>
      <c r="V218">
        <v>8401</v>
      </c>
      <c r="W218">
        <v>4998</v>
      </c>
    </row>
    <row r="219" spans="1:23" x14ac:dyDescent="0.3">
      <c r="A219" t="s">
        <v>1233</v>
      </c>
      <c r="B219">
        <v>2022</v>
      </c>
      <c r="C219">
        <v>2.1752577208042192</v>
      </c>
      <c r="D219">
        <v>7590</v>
      </c>
      <c r="E219">
        <v>1111916.7229779409</v>
      </c>
      <c r="F219">
        <v>28</v>
      </c>
      <c r="G219">
        <v>184</v>
      </c>
      <c r="H219">
        <v>4.392679516713E-4</v>
      </c>
      <c r="I219">
        <v>12</v>
      </c>
      <c r="J219">
        <v>6.8965517241379296E-2</v>
      </c>
      <c r="K219">
        <v>1</v>
      </c>
      <c r="L219">
        <v>0</v>
      </c>
      <c r="M219">
        <v>7</v>
      </c>
      <c r="N219">
        <v>0.35944837841262478</v>
      </c>
      <c r="O219">
        <v>-0.33252291828292962</v>
      </c>
      <c r="P219">
        <v>41286252.545430802</v>
      </c>
      <c r="Q219">
        <v>113810.7207109492</v>
      </c>
      <c r="R219" t="s">
        <v>195</v>
      </c>
      <c r="S219" t="s">
        <v>222</v>
      </c>
      <c r="T219" t="s">
        <v>225</v>
      </c>
      <c r="U219">
        <v>7254</v>
      </c>
      <c r="V219">
        <v>2480</v>
      </c>
      <c r="W219">
        <v>4774</v>
      </c>
    </row>
    <row r="220" spans="1:23" x14ac:dyDescent="0.3">
      <c r="A220" t="s">
        <v>1234</v>
      </c>
      <c r="B220">
        <v>2022</v>
      </c>
      <c r="C220">
        <v>0.80200736137056561</v>
      </c>
      <c r="D220">
        <v>6229</v>
      </c>
      <c r="E220">
        <v>3567507.7468137252</v>
      </c>
      <c r="F220">
        <v>42</v>
      </c>
      <c r="G220">
        <v>218</v>
      </c>
      <c r="H220">
        <v>3.291034343153E-4</v>
      </c>
      <c r="I220">
        <v>5</v>
      </c>
      <c r="J220">
        <v>0</v>
      </c>
      <c r="K220">
        <v>0</v>
      </c>
      <c r="L220">
        <v>0</v>
      </c>
      <c r="M220">
        <v>8</v>
      </c>
      <c r="N220">
        <v>0.38914936130561179</v>
      </c>
      <c r="O220">
        <v>-0.30831567563648909</v>
      </c>
      <c r="P220">
        <v>161759411.74461561</v>
      </c>
      <c r="Q220">
        <v>109364.32029490051</v>
      </c>
      <c r="R220" t="s">
        <v>195</v>
      </c>
      <c r="S220" t="s">
        <v>222</v>
      </c>
      <c r="T220" t="s">
        <v>224</v>
      </c>
      <c r="U220">
        <v>5949</v>
      </c>
      <c r="V220">
        <v>507</v>
      </c>
      <c r="W220">
        <v>5442</v>
      </c>
    </row>
    <row r="221" spans="1:23" x14ac:dyDescent="0.3">
      <c r="A221" t="s">
        <v>1235</v>
      </c>
      <c r="B221">
        <v>2022</v>
      </c>
      <c r="C221">
        <v>0.95480554471251444</v>
      </c>
      <c r="D221">
        <v>4334</v>
      </c>
      <c r="E221">
        <v>991225.1875</v>
      </c>
      <c r="F221">
        <v>20</v>
      </c>
      <c r="G221">
        <v>133</v>
      </c>
      <c r="H221">
        <v>4.5634620096100001E-4</v>
      </c>
      <c r="I221">
        <v>3</v>
      </c>
      <c r="J221">
        <v>0</v>
      </c>
      <c r="K221">
        <v>0</v>
      </c>
      <c r="L221">
        <v>0</v>
      </c>
      <c r="M221">
        <v>19</v>
      </c>
      <c r="N221">
        <v>0.54719127805935031</v>
      </c>
      <c r="O221">
        <v>-0.1919417441138751</v>
      </c>
      <c r="P221">
        <v>475489741.38388002</v>
      </c>
      <c r="Q221">
        <v>109186.35268616769</v>
      </c>
      <c r="R221" t="s">
        <v>878</v>
      </c>
      <c r="S221" t="s">
        <v>899</v>
      </c>
      <c r="T221" t="s">
        <v>901</v>
      </c>
      <c r="U221">
        <v>4131</v>
      </c>
      <c r="V221">
        <v>1614</v>
      </c>
      <c r="W221">
        <v>2517</v>
      </c>
    </row>
    <row r="222" spans="1:23" x14ac:dyDescent="0.3">
      <c r="A222" t="s">
        <v>1236</v>
      </c>
      <c r="B222">
        <v>2022</v>
      </c>
      <c r="C222">
        <v>22.061761723525851</v>
      </c>
      <c r="D222">
        <v>16532</v>
      </c>
      <c r="E222">
        <v>9716365.3017156832</v>
      </c>
      <c r="F222">
        <v>1209</v>
      </c>
      <c r="G222">
        <v>328</v>
      </c>
      <c r="H222">
        <v>9.1902776377579998E-4</v>
      </c>
      <c r="I222">
        <v>10</v>
      </c>
      <c r="J222">
        <v>6.25E-2</v>
      </c>
      <c r="K222">
        <v>1</v>
      </c>
      <c r="L222">
        <v>0</v>
      </c>
      <c r="M222">
        <v>1</v>
      </c>
      <c r="N222">
        <v>0.33348518778089731</v>
      </c>
      <c r="O222">
        <v>-0.26542593047384933</v>
      </c>
      <c r="P222">
        <v>14155062.69249242</v>
      </c>
      <c r="Q222">
        <v>107248.7716156899</v>
      </c>
      <c r="R222" t="s">
        <v>834</v>
      </c>
      <c r="S222" t="s">
        <v>835</v>
      </c>
      <c r="T222" t="s">
        <v>839</v>
      </c>
      <c r="U222">
        <v>15766</v>
      </c>
      <c r="V222">
        <v>11800</v>
      </c>
      <c r="W222">
        <v>3966</v>
      </c>
    </row>
    <row r="223" spans="1:23" x14ac:dyDescent="0.3">
      <c r="A223" t="s">
        <v>1237</v>
      </c>
      <c r="B223">
        <v>2022</v>
      </c>
      <c r="C223">
        <v>2.2816317558860431</v>
      </c>
      <c r="D223">
        <v>1984</v>
      </c>
      <c r="E223">
        <v>525669.01629901957</v>
      </c>
      <c r="F223">
        <v>57</v>
      </c>
      <c r="G223">
        <v>95</v>
      </c>
      <c r="H223">
        <v>1.0261034498841E-3</v>
      </c>
      <c r="I223">
        <v>6</v>
      </c>
      <c r="J223">
        <v>0</v>
      </c>
      <c r="K223">
        <v>0</v>
      </c>
      <c r="L223">
        <v>0</v>
      </c>
      <c r="M223">
        <v>7</v>
      </c>
      <c r="N223">
        <v>0.3936876977571897</v>
      </c>
      <c r="O223">
        <v>-0.36594457824329391</v>
      </c>
      <c r="P223">
        <v>26005119.154226061</v>
      </c>
      <c r="Q223">
        <v>106057.5057188403</v>
      </c>
      <c r="R223" t="s">
        <v>101</v>
      </c>
      <c r="S223" t="s">
        <v>102</v>
      </c>
      <c r="T223" t="s">
        <v>108</v>
      </c>
      <c r="U223">
        <v>1896</v>
      </c>
      <c r="V223">
        <v>746</v>
      </c>
      <c r="W223">
        <v>1150</v>
      </c>
    </row>
    <row r="224" spans="1:23" x14ac:dyDescent="0.3">
      <c r="A224" t="s">
        <v>1238</v>
      </c>
      <c r="B224">
        <v>2022</v>
      </c>
      <c r="C224">
        <v>17.529422483712949</v>
      </c>
      <c r="D224">
        <v>10875</v>
      </c>
      <c r="E224">
        <v>10035801.80085784</v>
      </c>
      <c r="F224">
        <v>1563</v>
      </c>
      <c r="G224">
        <v>282</v>
      </c>
      <c r="H224">
        <v>6.890579460486E-4</v>
      </c>
      <c r="I224">
        <v>8</v>
      </c>
      <c r="J224">
        <v>0</v>
      </c>
      <c r="K224">
        <v>0</v>
      </c>
      <c r="L224">
        <v>0</v>
      </c>
      <c r="M224">
        <v>1</v>
      </c>
      <c r="N224">
        <v>0.38807775424159402</v>
      </c>
      <c r="O224">
        <v>-0.28544061879844551</v>
      </c>
      <c r="P224">
        <v>15974194.674766939</v>
      </c>
      <c r="Q224">
        <v>103497.8767504545</v>
      </c>
      <c r="R224" t="s">
        <v>834</v>
      </c>
      <c r="S224" t="s">
        <v>835</v>
      </c>
      <c r="T224" t="s">
        <v>843</v>
      </c>
      <c r="U224">
        <v>10382</v>
      </c>
      <c r="V224">
        <v>6721</v>
      </c>
      <c r="W224">
        <v>3661</v>
      </c>
    </row>
    <row r="225" spans="1:23" x14ac:dyDescent="0.3">
      <c r="A225" t="s">
        <v>1239</v>
      </c>
      <c r="B225">
        <v>2022</v>
      </c>
      <c r="C225">
        <v>1.0751381583574739</v>
      </c>
      <c r="D225">
        <v>9935</v>
      </c>
      <c r="E225">
        <v>442740.72028186283</v>
      </c>
      <c r="F225">
        <v>5</v>
      </c>
      <c r="G225">
        <v>321</v>
      </c>
      <c r="H225">
        <v>4.6016492654859999E-4</v>
      </c>
      <c r="I225">
        <v>10</v>
      </c>
      <c r="J225">
        <v>0.5</v>
      </c>
      <c r="K225">
        <v>1</v>
      </c>
      <c r="L225">
        <v>0</v>
      </c>
      <c r="M225">
        <v>0</v>
      </c>
      <c r="N225">
        <v>0.249873553118307</v>
      </c>
      <c r="O225">
        <v>-0.1114088508207892</v>
      </c>
      <c r="P225">
        <v>757967400.82402956</v>
      </c>
      <c r="Q225">
        <v>95824.346780815977</v>
      </c>
      <c r="R225" t="s">
        <v>410</v>
      </c>
      <c r="S225" t="s">
        <v>433</v>
      </c>
      <c r="T225" t="s">
        <v>437</v>
      </c>
      <c r="U225">
        <v>9450</v>
      </c>
      <c r="V225">
        <v>1050</v>
      </c>
      <c r="W225">
        <v>8400</v>
      </c>
    </row>
    <row r="226" spans="1:23" x14ac:dyDescent="0.3">
      <c r="A226" t="s">
        <v>1240</v>
      </c>
      <c r="B226">
        <v>2022</v>
      </c>
      <c r="C226">
        <v>0.52484877405899777</v>
      </c>
      <c r="D226">
        <v>1022</v>
      </c>
      <c r="E226">
        <v>36987.842524509811</v>
      </c>
      <c r="F226">
        <v>2</v>
      </c>
      <c r="G226">
        <v>37</v>
      </c>
      <c r="H226">
        <v>4.7365494825078996E-3</v>
      </c>
      <c r="I226">
        <v>4</v>
      </c>
      <c r="J226">
        <v>0</v>
      </c>
      <c r="K226">
        <v>0</v>
      </c>
      <c r="L226">
        <v>0</v>
      </c>
      <c r="M226">
        <v>6</v>
      </c>
      <c r="N226">
        <v>0.59831385105613399</v>
      </c>
      <c r="O226">
        <v>-0.25532063130984511</v>
      </c>
      <c r="P226">
        <v>213729903.17201859</v>
      </c>
      <c r="Q226">
        <v>94975.654618768283</v>
      </c>
      <c r="R226" t="s">
        <v>678</v>
      </c>
      <c r="S226" t="s">
        <v>702</v>
      </c>
      <c r="T226" t="s">
        <v>703</v>
      </c>
      <c r="U226">
        <v>974</v>
      </c>
      <c r="V226">
        <v>126</v>
      </c>
      <c r="W226">
        <v>848</v>
      </c>
    </row>
    <row r="227" spans="1:23" x14ac:dyDescent="0.3">
      <c r="A227" t="s">
        <v>1241</v>
      </c>
      <c r="B227">
        <v>2022</v>
      </c>
      <c r="C227">
        <v>3.4592324114335979</v>
      </c>
      <c r="D227">
        <v>48693</v>
      </c>
      <c r="E227">
        <v>7443280.515625</v>
      </c>
      <c r="F227">
        <v>56</v>
      </c>
      <c r="G227">
        <v>1187</v>
      </c>
      <c r="H227">
        <v>4.0285354878809998E-4</v>
      </c>
      <c r="I227">
        <v>9</v>
      </c>
      <c r="J227">
        <v>0.66666666666666663</v>
      </c>
      <c r="K227">
        <v>1</v>
      </c>
      <c r="L227">
        <v>0</v>
      </c>
      <c r="M227">
        <v>6</v>
      </c>
      <c r="N227">
        <v>0.51200142245988278</v>
      </c>
      <c r="O227">
        <v>-0.29125809952299347</v>
      </c>
      <c r="P227">
        <v>157002863.47131059</v>
      </c>
      <c r="Q227">
        <v>94425.559874557293</v>
      </c>
      <c r="R227" t="s">
        <v>128</v>
      </c>
      <c r="S227" t="s">
        <v>153</v>
      </c>
      <c r="T227" t="s">
        <v>153</v>
      </c>
      <c r="U227">
        <v>46421</v>
      </c>
      <c r="V227">
        <v>28236</v>
      </c>
      <c r="W227">
        <v>18185</v>
      </c>
    </row>
    <row r="228" spans="1:23" x14ac:dyDescent="0.3">
      <c r="A228" t="s">
        <v>1242</v>
      </c>
      <c r="B228">
        <v>2022</v>
      </c>
      <c r="C228">
        <v>4.8170942469660849</v>
      </c>
      <c r="D228">
        <v>12807</v>
      </c>
      <c r="E228">
        <v>786721.13186274515</v>
      </c>
      <c r="F228">
        <v>32</v>
      </c>
      <c r="G228">
        <v>356</v>
      </c>
      <c r="H228">
        <v>4.3334856346739998E-4</v>
      </c>
      <c r="I228">
        <v>20</v>
      </c>
      <c r="J228">
        <v>0</v>
      </c>
      <c r="K228">
        <v>0</v>
      </c>
      <c r="L228">
        <v>0</v>
      </c>
      <c r="M228">
        <v>8</v>
      </c>
      <c r="N228">
        <v>0.53676916736422342</v>
      </c>
      <c r="O228">
        <v>-0.37460074629089779</v>
      </c>
      <c r="P228">
        <v>53161077.592306837</v>
      </c>
      <c r="Q228">
        <v>92471.642418762101</v>
      </c>
      <c r="R228" t="s">
        <v>834</v>
      </c>
      <c r="S228" t="s">
        <v>868</v>
      </c>
      <c r="T228" t="s">
        <v>277</v>
      </c>
      <c r="U228">
        <v>12231</v>
      </c>
      <c r="V228">
        <v>3505</v>
      </c>
      <c r="W228">
        <v>8726</v>
      </c>
    </row>
    <row r="229" spans="1:23" x14ac:dyDescent="0.3">
      <c r="A229" t="s">
        <v>1243</v>
      </c>
      <c r="B229">
        <v>2022</v>
      </c>
      <c r="C229">
        <v>0.81331189495001899</v>
      </c>
      <c r="D229">
        <v>5104</v>
      </c>
      <c r="E229">
        <v>1489720.6875</v>
      </c>
      <c r="F229">
        <v>26</v>
      </c>
      <c r="G229">
        <v>170</v>
      </c>
      <c r="H229">
        <v>4.9669475934669999E-4</v>
      </c>
      <c r="I229">
        <v>8</v>
      </c>
      <c r="J229">
        <v>0</v>
      </c>
      <c r="K229">
        <v>0</v>
      </c>
      <c r="L229">
        <v>0</v>
      </c>
      <c r="M229">
        <v>3</v>
      </c>
      <c r="N229">
        <v>0.64905993453615973</v>
      </c>
      <c r="O229">
        <v>-0.26288778039084659</v>
      </c>
      <c r="P229">
        <v>335707111.87046021</v>
      </c>
      <c r="Q229">
        <v>91301.509773395694</v>
      </c>
      <c r="R229" t="s">
        <v>734</v>
      </c>
      <c r="S229" t="s">
        <v>735</v>
      </c>
      <c r="T229" t="s">
        <v>739</v>
      </c>
      <c r="U229">
        <v>4865</v>
      </c>
      <c r="V229">
        <v>428</v>
      </c>
      <c r="W229">
        <v>4437</v>
      </c>
    </row>
    <row r="230" spans="1:23" x14ac:dyDescent="0.3">
      <c r="A230" t="s">
        <v>1244</v>
      </c>
      <c r="B230">
        <v>2022</v>
      </c>
      <c r="C230">
        <v>20.710219305651201</v>
      </c>
      <c r="D230">
        <v>32229</v>
      </c>
      <c r="E230">
        <v>6953101.75</v>
      </c>
      <c r="F230">
        <v>490</v>
      </c>
      <c r="G230">
        <v>827</v>
      </c>
      <c r="H230">
        <v>3.1928113478240001E-4</v>
      </c>
      <c r="I230">
        <v>24</v>
      </c>
      <c r="J230">
        <v>1.12284898013421E-2</v>
      </c>
      <c r="K230">
        <v>6</v>
      </c>
      <c r="L230">
        <v>0</v>
      </c>
      <c r="M230">
        <v>20</v>
      </c>
      <c r="N230">
        <v>0.62453639099471892</v>
      </c>
      <c r="O230">
        <v>-0.31746924329366211</v>
      </c>
      <c r="P230">
        <v>487434041.32720202</v>
      </c>
      <c r="Q230">
        <v>91184.363744534276</v>
      </c>
      <c r="R230" t="s">
        <v>926</v>
      </c>
      <c r="S230" t="s">
        <v>946</v>
      </c>
      <c r="T230" t="s">
        <v>946</v>
      </c>
      <c r="U230">
        <v>30729</v>
      </c>
      <c r="V230">
        <v>14484</v>
      </c>
      <c r="W230">
        <v>16245</v>
      </c>
    </row>
    <row r="231" spans="1:23" x14ac:dyDescent="0.3">
      <c r="A231" t="s">
        <v>1245</v>
      </c>
      <c r="B231">
        <v>2022</v>
      </c>
      <c r="C231">
        <v>1.3229422189762621</v>
      </c>
      <c r="D231">
        <v>9088</v>
      </c>
      <c r="E231">
        <v>743010.6875</v>
      </c>
      <c r="F231">
        <v>12</v>
      </c>
      <c r="G231">
        <v>456</v>
      </c>
      <c r="H231">
        <v>1.852616831748E-4</v>
      </c>
      <c r="I231">
        <v>6</v>
      </c>
      <c r="J231">
        <v>0</v>
      </c>
      <c r="K231">
        <v>0</v>
      </c>
      <c r="L231">
        <v>0</v>
      </c>
      <c r="M231">
        <v>1</v>
      </c>
      <c r="N231">
        <v>0.50772145330757301</v>
      </c>
      <c r="O231">
        <v>-0.33652582576329498</v>
      </c>
      <c r="P231">
        <v>205925701.72379389</v>
      </c>
      <c r="Q231">
        <v>90133.528429827638</v>
      </c>
      <c r="R231" t="s">
        <v>503</v>
      </c>
      <c r="S231" t="s">
        <v>503</v>
      </c>
      <c r="T231" t="s">
        <v>509</v>
      </c>
      <c r="U231">
        <v>8605</v>
      </c>
      <c r="V231">
        <v>5282</v>
      </c>
      <c r="W231">
        <v>3323</v>
      </c>
    </row>
    <row r="232" spans="1:23" x14ac:dyDescent="0.3">
      <c r="A232" t="s">
        <v>1246</v>
      </c>
      <c r="B232">
        <v>2022</v>
      </c>
      <c r="C232">
        <v>1.719116731010945</v>
      </c>
      <c r="D232">
        <v>13770</v>
      </c>
      <c r="E232">
        <v>11978390.730759799</v>
      </c>
      <c r="F232">
        <v>167</v>
      </c>
      <c r="G232">
        <v>499</v>
      </c>
      <c r="H232">
        <v>2.407315776324E-4</v>
      </c>
      <c r="I232">
        <v>20</v>
      </c>
      <c r="J232">
        <v>1.7543859649122799E-2</v>
      </c>
      <c r="K232">
        <v>1</v>
      </c>
      <c r="L232">
        <v>0</v>
      </c>
      <c r="M232">
        <v>1</v>
      </c>
      <c r="N232">
        <v>0.3249851513599547</v>
      </c>
      <c r="O232">
        <v>-0.21377536367818961</v>
      </c>
      <c r="P232">
        <v>163992468.0199872</v>
      </c>
      <c r="Q232">
        <v>89547.492882799095</v>
      </c>
      <c r="R232" t="s">
        <v>236</v>
      </c>
      <c r="S232" t="s">
        <v>273</v>
      </c>
      <c r="T232" t="s">
        <v>277</v>
      </c>
      <c r="U232">
        <v>13154</v>
      </c>
      <c r="V232">
        <v>5893</v>
      </c>
      <c r="W232">
        <v>7261</v>
      </c>
    </row>
    <row r="233" spans="1:23" x14ac:dyDescent="0.3">
      <c r="A233" t="s">
        <v>1247</v>
      </c>
      <c r="B233">
        <v>2022</v>
      </c>
      <c r="C233">
        <v>5.8955254151152756</v>
      </c>
      <c r="D233">
        <v>11938</v>
      </c>
      <c r="E233">
        <v>991269.6875</v>
      </c>
      <c r="F233">
        <v>57</v>
      </c>
      <c r="G233">
        <v>235</v>
      </c>
      <c r="H233">
        <v>5.4871360624599995E-4</v>
      </c>
      <c r="I233">
        <v>12</v>
      </c>
      <c r="J233">
        <v>0</v>
      </c>
      <c r="K233">
        <v>0</v>
      </c>
      <c r="L233">
        <v>0</v>
      </c>
      <c r="M233">
        <v>5</v>
      </c>
      <c r="N233">
        <v>0.44238187863021872</v>
      </c>
      <c r="O233">
        <v>-0.35889191062454467</v>
      </c>
      <c r="P233">
        <v>36527610.270019338</v>
      </c>
      <c r="Q233">
        <v>85883.139435175704</v>
      </c>
      <c r="R233" t="s">
        <v>291</v>
      </c>
      <c r="S233" t="s">
        <v>330</v>
      </c>
      <c r="T233" t="s">
        <v>330</v>
      </c>
      <c r="U233">
        <v>11376</v>
      </c>
      <c r="V233">
        <v>8590</v>
      </c>
      <c r="W233">
        <v>2786</v>
      </c>
    </row>
    <row r="234" spans="1:23" x14ac:dyDescent="0.3">
      <c r="A234" t="s">
        <v>1248</v>
      </c>
      <c r="B234">
        <v>2022</v>
      </c>
      <c r="C234">
        <v>0.86068795019469813</v>
      </c>
      <c r="D234">
        <v>3550</v>
      </c>
      <c r="E234">
        <v>991328.25</v>
      </c>
      <c r="F234">
        <v>28</v>
      </c>
      <c r="G234">
        <v>273</v>
      </c>
      <c r="H234">
        <v>5.0957124764749995E-4</v>
      </c>
      <c r="I234">
        <v>5</v>
      </c>
      <c r="J234">
        <v>0</v>
      </c>
      <c r="K234">
        <v>0</v>
      </c>
      <c r="L234">
        <v>0</v>
      </c>
      <c r="M234">
        <v>7</v>
      </c>
      <c r="N234">
        <v>0.30362482350620651</v>
      </c>
      <c r="O234">
        <v>-0.24819725722012589</v>
      </c>
      <c r="P234">
        <v>211041371.69183719</v>
      </c>
      <c r="Q234">
        <v>85837.452662233132</v>
      </c>
      <c r="R234" t="s">
        <v>291</v>
      </c>
      <c r="S234" t="s">
        <v>294</v>
      </c>
      <c r="T234" t="s">
        <v>296</v>
      </c>
      <c r="U234">
        <v>3382</v>
      </c>
      <c r="V234">
        <v>1307</v>
      </c>
      <c r="W234">
        <v>2075</v>
      </c>
    </row>
    <row r="235" spans="1:23" x14ac:dyDescent="0.3">
      <c r="A235" t="s">
        <v>1249</v>
      </c>
      <c r="B235">
        <v>2022</v>
      </c>
      <c r="C235">
        <v>23.32528865840391</v>
      </c>
      <c r="D235">
        <v>10131</v>
      </c>
      <c r="E235">
        <v>5039269.777144609</v>
      </c>
      <c r="F235">
        <v>1359</v>
      </c>
      <c r="G235">
        <v>183</v>
      </c>
      <c r="H235">
        <v>1.4424937197893E-3</v>
      </c>
      <c r="I235">
        <v>16</v>
      </c>
      <c r="J235">
        <v>0</v>
      </c>
      <c r="K235">
        <v>0</v>
      </c>
      <c r="L235">
        <v>0</v>
      </c>
      <c r="M235">
        <v>3</v>
      </c>
      <c r="N235">
        <v>0.30981845038400652</v>
      </c>
      <c r="O235">
        <v>-0.23962292970174831</v>
      </c>
      <c r="P235">
        <v>7656488.6111119296</v>
      </c>
      <c r="Q235">
        <v>85373.456272839598</v>
      </c>
      <c r="R235" t="s">
        <v>834</v>
      </c>
      <c r="S235" t="s">
        <v>835</v>
      </c>
      <c r="T235" t="s">
        <v>847</v>
      </c>
      <c r="U235">
        <v>9674</v>
      </c>
      <c r="V235">
        <v>7065</v>
      </c>
      <c r="W235">
        <v>2609</v>
      </c>
    </row>
    <row r="236" spans="1:23" x14ac:dyDescent="0.3">
      <c r="A236" t="s">
        <v>1250</v>
      </c>
      <c r="B236">
        <v>2022</v>
      </c>
      <c r="C236">
        <v>1.2713710423530249</v>
      </c>
      <c r="D236">
        <v>15570</v>
      </c>
      <c r="E236">
        <v>1241570.890625</v>
      </c>
      <c r="F236">
        <v>12</v>
      </c>
      <c r="G236">
        <v>236</v>
      </c>
      <c r="H236">
        <v>6.1648020164540001E-4</v>
      </c>
      <c r="I236">
        <v>13</v>
      </c>
      <c r="J236">
        <v>5.5555555555555497E-2</v>
      </c>
      <c r="K236">
        <v>1</v>
      </c>
      <c r="L236">
        <v>0</v>
      </c>
      <c r="M236">
        <v>1</v>
      </c>
      <c r="N236">
        <v>0.5902793972418191</v>
      </c>
      <c r="O236">
        <v>-0.29217911570980881</v>
      </c>
      <c r="P236">
        <v>166254382.22524861</v>
      </c>
      <c r="Q236">
        <v>84483.904804596459</v>
      </c>
      <c r="R236" t="s">
        <v>590</v>
      </c>
      <c r="S236" t="s">
        <v>610</v>
      </c>
      <c r="T236" t="s">
        <v>612</v>
      </c>
      <c r="U236">
        <v>14851</v>
      </c>
      <c r="V236">
        <v>4492</v>
      </c>
      <c r="W236">
        <v>10359</v>
      </c>
    </row>
    <row r="237" spans="1:23" x14ac:dyDescent="0.3">
      <c r="A237" t="s">
        <v>1287</v>
      </c>
      <c r="B237">
        <v>2022</v>
      </c>
      <c r="C237">
        <v>1.060275934851779</v>
      </c>
      <c r="D237">
        <v>3081</v>
      </c>
      <c r="E237">
        <v>1277663.090747549</v>
      </c>
      <c r="F237">
        <v>106</v>
      </c>
      <c r="G237">
        <v>300</v>
      </c>
      <c r="H237">
        <v>1.9203268262459999E-4</v>
      </c>
      <c r="I237">
        <v>13</v>
      </c>
      <c r="J237">
        <v>0</v>
      </c>
      <c r="K237">
        <v>0</v>
      </c>
      <c r="L237">
        <v>0</v>
      </c>
      <c r="M237">
        <v>1</v>
      </c>
      <c r="P237">
        <v>212678930.96104649</v>
      </c>
      <c r="Q237">
        <v>41479.898953659103</v>
      </c>
      <c r="R237" t="s">
        <v>656</v>
      </c>
      <c r="S237" t="s">
        <v>776</v>
      </c>
      <c r="T237" t="s">
        <v>794</v>
      </c>
      <c r="U237">
        <v>2935</v>
      </c>
      <c r="V237">
        <v>899</v>
      </c>
      <c r="W237">
        <v>2036</v>
      </c>
    </row>
    <row r="238" spans="1:23" x14ac:dyDescent="0.3">
      <c r="A238" t="s">
        <v>1374</v>
      </c>
      <c r="B238">
        <v>2022</v>
      </c>
      <c r="C238">
        <v>3.238849884199285</v>
      </c>
      <c r="D238">
        <v>24305</v>
      </c>
      <c r="E238">
        <v>5418343.115196079</v>
      </c>
      <c r="F238">
        <v>762</v>
      </c>
      <c r="G238">
        <v>787</v>
      </c>
      <c r="H238">
        <v>1.691958529513E-4</v>
      </c>
      <c r="I238">
        <v>13</v>
      </c>
      <c r="J238">
        <v>4.3761122618665004E-3</v>
      </c>
      <c r="K238">
        <v>4</v>
      </c>
      <c r="L238">
        <v>0</v>
      </c>
      <c r="M238">
        <v>12</v>
      </c>
      <c r="N238">
        <v>0.47392129372534619</v>
      </c>
      <c r="O238">
        <v>-0.33926990091459958</v>
      </c>
      <c r="P238">
        <v>254315779.3372232</v>
      </c>
      <c r="Q238">
        <v>9475.6001466516209</v>
      </c>
      <c r="R238" t="s">
        <v>656</v>
      </c>
      <c r="S238" t="s">
        <v>776</v>
      </c>
      <c r="T238" t="s">
        <v>797</v>
      </c>
      <c r="U238">
        <v>23142</v>
      </c>
      <c r="V238">
        <v>17585</v>
      </c>
      <c r="W238">
        <v>5557</v>
      </c>
    </row>
    <row r="239" spans="1:23" x14ac:dyDescent="0.3">
      <c r="A239" t="s">
        <v>1253</v>
      </c>
      <c r="B239">
        <v>2022</v>
      </c>
      <c r="C239">
        <v>19.5293425197682</v>
      </c>
      <c r="D239">
        <v>14903</v>
      </c>
      <c r="E239">
        <v>9206544.3256740198</v>
      </c>
      <c r="F239">
        <v>1444</v>
      </c>
      <c r="G239">
        <v>349</v>
      </c>
      <c r="H239">
        <v>1.244390259283E-3</v>
      </c>
      <c r="I239">
        <v>29</v>
      </c>
      <c r="J239">
        <v>3.7707390648567103E-2</v>
      </c>
      <c r="K239">
        <v>2</v>
      </c>
      <c r="L239">
        <v>0</v>
      </c>
      <c r="M239">
        <v>5</v>
      </c>
      <c r="N239">
        <v>0.32467712572362267</v>
      </c>
      <c r="O239">
        <v>-0.26898211661473431</v>
      </c>
      <c r="P239">
        <v>9452615.873898102</v>
      </c>
      <c r="Q239">
        <v>83549.407851063967</v>
      </c>
      <c r="R239" t="s">
        <v>834</v>
      </c>
      <c r="S239" t="s">
        <v>835</v>
      </c>
      <c r="T239" t="s">
        <v>299</v>
      </c>
      <c r="U239">
        <v>14226</v>
      </c>
      <c r="V239">
        <v>11601</v>
      </c>
      <c r="W239">
        <v>2625</v>
      </c>
    </row>
    <row r="240" spans="1:23" x14ac:dyDescent="0.3">
      <c r="A240" t="s">
        <v>1254</v>
      </c>
      <c r="B240">
        <v>2022</v>
      </c>
      <c r="C240">
        <v>1.7328974862001709</v>
      </c>
      <c r="D240">
        <v>17156</v>
      </c>
      <c r="E240">
        <v>1625718.057291667</v>
      </c>
      <c r="F240">
        <v>20</v>
      </c>
      <c r="G240">
        <v>363</v>
      </c>
      <c r="H240">
        <v>4.6772472227600001E-4</v>
      </c>
      <c r="I240">
        <v>7</v>
      </c>
      <c r="J240">
        <v>0</v>
      </c>
      <c r="K240">
        <v>0</v>
      </c>
      <c r="L240">
        <v>0</v>
      </c>
      <c r="M240">
        <v>8</v>
      </c>
      <c r="N240">
        <v>0.63561631949242581</v>
      </c>
      <c r="O240">
        <v>-0.2928917200278186</v>
      </c>
      <c r="P240">
        <v>273102781.81838459</v>
      </c>
      <c r="Q240">
        <v>82105.465573296635</v>
      </c>
      <c r="R240" t="s">
        <v>878</v>
      </c>
      <c r="S240" t="s">
        <v>899</v>
      </c>
      <c r="T240" t="s">
        <v>899</v>
      </c>
      <c r="U240">
        <v>16346</v>
      </c>
      <c r="V240">
        <v>9907</v>
      </c>
      <c r="W240">
        <v>6439</v>
      </c>
    </row>
    <row r="241" spans="1:23" x14ac:dyDescent="0.3">
      <c r="A241" t="s">
        <v>1255</v>
      </c>
      <c r="B241">
        <v>2022</v>
      </c>
      <c r="C241">
        <v>14.465367507216589</v>
      </c>
      <c r="D241">
        <v>10927</v>
      </c>
      <c r="E241">
        <v>3613874.9346813732</v>
      </c>
      <c r="F241">
        <v>585</v>
      </c>
      <c r="G241">
        <v>272</v>
      </c>
      <c r="H241">
        <v>6.4123695425940001E-4</v>
      </c>
      <c r="I241">
        <v>6</v>
      </c>
      <c r="J241">
        <v>0.1666666666666666</v>
      </c>
      <c r="K241">
        <v>1</v>
      </c>
      <c r="L241">
        <v>0</v>
      </c>
      <c r="M241">
        <v>3</v>
      </c>
      <c r="N241">
        <v>0.43778474725564032</v>
      </c>
      <c r="O241">
        <v>-0.28270144043790463</v>
      </c>
      <c r="P241">
        <v>18781520.742969532</v>
      </c>
      <c r="Q241">
        <v>81779.750551694509</v>
      </c>
      <c r="R241" t="s">
        <v>834</v>
      </c>
      <c r="S241" t="s">
        <v>855</v>
      </c>
      <c r="T241" t="s">
        <v>855</v>
      </c>
      <c r="U241">
        <v>10404</v>
      </c>
      <c r="V241">
        <v>7981</v>
      </c>
      <c r="W241">
        <v>2423</v>
      </c>
    </row>
    <row r="242" spans="1:23" x14ac:dyDescent="0.3">
      <c r="A242" t="s">
        <v>1256</v>
      </c>
      <c r="B242">
        <v>2022</v>
      </c>
      <c r="C242">
        <v>1.2858811518155251</v>
      </c>
      <c r="D242">
        <v>20296</v>
      </c>
      <c r="E242">
        <v>8245770.0241421573</v>
      </c>
      <c r="F242">
        <v>64</v>
      </c>
      <c r="G242">
        <v>457</v>
      </c>
      <c r="H242">
        <v>1.42902823813E-4</v>
      </c>
      <c r="I242">
        <v>14</v>
      </c>
      <c r="J242">
        <v>0</v>
      </c>
      <c r="K242">
        <v>0</v>
      </c>
      <c r="L242">
        <v>0</v>
      </c>
      <c r="M242">
        <v>2</v>
      </c>
      <c r="N242">
        <v>0.34747608383965478</v>
      </c>
      <c r="O242">
        <v>-0.3006481946947428</v>
      </c>
      <c r="P242">
        <v>385819395.18948752</v>
      </c>
      <c r="Q242">
        <v>81628.463245912426</v>
      </c>
      <c r="R242" t="s">
        <v>236</v>
      </c>
      <c r="S242" t="s">
        <v>270</v>
      </c>
      <c r="T242" t="s">
        <v>270</v>
      </c>
      <c r="U242">
        <v>19374</v>
      </c>
      <c r="V242">
        <v>2965</v>
      </c>
      <c r="W242">
        <v>16409</v>
      </c>
    </row>
    <row r="243" spans="1:23" x14ac:dyDescent="0.3">
      <c r="A243" t="s">
        <v>1257</v>
      </c>
      <c r="B243">
        <v>2022</v>
      </c>
      <c r="C243">
        <v>1.4945792341256059</v>
      </c>
      <c r="D243">
        <v>2333</v>
      </c>
      <c r="E243">
        <v>47666.002022058827</v>
      </c>
      <c r="F243">
        <v>4</v>
      </c>
      <c r="G243">
        <v>128</v>
      </c>
      <c r="H243">
        <v>4.897147354888E-4</v>
      </c>
      <c r="I243">
        <v>14</v>
      </c>
      <c r="J243">
        <v>0.1538461538461538</v>
      </c>
      <c r="K243">
        <v>1</v>
      </c>
      <c r="L243">
        <v>0</v>
      </c>
      <c r="M243">
        <v>3</v>
      </c>
      <c r="N243">
        <v>0.55685243525510297</v>
      </c>
      <c r="O243">
        <v>-0.42852626887076878</v>
      </c>
      <c r="P243">
        <v>50841437.593450531</v>
      </c>
      <c r="Q243">
        <v>76340.138015386052</v>
      </c>
      <c r="R243" t="s">
        <v>128</v>
      </c>
      <c r="S243" t="s">
        <v>137</v>
      </c>
      <c r="T243" t="s">
        <v>138</v>
      </c>
      <c r="U243">
        <v>2232</v>
      </c>
      <c r="V243">
        <v>850</v>
      </c>
      <c r="W243">
        <v>1382</v>
      </c>
    </row>
    <row r="244" spans="1:23" x14ac:dyDescent="0.3">
      <c r="A244" t="s">
        <v>1258</v>
      </c>
      <c r="B244">
        <v>2022</v>
      </c>
      <c r="C244">
        <v>12.2768105077899</v>
      </c>
      <c r="D244">
        <v>10725</v>
      </c>
      <c r="E244">
        <v>4711304.5744485306</v>
      </c>
      <c r="F244">
        <v>722</v>
      </c>
      <c r="G244">
        <v>206</v>
      </c>
      <c r="H244">
        <v>8.6863509429349996E-4</v>
      </c>
      <c r="I244">
        <v>11</v>
      </c>
      <c r="J244">
        <v>0</v>
      </c>
      <c r="K244">
        <v>0</v>
      </c>
      <c r="L244">
        <v>0</v>
      </c>
      <c r="M244">
        <v>1</v>
      </c>
      <c r="N244">
        <v>0.44600573893259798</v>
      </c>
      <c r="O244">
        <v>-0.3202449013227528</v>
      </c>
      <c r="P244">
        <v>11075381.59496396</v>
      </c>
      <c r="Q244">
        <v>74695.121044222309</v>
      </c>
      <c r="R244" t="s">
        <v>834</v>
      </c>
      <c r="S244" t="s">
        <v>835</v>
      </c>
      <c r="T244" t="s">
        <v>846</v>
      </c>
      <c r="U244">
        <v>10229</v>
      </c>
      <c r="V244">
        <v>7844</v>
      </c>
      <c r="W244">
        <v>2385</v>
      </c>
    </row>
    <row r="245" spans="1:23" x14ac:dyDescent="0.3">
      <c r="A245" t="s">
        <v>1259</v>
      </c>
      <c r="B245">
        <v>2022</v>
      </c>
      <c r="C245">
        <v>8.9649537953749103</v>
      </c>
      <c r="D245">
        <v>58154</v>
      </c>
      <c r="E245">
        <v>12066614.977573531</v>
      </c>
      <c r="F245">
        <v>264</v>
      </c>
      <c r="G245">
        <v>1494</v>
      </c>
      <c r="H245">
        <v>2.6861080290300002E-4</v>
      </c>
      <c r="I245">
        <v>23</v>
      </c>
      <c r="J245">
        <v>0</v>
      </c>
      <c r="K245">
        <v>0</v>
      </c>
      <c r="L245">
        <v>0</v>
      </c>
      <c r="M245">
        <v>25</v>
      </c>
      <c r="N245">
        <v>0.40203669648714768</v>
      </c>
      <c r="O245">
        <v>-0.27240662310317781</v>
      </c>
      <c r="P245">
        <v>79288584.856689513</v>
      </c>
      <c r="Q245">
        <v>70461.192995222184</v>
      </c>
      <c r="R245" t="s">
        <v>464</v>
      </c>
      <c r="S245" t="s">
        <v>485</v>
      </c>
      <c r="T245" t="s">
        <v>485</v>
      </c>
      <c r="U245">
        <v>55515</v>
      </c>
      <c r="V245">
        <v>37054</v>
      </c>
      <c r="W245">
        <v>18461</v>
      </c>
    </row>
    <row r="246" spans="1:23" x14ac:dyDescent="0.3">
      <c r="A246" t="s">
        <v>1260</v>
      </c>
      <c r="B246">
        <v>2022</v>
      </c>
      <c r="C246">
        <v>1.0324493441852609</v>
      </c>
      <c r="D246">
        <v>6603</v>
      </c>
      <c r="E246">
        <v>1001672.359865196</v>
      </c>
      <c r="F246">
        <v>24</v>
      </c>
      <c r="G246">
        <v>332</v>
      </c>
      <c r="H246">
        <v>2.6936243369959998E-4</v>
      </c>
      <c r="I246">
        <v>26</v>
      </c>
      <c r="J246">
        <v>0.66666666666666663</v>
      </c>
      <c r="K246">
        <v>1</v>
      </c>
      <c r="L246">
        <v>0</v>
      </c>
      <c r="M246">
        <v>1</v>
      </c>
      <c r="N246">
        <v>0.36168257529593228</v>
      </c>
      <c r="O246">
        <v>-0.28776766932537018</v>
      </c>
      <c r="P246">
        <v>221126876.45093009</v>
      </c>
      <c r="Q246">
        <v>65259.223776523577</v>
      </c>
      <c r="R246" t="s">
        <v>236</v>
      </c>
      <c r="S246" t="s">
        <v>237</v>
      </c>
      <c r="T246" t="s">
        <v>55</v>
      </c>
      <c r="U246">
        <v>6306</v>
      </c>
      <c r="V246">
        <v>2104</v>
      </c>
      <c r="W246">
        <v>4202</v>
      </c>
    </row>
    <row r="247" spans="1:23" x14ac:dyDescent="0.3">
      <c r="A247" t="s">
        <v>1261</v>
      </c>
      <c r="B247">
        <v>2022</v>
      </c>
      <c r="C247">
        <v>17.075037376022092</v>
      </c>
      <c r="D247">
        <v>192051</v>
      </c>
      <c r="E247">
        <v>16764321.89601716</v>
      </c>
      <c r="F247">
        <v>233</v>
      </c>
      <c r="G247">
        <v>3241</v>
      </c>
      <c r="H247">
        <v>1.18853032107E-4</v>
      </c>
      <c r="I247">
        <v>19</v>
      </c>
      <c r="J247">
        <v>8.3333333333333301E-2</v>
      </c>
      <c r="K247">
        <v>1</v>
      </c>
      <c r="L247">
        <v>0</v>
      </c>
      <c r="M247">
        <v>15</v>
      </c>
      <c r="N247">
        <v>0.27198056191604741</v>
      </c>
      <c r="O247">
        <v>-0.13402884524765199</v>
      </c>
      <c r="P247">
        <v>229108018.8142013</v>
      </c>
      <c r="Q247">
        <v>63969.824663696032</v>
      </c>
      <c r="R247" t="s">
        <v>410</v>
      </c>
      <c r="S247" t="s">
        <v>377</v>
      </c>
      <c r="T247" t="s">
        <v>377</v>
      </c>
      <c r="U247">
        <v>183206</v>
      </c>
      <c r="V247">
        <v>139978</v>
      </c>
      <c r="W247">
        <v>43228</v>
      </c>
    </row>
    <row r="248" spans="1:23" x14ac:dyDescent="0.3">
      <c r="A248" t="s">
        <v>1262</v>
      </c>
      <c r="B248">
        <v>2022</v>
      </c>
      <c r="C248">
        <v>16.517442296054959</v>
      </c>
      <c r="D248">
        <v>23289</v>
      </c>
      <c r="E248">
        <v>19771185.55306372</v>
      </c>
      <c r="F248">
        <v>2206</v>
      </c>
      <c r="G248">
        <v>602</v>
      </c>
      <c r="H248">
        <v>5.0510892616150002E-4</v>
      </c>
      <c r="I248">
        <v>9</v>
      </c>
      <c r="J248">
        <v>0.33333333333333331</v>
      </c>
      <c r="K248">
        <v>2</v>
      </c>
      <c r="L248">
        <v>0</v>
      </c>
      <c r="M248">
        <v>11</v>
      </c>
      <c r="N248">
        <v>0.35830436614503891</v>
      </c>
      <c r="O248">
        <v>-0.27342858814747267</v>
      </c>
      <c r="P248">
        <v>29452886.481208421</v>
      </c>
      <c r="Q248">
        <v>63565.162455990321</v>
      </c>
      <c r="R248" t="s">
        <v>834</v>
      </c>
      <c r="S248" t="s">
        <v>835</v>
      </c>
      <c r="T248" t="s">
        <v>840</v>
      </c>
      <c r="U248">
        <v>21352</v>
      </c>
      <c r="V248">
        <v>16262</v>
      </c>
      <c r="W248">
        <v>5090</v>
      </c>
    </row>
    <row r="249" spans="1:23" x14ac:dyDescent="0.3">
      <c r="A249" t="s">
        <v>1263</v>
      </c>
      <c r="B249">
        <v>2022</v>
      </c>
      <c r="C249">
        <v>2.4767195462691221</v>
      </c>
      <c r="D249">
        <v>14701</v>
      </c>
      <c r="E249">
        <v>3404012.213480392</v>
      </c>
      <c r="F249">
        <v>92</v>
      </c>
      <c r="G249">
        <v>435</v>
      </c>
      <c r="H249">
        <v>1.201953722417E-4</v>
      </c>
      <c r="I249">
        <v>11</v>
      </c>
      <c r="J249">
        <v>0</v>
      </c>
      <c r="K249">
        <v>0</v>
      </c>
      <c r="L249">
        <v>0</v>
      </c>
      <c r="M249">
        <v>9</v>
      </c>
      <c r="N249">
        <v>0.47567004957775272</v>
      </c>
      <c r="O249">
        <v>-0.36818268686254818</v>
      </c>
      <c r="P249">
        <v>93836983.935420319</v>
      </c>
      <c r="Q249">
        <v>62335.182647037509</v>
      </c>
      <c r="R249" t="s">
        <v>101</v>
      </c>
      <c r="S249" t="s">
        <v>120</v>
      </c>
      <c r="T249" t="s">
        <v>120</v>
      </c>
      <c r="U249">
        <v>13944</v>
      </c>
      <c r="V249">
        <v>8753</v>
      </c>
      <c r="W249">
        <v>5191</v>
      </c>
    </row>
    <row r="250" spans="1:23" x14ac:dyDescent="0.3">
      <c r="A250" t="s">
        <v>1809</v>
      </c>
      <c r="B250">
        <v>2022</v>
      </c>
      <c r="C250">
        <v>0.98806523887974362</v>
      </c>
      <c r="D250">
        <v>2055</v>
      </c>
      <c r="E250">
        <v>0</v>
      </c>
      <c r="F250">
        <v>280</v>
      </c>
      <c r="G250">
        <v>291</v>
      </c>
      <c r="H250">
        <v>1.521108761442E-4</v>
      </c>
      <c r="I250">
        <v>13</v>
      </c>
      <c r="J250">
        <v>2.1208907741250998E-3</v>
      </c>
      <c r="K250">
        <v>2</v>
      </c>
      <c r="L250">
        <v>0</v>
      </c>
      <c r="M250">
        <v>4</v>
      </c>
      <c r="P250">
        <v>541895860.25428343</v>
      </c>
      <c r="Q250">
        <v>0</v>
      </c>
      <c r="R250" t="s">
        <v>656</v>
      </c>
      <c r="S250" t="s">
        <v>776</v>
      </c>
      <c r="T250" t="s">
        <v>790</v>
      </c>
      <c r="U250">
        <v>1959</v>
      </c>
      <c r="V250">
        <v>1061</v>
      </c>
      <c r="W250">
        <v>898</v>
      </c>
    </row>
    <row r="251" spans="1:23" x14ac:dyDescent="0.3">
      <c r="A251" t="s">
        <v>1265</v>
      </c>
      <c r="B251">
        <v>2022</v>
      </c>
      <c r="C251">
        <v>0.73371817703079756</v>
      </c>
      <c r="D251">
        <v>4269</v>
      </c>
      <c r="E251">
        <v>744686.46875</v>
      </c>
      <c r="F251">
        <v>21</v>
      </c>
      <c r="G251">
        <v>162</v>
      </c>
      <c r="H251">
        <v>3.3123242014589999E-4</v>
      </c>
      <c r="I251">
        <v>13</v>
      </c>
      <c r="J251">
        <v>0</v>
      </c>
      <c r="K251">
        <v>0</v>
      </c>
      <c r="L251">
        <v>0</v>
      </c>
      <c r="M251">
        <v>2</v>
      </c>
      <c r="N251">
        <v>0.34286639976197181</v>
      </c>
      <c r="O251">
        <v>-0.25001226993554532</v>
      </c>
      <c r="P251">
        <v>272828086.36882478</v>
      </c>
      <c r="Q251">
        <v>60947.695826027288</v>
      </c>
      <c r="R251" t="s">
        <v>616</v>
      </c>
      <c r="S251" t="s">
        <v>639</v>
      </c>
      <c r="T251" t="s">
        <v>644</v>
      </c>
      <c r="U251">
        <v>4067</v>
      </c>
      <c r="V251">
        <v>530</v>
      </c>
      <c r="W251">
        <v>3537</v>
      </c>
    </row>
    <row r="252" spans="1:23" x14ac:dyDescent="0.3">
      <c r="A252" t="s">
        <v>1266</v>
      </c>
      <c r="B252">
        <v>2022</v>
      </c>
      <c r="C252">
        <v>8.2928221442633063</v>
      </c>
      <c r="D252">
        <v>41463</v>
      </c>
      <c r="E252">
        <v>9616115.0240808818</v>
      </c>
      <c r="F252">
        <v>316</v>
      </c>
      <c r="G252">
        <v>822</v>
      </c>
      <c r="H252">
        <v>5.1360656791859995E-4</v>
      </c>
      <c r="I252">
        <v>5</v>
      </c>
      <c r="J252">
        <v>3.8431372549019599E-2</v>
      </c>
      <c r="K252">
        <v>2</v>
      </c>
      <c r="L252">
        <v>0</v>
      </c>
      <c r="M252">
        <v>11</v>
      </c>
      <c r="N252">
        <v>0.64887199433477727</v>
      </c>
      <c r="O252">
        <v>-0.33606513186252052</v>
      </c>
      <c r="P252">
        <v>81430209.228363737</v>
      </c>
      <c r="Q252">
        <v>60863.117867081899</v>
      </c>
      <c r="R252" t="s">
        <v>734</v>
      </c>
      <c r="S252" t="s">
        <v>735</v>
      </c>
      <c r="T252" t="s">
        <v>735</v>
      </c>
      <c r="U252">
        <v>39535</v>
      </c>
      <c r="V252">
        <v>25136</v>
      </c>
      <c r="W252">
        <v>14399</v>
      </c>
    </row>
    <row r="253" spans="1:23" x14ac:dyDescent="0.3">
      <c r="A253" t="s">
        <v>1267</v>
      </c>
      <c r="B253">
        <v>2022</v>
      </c>
      <c r="C253">
        <v>1.295565168900267</v>
      </c>
      <c r="D253">
        <v>3020</v>
      </c>
      <c r="E253">
        <v>743000.90625</v>
      </c>
      <c r="F253">
        <v>53</v>
      </c>
      <c r="G253">
        <v>114</v>
      </c>
      <c r="H253">
        <v>6.1348790758670004E-4</v>
      </c>
      <c r="I253">
        <v>5</v>
      </c>
      <c r="J253">
        <v>0</v>
      </c>
      <c r="K253">
        <v>0</v>
      </c>
      <c r="L253">
        <v>0</v>
      </c>
      <c r="M253">
        <v>2</v>
      </c>
      <c r="N253">
        <v>0.52024976945397872</v>
      </c>
      <c r="O253">
        <v>-0.36680021534266749</v>
      </c>
      <c r="P253">
        <v>72178485.213530794</v>
      </c>
      <c r="Q253">
        <v>60140.328289318531</v>
      </c>
      <c r="R253" t="s">
        <v>503</v>
      </c>
      <c r="S253" t="s">
        <v>538</v>
      </c>
      <c r="T253" t="s">
        <v>538</v>
      </c>
      <c r="U253">
        <v>2883</v>
      </c>
      <c r="V253">
        <v>1886</v>
      </c>
      <c r="W253">
        <v>997</v>
      </c>
    </row>
    <row r="254" spans="1:23" x14ac:dyDescent="0.3">
      <c r="A254" t="s">
        <v>1268</v>
      </c>
      <c r="B254">
        <v>2022</v>
      </c>
      <c r="C254">
        <v>6.5129309553828003</v>
      </c>
      <c r="D254">
        <v>41345</v>
      </c>
      <c r="E254">
        <v>9768192.5518382359</v>
      </c>
      <c r="F254">
        <v>257</v>
      </c>
      <c r="G254">
        <v>1071</v>
      </c>
      <c r="H254">
        <v>4.0149249425400002E-4</v>
      </c>
      <c r="I254">
        <v>2</v>
      </c>
      <c r="J254">
        <v>0</v>
      </c>
      <c r="K254">
        <v>0</v>
      </c>
      <c r="L254">
        <v>0</v>
      </c>
      <c r="M254">
        <v>33</v>
      </c>
      <c r="N254">
        <v>0.64913213407153758</v>
      </c>
      <c r="O254">
        <v>-0.3321292437356913</v>
      </c>
      <c r="P254">
        <v>91800946.660527661</v>
      </c>
      <c r="Q254">
        <v>59873.48899951858</v>
      </c>
      <c r="R254" t="s">
        <v>760</v>
      </c>
      <c r="S254" t="s">
        <v>760</v>
      </c>
      <c r="T254" t="s">
        <v>761</v>
      </c>
      <c r="U254">
        <v>39372</v>
      </c>
      <c r="V254">
        <v>29999</v>
      </c>
      <c r="W254">
        <v>9373</v>
      </c>
    </row>
    <row r="255" spans="1:23" x14ac:dyDescent="0.3">
      <c r="A255" t="s">
        <v>1269</v>
      </c>
      <c r="B255">
        <v>2022</v>
      </c>
      <c r="C255">
        <v>2.548711434804372</v>
      </c>
      <c r="D255">
        <v>14912</v>
      </c>
      <c r="E255">
        <v>1151655.5889705881</v>
      </c>
      <c r="F255">
        <v>33</v>
      </c>
      <c r="G255">
        <v>372</v>
      </c>
      <c r="H255">
        <v>1.0382186773013999E-3</v>
      </c>
      <c r="I255">
        <v>4</v>
      </c>
      <c r="J255">
        <v>0</v>
      </c>
      <c r="K255">
        <v>0</v>
      </c>
      <c r="L255">
        <v>0</v>
      </c>
      <c r="M255">
        <v>1</v>
      </c>
      <c r="N255">
        <v>0.70034804315208732</v>
      </c>
      <c r="O255">
        <v>-0.32906894477354071</v>
      </c>
      <c r="P255">
        <v>93047778.322954193</v>
      </c>
      <c r="Q255">
        <v>59647.66567022902</v>
      </c>
      <c r="R255" t="s">
        <v>760</v>
      </c>
      <c r="S255" t="s">
        <v>760</v>
      </c>
      <c r="T255" t="s">
        <v>43</v>
      </c>
      <c r="U255">
        <v>14209</v>
      </c>
      <c r="V255">
        <v>8245</v>
      </c>
      <c r="W255">
        <v>5964</v>
      </c>
    </row>
    <row r="256" spans="1:23" x14ac:dyDescent="0.3">
      <c r="A256" t="s">
        <v>1270</v>
      </c>
      <c r="B256">
        <v>2022</v>
      </c>
      <c r="C256">
        <v>16.162808412996021</v>
      </c>
      <c r="D256">
        <v>14576</v>
      </c>
      <c r="E256">
        <v>5598236.4409313733</v>
      </c>
      <c r="F256">
        <v>1054</v>
      </c>
      <c r="G256">
        <v>488</v>
      </c>
      <c r="H256">
        <v>3.1832850540870002E-4</v>
      </c>
      <c r="I256">
        <v>15</v>
      </c>
      <c r="J256">
        <v>0</v>
      </c>
      <c r="K256">
        <v>0</v>
      </c>
      <c r="L256">
        <v>0</v>
      </c>
      <c r="M256">
        <v>3</v>
      </c>
      <c r="N256">
        <v>0.53350298544000008</v>
      </c>
      <c r="O256">
        <v>-0.36871466809961911</v>
      </c>
      <c r="P256">
        <v>25952391.98584478</v>
      </c>
      <c r="Q256">
        <v>58896.446346666977</v>
      </c>
      <c r="R256" t="s">
        <v>23</v>
      </c>
      <c r="S256" t="s">
        <v>24</v>
      </c>
      <c r="T256" t="s">
        <v>44</v>
      </c>
      <c r="U256">
        <v>12690</v>
      </c>
      <c r="V256">
        <v>7851</v>
      </c>
      <c r="W256">
        <v>4839</v>
      </c>
    </row>
    <row r="257" spans="1:23" x14ac:dyDescent="0.3">
      <c r="A257" t="s">
        <v>1271</v>
      </c>
      <c r="B257">
        <v>2022</v>
      </c>
      <c r="C257">
        <v>1.779192426735378</v>
      </c>
      <c r="D257">
        <v>66578</v>
      </c>
      <c r="E257">
        <v>3723552.546875</v>
      </c>
      <c r="F257">
        <v>17</v>
      </c>
      <c r="G257">
        <v>626</v>
      </c>
      <c r="H257">
        <v>2.4606055025479999E-4</v>
      </c>
      <c r="I257">
        <v>18</v>
      </c>
      <c r="J257">
        <v>0</v>
      </c>
      <c r="K257">
        <v>0</v>
      </c>
      <c r="L257">
        <v>0</v>
      </c>
      <c r="M257">
        <v>10</v>
      </c>
      <c r="N257">
        <v>0.3244637308278896</v>
      </c>
      <c r="O257">
        <v>-0.32374675679497439</v>
      </c>
      <c r="P257">
        <v>572941469.03626692</v>
      </c>
      <c r="Q257">
        <v>58532.994399768439</v>
      </c>
      <c r="R257" t="s">
        <v>590</v>
      </c>
      <c r="S257" t="s">
        <v>607</v>
      </c>
      <c r="T257" t="s">
        <v>607</v>
      </c>
      <c r="U257">
        <v>63515</v>
      </c>
      <c r="V257">
        <v>22204</v>
      </c>
      <c r="W257">
        <v>41311</v>
      </c>
    </row>
    <row r="258" spans="1:23" x14ac:dyDescent="0.3">
      <c r="A258" t="s">
        <v>1272</v>
      </c>
      <c r="B258">
        <v>2022</v>
      </c>
      <c r="C258">
        <v>10.046804602102879</v>
      </c>
      <c r="D258">
        <v>29400</v>
      </c>
      <c r="E258">
        <v>7192747.8152573537</v>
      </c>
      <c r="F258">
        <v>429</v>
      </c>
      <c r="G258">
        <v>737</v>
      </c>
      <c r="H258">
        <v>2.310281740412E-4</v>
      </c>
      <c r="I258">
        <v>39</v>
      </c>
      <c r="J258">
        <v>0</v>
      </c>
      <c r="K258">
        <v>0</v>
      </c>
      <c r="L258">
        <v>0</v>
      </c>
      <c r="M258">
        <v>14</v>
      </c>
      <c r="N258">
        <v>0.45916976980786112</v>
      </c>
      <c r="O258">
        <v>-0.27903685492347591</v>
      </c>
      <c r="P258">
        <v>57600675.690009631</v>
      </c>
      <c r="Q258">
        <v>57295.1904064927</v>
      </c>
      <c r="R258" t="s">
        <v>834</v>
      </c>
      <c r="S258" t="s">
        <v>861</v>
      </c>
      <c r="T258" t="s">
        <v>862</v>
      </c>
      <c r="U258">
        <v>28061</v>
      </c>
      <c r="V258">
        <v>18143</v>
      </c>
      <c r="W258">
        <v>9918</v>
      </c>
    </row>
    <row r="259" spans="1:23" x14ac:dyDescent="0.3">
      <c r="A259" t="s">
        <v>1273</v>
      </c>
      <c r="B259">
        <v>2022</v>
      </c>
      <c r="C259">
        <v>9.5699383778185521</v>
      </c>
      <c r="D259">
        <v>181650</v>
      </c>
      <c r="E259">
        <v>17061683.1875</v>
      </c>
      <c r="F259">
        <v>159</v>
      </c>
      <c r="G259">
        <v>2064</v>
      </c>
      <c r="H259">
        <v>2.479030631762E-4</v>
      </c>
      <c r="I259">
        <v>35</v>
      </c>
      <c r="J259">
        <v>0</v>
      </c>
      <c r="K259">
        <v>0</v>
      </c>
      <c r="L259">
        <v>0</v>
      </c>
      <c r="M259">
        <v>40</v>
      </c>
      <c r="N259">
        <v>0.40445938049294727</v>
      </c>
      <c r="O259">
        <v>-0.26913010774313628</v>
      </c>
      <c r="P259">
        <v>223474337.4164575</v>
      </c>
      <c r="Q259">
        <v>56532.538635615812</v>
      </c>
      <c r="R259" t="s">
        <v>410</v>
      </c>
      <c r="S259" t="s">
        <v>302</v>
      </c>
      <c r="T259" t="s">
        <v>302</v>
      </c>
      <c r="U259">
        <v>173358</v>
      </c>
      <c r="V259">
        <v>104397</v>
      </c>
      <c r="W259">
        <v>68961</v>
      </c>
    </row>
    <row r="260" spans="1:23" x14ac:dyDescent="0.3">
      <c r="A260" t="s">
        <v>1274</v>
      </c>
      <c r="B260">
        <v>2022</v>
      </c>
      <c r="C260">
        <v>13.66215698296271</v>
      </c>
      <c r="D260">
        <v>316195</v>
      </c>
      <c r="E260">
        <v>32727454.640625</v>
      </c>
      <c r="F260">
        <v>254</v>
      </c>
      <c r="G260">
        <v>4002</v>
      </c>
      <c r="H260">
        <v>1.5975851469159999E-4</v>
      </c>
      <c r="I260">
        <v>7</v>
      </c>
      <c r="J260">
        <v>1</v>
      </c>
      <c r="K260">
        <v>1</v>
      </c>
      <c r="L260">
        <v>0</v>
      </c>
      <c r="M260">
        <v>58</v>
      </c>
      <c r="N260">
        <v>0.32412813910049187</v>
      </c>
      <c r="O260">
        <v>-5.0623190744419497E-2</v>
      </c>
      <c r="P260">
        <v>245861792.4419826</v>
      </c>
      <c r="Q260">
        <v>55672.764346556563</v>
      </c>
      <c r="R260" t="s">
        <v>291</v>
      </c>
      <c r="S260" t="s">
        <v>292</v>
      </c>
      <c r="T260" t="s">
        <v>292</v>
      </c>
      <c r="U260">
        <v>300360</v>
      </c>
      <c r="V260">
        <v>201126</v>
      </c>
      <c r="W260">
        <v>99234</v>
      </c>
    </row>
    <row r="261" spans="1:23" x14ac:dyDescent="0.3">
      <c r="A261" t="s">
        <v>1215</v>
      </c>
      <c r="B261">
        <v>2022</v>
      </c>
      <c r="C261">
        <v>6.5166491842014747</v>
      </c>
      <c r="D261">
        <v>52356</v>
      </c>
      <c r="E261">
        <v>57340996.450551473</v>
      </c>
      <c r="F261">
        <v>444</v>
      </c>
      <c r="G261">
        <v>1307</v>
      </c>
      <c r="H261">
        <v>2.1387229288880001E-4</v>
      </c>
      <c r="I261">
        <v>12</v>
      </c>
      <c r="J261">
        <v>0.15151515151515149</v>
      </c>
      <c r="K261">
        <v>2</v>
      </c>
      <c r="L261">
        <v>0</v>
      </c>
      <c r="M261">
        <v>14</v>
      </c>
      <c r="P261">
        <v>111586568.3344398</v>
      </c>
      <c r="Q261">
        <v>160745.9902634639</v>
      </c>
      <c r="R261" t="s">
        <v>656</v>
      </c>
      <c r="S261" t="s">
        <v>776</v>
      </c>
      <c r="T261" t="s">
        <v>149</v>
      </c>
      <c r="U261">
        <v>49846</v>
      </c>
      <c r="V261">
        <v>42636</v>
      </c>
      <c r="W261">
        <v>7210</v>
      </c>
    </row>
    <row r="262" spans="1:23" x14ac:dyDescent="0.3">
      <c r="A262" t="s">
        <v>1276</v>
      </c>
      <c r="B262">
        <v>2022</v>
      </c>
      <c r="C262">
        <v>5.4092496864889803</v>
      </c>
      <c r="D262">
        <v>16925</v>
      </c>
      <c r="E262">
        <v>15310904.0944853</v>
      </c>
      <c r="F262">
        <v>891</v>
      </c>
      <c r="G262">
        <v>386</v>
      </c>
      <c r="H262">
        <v>5.6124586613429995E-4</v>
      </c>
      <c r="I262">
        <v>11</v>
      </c>
      <c r="J262">
        <v>0</v>
      </c>
      <c r="K262">
        <v>0</v>
      </c>
      <c r="L262">
        <v>0</v>
      </c>
      <c r="M262">
        <v>15</v>
      </c>
      <c r="P262">
        <v>41345691.544748858</v>
      </c>
      <c r="Q262">
        <v>54920.120736634322</v>
      </c>
      <c r="R262" t="s">
        <v>195</v>
      </c>
      <c r="S262" t="s">
        <v>228</v>
      </c>
      <c r="T262" t="s">
        <v>228</v>
      </c>
      <c r="U262">
        <v>16156</v>
      </c>
      <c r="V262">
        <v>9000</v>
      </c>
      <c r="W262">
        <v>7156</v>
      </c>
    </row>
    <row r="263" spans="1:23" x14ac:dyDescent="0.3">
      <c r="A263" t="s">
        <v>1277</v>
      </c>
      <c r="B263">
        <v>2022</v>
      </c>
      <c r="C263">
        <v>6.3848381645317387</v>
      </c>
      <c r="D263">
        <v>8873</v>
      </c>
      <c r="E263">
        <v>6584581.3886642167</v>
      </c>
      <c r="F263">
        <v>890</v>
      </c>
      <c r="G263">
        <v>278</v>
      </c>
      <c r="H263">
        <v>4.796990414847E-4</v>
      </c>
      <c r="I263">
        <v>37</v>
      </c>
      <c r="J263">
        <v>0.14285714285714279</v>
      </c>
      <c r="K263">
        <v>1</v>
      </c>
      <c r="L263">
        <v>0</v>
      </c>
      <c r="M263">
        <v>5</v>
      </c>
      <c r="N263">
        <v>0.37155850886036468</v>
      </c>
      <c r="O263">
        <v>-0.33845622286070542</v>
      </c>
      <c r="P263">
        <v>30733147.761573199</v>
      </c>
      <c r="Q263">
        <v>53237.490515740443</v>
      </c>
      <c r="R263" t="s">
        <v>834</v>
      </c>
      <c r="S263" t="s">
        <v>835</v>
      </c>
      <c r="T263" t="s">
        <v>837</v>
      </c>
      <c r="U263">
        <v>8469</v>
      </c>
      <c r="V263">
        <v>5359</v>
      </c>
      <c r="W263">
        <v>3110</v>
      </c>
    </row>
    <row r="264" spans="1:23" x14ac:dyDescent="0.3">
      <c r="A264" t="s">
        <v>1278</v>
      </c>
      <c r="B264">
        <v>2022</v>
      </c>
      <c r="C264">
        <v>1.183393137174318</v>
      </c>
      <c r="D264">
        <v>14135</v>
      </c>
      <c r="E264">
        <v>4390385.5268382346</v>
      </c>
      <c r="F264">
        <v>70</v>
      </c>
      <c r="G264">
        <v>320</v>
      </c>
      <c r="H264">
        <v>6.0200666696479999E-4</v>
      </c>
      <c r="I264">
        <v>11</v>
      </c>
      <c r="J264">
        <v>0</v>
      </c>
      <c r="K264">
        <v>0</v>
      </c>
      <c r="L264">
        <v>0</v>
      </c>
      <c r="M264">
        <v>1</v>
      </c>
      <c r="N264">
        <v>0.4400874755492854</v>
      </c>
      <c r="O264">
        <v>-0.25616902780090128</v>
      </c>
      <c r="P264">
        <v>205254283.36826971</v>
      </c>
      <c r="Q264">
        <v>52509.496205061601</v>
      </c>
      <c r="R264" t="s">
        <v>616</v>
      </c>
      <c r="S264" t="s">
        <v>672</v>
      </c>
      <c r="T264" t="s">
        <v>672</v>
      </c>
      <c r="U264">
        <v>13411</v>
      </c>
      <c r="V264">
        <v>3286</v>
      </c>
      <c r="W264">
        <v>10125</v>
      </c>
    </row>
    <row r="265" spans="1:23" x14ac:dyDescent="0.3">
      <c r="A265" t="s">
        <v>1279</v>
      </c>
      <c r="B265">
        <v>2022</v>
      </c>
      <c r="C265">
        <v>1.7360318561436161</v>
      </c>
      <c r="D265">
        <v>63436</v>
      </c>
      <c r="E265">
        <v>3245104.8569240202</v>
      </c>
      <c r="F265">
        <v>17</v>
      </c>
      <c r="G265">
        <v>1514</v>
      </c>
      <c r="H265">
        <v>2.2293145235019999E-4</v>
      </c>
      <c r="I265">
        <v>8</v>
      </c>
      <c r="J265">
        <v>6.0606060606060601E-2</v>
      </c>
      <c r="K265">
        <v>1</v>
      </c>
      <c r="L265">
        <v>0</v>
      </c>
      <c r="M265">
        <v>4</v>
      </c>
      <c r="N265">
        <v>0.44091167068483489</v>
      </c>
      <c r="O265">
        <v>-0.26136184904871551</v>
      </c>
      <c r="P265">
        <v>559912283.6789434</v>
      </c>
      <c r="Q265">
        <v>52239.824929122369</v>
      </c>
      <c r="R265" t="s">
        <v>410</v>
      </c>
      <c r="S265" t="s">
        <v>430</v>
      </c>
      <c r="T265" t="s">
        <v>430</v>
      </c>
      <c r="U265">
        <v>60262</v>
      </c>
      <c r="V265">
        <v>26462</v>
      </c>
      <c r="W265">
        <v>33800</v>
      </c>
    </row>
    <row r="266" spans="1:23" x14ac:dyDescent="0.3">
      <c r="A266" t="s">
        <v>1280</v>
      </c>
      <c r="B266">
        <v>2022</v>
      </c>
      <c r="C266">
        <v>7.4755490697838667</v>
      </c>
      <c r="D266">
        <v>16768</v>
      </c>
      <c r="E266">
        <v>5435777.9581495104</v>
      </c>
      <c r="F266">
        <v>473</v>
      </c>
      <c r="G266">
        <v>421</v>
      </c>
      <c r="H266">
        <v>5.6429583406620003E-4</v>
      </c>
      <c r="I266">
        <v>25</v>
      </c>
      <c r="J266">
        <v>0</v>
      </c>
      <c r="K266">
        <v>0</v>
      </c>
      <c r="L266">
        <v>0</v>
      </c>
      <c r="M266">
        <v>10</v>
      </c>
      <c r="N266">
        <v>0.53041607693649284</v>
      </c>
      <c r="O266">
        <v>-0.34290385466811091</v>
      </c>
      <c r="P266">
        <v>49346322.685064137</v>
      </c>
      <c r="Q266">
        <v>51234.487792357198</v>
      </c>
      <c r="R266" t="s">
        <v>834</v>
      </c>
      <c r="S266" t="s">
        <v>868</v>
      </c>
      <c r="T266" t="s">
        <v>869</v>
      </c>
      <c r="U266">
        <v>15975</v>
      </c>
      <c r="V266">
        <v>12125</v>
      </c>
      <c r="W266">
        <v>3850</v>
      </c>
    </row>
    <row r="267" spans="1:23" x14ac:dyDescent="0.3">
      <c r="A267" t="s">
        <v>1281</v>
      </c>
      <c r="B267">
        <v>2022</v>
      </c>
      <c r="C267">
        <v>1.1649539303418741</v>
      </c>
      <c r="D267">
        <v>60610</v>
      </c>
      <c r="E267">
        <v>4716902</v>
      </c>
      <c r="F267">
        <v>18</v>
      </c>
      <c r="G267">
        <v>778</v>
      </c>
      <c r="H267">
        <v>1.069174301186E-4</v>
      </c>
      <c r="I267">
        <v>20</v>
      </c>
      <c r="J267">
        <v>9.3457943925232996E-3</v>
      </c>
      <c r="K267">
        <v>1</v>
      </c>
      <c r="L267">
        <v>0</v>
      </c>
      <c r="M267">
        <v>7</v>
      </c>
      <c r="N267">
        <v>0.32609944901880311</v>
      </c>
      <c r="O267">
        <v>-0.31193060532558498</v>
      </c>
      <c r="P267">
        <v>1176326741.0155871</v>
      </c>
      <c r="Q267">
        <v>50367.316760503811</v>
      </c>
      <c r="R267" t="s">
        <v>410</v>
      </c>
      <c r="S267" t="s">
        <v>419</v>
      </c>
      <c r="T267" t="s">
        <v>419</v>
      </c>
      <c r="U267">
        <v>57806</v>
      </c>
      <c r="V267">
        <v>11946</v>
      </c>
      <c r="W267">
        <v>45860</v>
      </c>
    </row>
    <row r="268" spans="1:23" x14ac:dyDescent="0.3">
      <c r="A268" t="s">
        <v>1282</v>
      </c>
      <c r="B268">
        <v>2022</v>
      </c>
      <c r="C268">
        <v>0.72238651644642071</v>
      </c>
      <c r="D268">
        <v>4872</v>
      </c>
      <c r="E268">
        <v>496551.640625</v>
      </c>
      <c r="F268">
        <v>15</v>
      </c>
      <c r="G268">
        <v>172</v>
      </c>
      <c r="H268">
        <v>9.2363657032420001E-4</v>
      </c>
      <c r="I268">
        <v>8</v>
      </c>
      <c r="J268">
        <v>2.2471910112359501E-2</v>
      </c>
      <c r="K268">
        <v>1</v>
      </c>
      <c r="L268">
        <v>0</v>
      </c>
      <c r="M268">
        <v>1</v>
      </c>
      <c r="N268">
        <v>0.64925118984585151</v>
      </c>
      <c r="O268">
        <v>-0.26740841745948918</v>
      </c>
      <c r="P268">
        <v>500609345.83800173</v>
      </c>
      <c r="Q268">
        <v>49083.498892562769</v>
      </c>
      <c r="R268" t="s">
        <v>734</v>
      </c>
      <c r="S268" t="s">
        <v>759</v>
      </c>
      <c r="T268" t="s">
        <v>759</v>
      </c>
      <c r="U268">
        <v>4646</v>
      </c>
      <c r="V268">
        <v>2147</v>
      </c>
      <c r="W268">
        <v>2499</v>
      </c>
    </row>
    <row r="269" spans="1:23" x14ac:dyDescent="0.3">
      <c r="A269" t="s">
        <v>1283</v>
      </c>
      <c r="B269">
        <v>2022</v>
      </c>
      <c r="C269">
        <v>1.5969857871579149</v>
      </c>
      <c r="D269">
        <v>4607</v>
      </c>
      <c r="E269">
        <v>495407.046875</v>
      </c>
      <c r="F269">
        <v>35</v>
      </c>
      <c r="G269">
        <v>104</v>
      </c>
      <c r="H269">
        <v>7.2129596783719998E-4</v>
      </c>
      <c r="I269">
        <v>5</v>
      </c>
      <c r="J269">
        <v>0</v>
      </c>
      <c r="K269">
        <v>0</v>
      </c>
      <c r="L269">
        <v>0</v>
      </c>
      <c r="M269">
        <v>4</v>
      </c>
      <c r="N269">
        <v>0.37279963483938139</v>
      </c>
      <c r="O269">
        <v>-0.36327382433709848</v>
      </c>
      <c r="P269">
        <v>49557473.5510628</v>
      </c>
      <c r="Q269">
        <v>49065.584217634663</v>
      </c>
      <c r="R269" t="s">
        <v>503</v>
      </c>
      <c r="S269" t="s">
        <v>581</v>
      </c>
      <c r="T269" t="s">
        <v>581</v>
      </c>
      <c r="U269">
        <v>4392</v>
      </c>
      <c r="V269">
        <v>2276</v>
      </c>
      <c r="W269">
        <v>2116</v>
      </c>
    </row>
    <row r="270" spans="1:23" x14ac:dyDescent="0.3">
      <c r="A270" t="s">
        <v>1284</v>
      </c>
      <c r="B270">
        <v>2022</v>
      </c>
      <c r="C270">
        <v>2.4456131413908779</v>
      </c>
      <c r="D270">
        <v>21758</v>
      </c>
      <c r="E270">
        <v>3226974.71875</v>
      </c>
      <c r="F270">
        <v>77</v>
      </c>
      <c r="G270">
        <v>158</v>
      </c>
      <c r="H270">
        <v>1.4576703084190001E-3</v>
      </c>
      <c r="I270">
        <v>11</v>
      </c>
      <c r="J270">
        <v>0</v>
      </c>
      <c r="K270">
        <v>0</v>
      </c>
      <c r="L270">
        <v>0</v>
      </c>
      <c r="M270">
        <v>1</v>
      </c>
      <c r="P270">
        <v>102186887.6678635</v>
      </c>
      <c r="Q270">
        <v>47105.717670712736</v>
      </c>
      <c r="R270" t="s">
        <v>590</v>
      </c>
      <c r="S270" t="s">
        <v>599</v>
      </c>
      <c r="T270" t="s">
        <v>55</v>
      </c>
      <c r="U270">
        <v>20763</v>
      </c>
      <c r="V270">
        <v>8979</v>
      </c>
      <c r="W270">
        <v>11784</v>
      </c>
    </row>
    <row r="271" spans="1:23" x14ac:dyDescent="0.3">
      <c r="A271" t="s">
        <v>1285</v>
      </c>
      <c r="B271">
        <v>2022</v>
      </c>
      <c r="C271">
        <v>3.1682736595729888</v>
      </c>
      <c r="D271">
        <v>40949</v>
      </c>
      <c r="E271">
        <v>21212444.372732852</v>
      </c>
      <c r="F271">
        <v>359</v>
      </c>
      <c r="G271">
        <v>986</v>
      </c>
      <c r="H271">
        <v>1.9748345576129999E-4</v>
      </c>
      <c r="I271">
        <v>12</v>
      </c>
      <c r="J271">
        <v>2.4309024309024301E-2</v>
      </c>
      <c r="K271">
        <v>5</v>
      </c>
      <c r="L271">
        <v>0</v>
      </c>
      <c r="M271">
        <v>16</v>
      </c>
      <c r="N271">
        <v>0.44413629621735989</v>
      </c>
      <c r="O271">
        <v>-0.346205355520328</v>
      </c>
      <c r="P271">
        <v>193167865.30951881</v>
      </c>
      <c r="Q271">
        <v>45716.782130368389</v>
      </c>
      <c r="R271" t="s">
        <v>195</v>
      </c>
      <c r="S271" t="s">
        <v>222</v>
      </c>
      <c r="T271" t="s">
        <v>120</v>
      </c>
      <c r="U271">
        <v>39069</v>
      </c>
      <c r="V271">
        <v>23833</v>
      </c>
      <c r="W271">
        <v>15236</v>
      </c>
    </row>
    <row r="272" spans="1:23" x14ac:dyDescent="0.3">
      <c r="A272" t="s">
        <v>1286</v>
      </c>
      <c r="B272">
        <v>2022</v>
      </c>
      <c r="C272">
        <v>1.3838025137991761</v>
      </c>
      <c r="D272">
        <v>4683</v>
      </c>
      <c r="E272">
        <v>5034771.5400735289</v>
      </c>
      <c r="F272">
        <v>353</v>
      </c>
      <c r="G272">
        <v>194</v>
      </c>
      <c r="H272">
        <v>3.810788573408E-4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0.33679350557771398</v>
      </c>
      <c r="O272">
        <v>-0.23629908550531431</v>
      </c>
      <c r="P272">
        <v>77596639.048872709</v>
      </c>
      <c r="Q272">
        <v>42145.869748625453</v>
      </c>
      <c r="R272" t="s">
        <v>236</v>
      </c>
      <c r="S272" t="s">
        <v>273</v>
      </c>
      <c r="T272" t="s">
        <v>278</v>
      </c>
      <c r="U272">
        <v>4472</v>
      </c>
      <c r="V272">
        <v>952</v>
      </c>
      <c r="W272">
        <v>3520</v>
      </c>
    </row>
    <row r="273" spans="1:23" x14ac:dyDescent="0.3">
      <c r="A273" t="s">
        <v>1264</v>
      </c>
      <c r="B273">
        <v>2022</v>
      </c>
      <c r="C273">
        <v>19.955117457670589</v>
      </c>
      <c r="D273">
        <v>36292</v>
      </c>
      <c r="E273">
        <v>6415500.2468137257</v>
      </c>
      <c r="F273">
        <v>569</v>
      </c>
      <c r="G273">
        <v>1342</v>
      </c>
      <c r="H273">
        <v>3.0655464002770001E-4</v>
      </c>
      <c r="I273">
        <v>11</v>
      </c>
      <c r="J273">
        <v>2.8972783143107899E-2</v>
      </c>
      <c r="K273">
        <v>2</v>
      </c>
      <c r="L273">
        <v>0</v>
      </c>
      <c r="M273">
        <v>23</v>
      </c>
      <c r="P273">
        <v>29394530.38000286</v>
      </c>
      <c r="Q273">
        <v>61995.711108163741</v>
      </c>
      <c r="R273" t="s">
        <v>656</v>
      </c>
      <c r="S273" t="s">
        <v>776</v>
      </c>
      <c r="T273" t="s">
        <v>778</v>
      </c>
      <c r="U273">
        <v>34434</v>
      </c>
      <c r="V273">
        <v>29620</v>
      </c>
      <c r="W273">
        <v>4814</v>
      </c>
    </row>
    <row r="274" spans="1:23" x14ac:dyDescent="0.3">
      <c r="A274" t="s">
        <v>1288</v>
      </c>
      <c r="B274">
        <v>2022</v>
      </c>
      <c r="C274">
        <v>7.0945757415788071</v>
      </c>
      <c r="D274">
        <v>22171</v>
      </c>
      <c r="E274">
        <v>7924045.1606617644</v>
      </c>
      <c r="F274">
        <v>629</v>
      </c>
      <c r="G274">
        <v>374</v>
      </c>
      <c r="H274">
        <v>6.3404708449010003E-4</v>
      </c>
      <c r="I274">
        <v>10</v>
      </c>
      <c r="J274">
        <v>0</v>
      </c>
      <c r="K274">
        <v>0</v>
      </c>
      <c r="L274">
        <v>0</v>
      </c>
      <c r="M274">
        <v>5</v>
      </c>
      <c r="N274">
        <v>0.36057476100366809</v>
      </c>
      <c r="O274">
        <v>-0.26195306832342558</v>
      </c>
      <c r="P274">
        <v>71273888.404395893</v>
      </c>
      <c r="Q274">
        <v>40312.287640822353</v>
      </c>
      <c r="R274" t="s">
        <v>656</v>
      </c>
      <c r="S274" t="s">
        <v>821</v>
      </c>
      <c r="T274" t="s">
        <v>822</v>
      </c>
      <c r="U274">
        <v>21006</v>
      </c>
      <c r="V274">
        <v>14126</v>
      </c>
      <c r="W274">
        <v>6880</v>
      </c>
    </row>
    <row r="275" spans="1:23" x14ac:dyDescent="0.3">
      <c r="A275" t="s">
        <v>1289</v>
      </c>
      <c r="B275">
        <v>2022</v>
      </c>
      <c r="C275">
        <v>1.164271322655702</v>
      </c>
      <c r="D275">
        <v>1760</v>
      </c>
      <c r="E275">
        <v>496652.3125</v>
      </c>
      <c r="F275">
        <v>82</v>
      </c>
      <c r="G275">
        <v>109</v>
      </c>
      <c r="H275">
        <v>1.9284972556000001E-3</v>
      </c>
      <c r="I275">
        <v>4</v>
      </c>
      <c r="J275">
        <v>8.0321285140561999E-3</v>
      </c>
      <c r="K275">
        <v>1</v>
      </c>
      <c r="L275">
        <v>0</v>
      </c>
      <c r="M275">
        <v>1</v>
      </c>
      <c r="N275">
        <v>0.62912224526714733</v>
      </c>
      <c r="O275">
        <v>-0.2461470040521318</v>
      </c>
      <c r="P275">
        <v>488736709.69895238</v>
      </c>
      <c r="Q275">
        <v>40066.383368513591</v>
      </c>
      <c r="R275" t="s">
        <v>926</v>
      </c>
      <c r="S275" t="s">
        <v>960</v>
      </c>
      <c r="T275" t="s">
        <v>962</v>
      </c>
      <c r="U275">
        <v>1678</v>
      </c>
      <c r="V275">
        <v>425</v>
      </c>
      <c r="W275">
        <v>1253</v>
      </c>
    </row>
    <row r="276" spans="1:23" x14ac:dyDescent="0.3">
      <c r="A276" t="s">
        <v>1290</v>
      </c>
      <c r="B276">
        <v>2022</v>
      </c>
      <c r="C276">
        <v>24.874504055072698</v>
      </c>
      <c r="D276">
        <v>107731</v>
      </c>
      <c r="E276">
        <v>21736483.12132353</v>
      </c>
      <c r="F276">
        <v>1265</v>
      </c>
      <c r="G276">
        <v>3616</v>
      </c>
      <c r="H276">
        <v>1.459805206338E-4</v>
      </c>
      <c r="I276">
        <v>41</v>
      </c>
      <c r="J276">
        <v>0.22222222222222221</v>
      </c>
      <c r="K276">
        <v>1</v>
      </c>
      <c r="L276">
        <v>0</v>
      </c>
      <c r="M276">
        <v>31</v>
      </c>
      <c r="P276">
        <v>57307870.599606529</v>
      </c>
      <c r="Q276">
        <v>39674.59409086535</v>
      </c>
      <c r="R276" t="s">
        <v>656</v>
      </c>
      <c r="S276" t="s">
        <v>826</v>
      </c>
      <c r="T276" t="s">
        <v>827</v>
      </c>
      <c r="U276">
        <v>102748</v>
      </c>
      <c r="V276">
        <v>91569</v>
      </c>
      <c r="W276">
        <v>11179</v>
      </c>
    </row>
    <row r="277" spans="1:23" x14ac:dyDescent="0.3">
      <c r="A277" t="s">
        <v>1291</v>
      </c>
      <c r="B277">
        <v>2022</v>
      </c>
      <c r="C277">
        <v>1.506536115458937</v>
      </c>
      <c r="D277">
        <v>1447</v>
      </c>
      <c r="E277">
        <v>342769.78829656867</v>
      </c>
      <c r="F277">
        <v>90</v>
      </c>
      <c r="G277">
        <v>60</v>
      </c>
      <c r="H277">
        <v>9.1905919264950004E-4</v>
      </c>
      <c r="I277">
        <v>2</v>
      </c>
      <c r="J277">
        <v>0</v>
      </c>
      <c r="K277">
        <v>0</v>
      </c>
      <c r="L277">
        <v>0</v>
      </c>
      <c r="M277">
        <v>5</v>
      </c>
      <c r="N277">
        <v>0.34705139170423449</v>
      </c>
      <c r="O277">
        <v>-0.3095088311283381</v>
      </c>
      <c r="P277">
        <v>52984851.918050207</v>
      </c>
      <c r="Q277">
        <v>39652.542836289227</v>
      </c>
      <c r="R277" t="s">
        <v>160</v>
      </c>
      <c r="S277" t="s">
        <v>181</v>
      </c>
      <c r="T277" t="s">
        <v>184</v>
      </c>
      <c r="U277">
        <v>1380</v>
      </c>
      <c r="V277">
        <v>587</v>
      </c>
      <c r="W277">
        <v>793</v>
      </c>
    </row>
    <row r="278" spans="1:23" x14ac:dyDescent="0.3">
      <c r="A278" t="s">
        <v>1292</v>
      </c>
      <c r="B278">
        <v>2022</v>
      </c>
      <c r="C278">
        <v>7.4932649972069836</v>
      </c>
      <c r="D278">
        <v>117331</v>
      </c>
      <c r="E278">
        <v>5216234.3754289215</v>
      </c>
      <c r="F278">
        <v>85</v>
      </c>
      <c r="G278">
        <v>1223</v>
      </c>
      <c r="H278">
        <v>3.3903747320049998E-4</v>
      </c>
      <c r="I278">
        <v>13</v>
      </c>
      <c r="J278">
        <v>0</v>
      </c>
      <c r="K278">
        <v>0</v>
      </c>
      <c r="L278">
        <v>0</v>
      </c>
      <c r="M278">
        <v>18</v>
      </c>
      <c r="N278">
        <v>0.25737516034873958</v>
      </c>
      <c r="O278">
        <v>-0.1254566429715985</v>
      </c>
      <c r="P278">
        <v>169213011.9846586</v>
      </c>
      <c r="Q278">
        <v>39191.915543737618</v>
      </c>
      <c r="R278" t="s">
        <v>590</v>
      </c>
      <c r="S278" t="s">
        <v>591</v>
      </c>
      <c r="T278" t="s">
        <v>591</v>
      </c>
      <c r="U278">
        <v>111724</v>
      </c>
      <c r="V278">
        <v>66058</v>
      </c>
      <c r="W278">
        <v>45666</v>
      </c>
    </row>
    <row r="279" spans="1:23" x14ac:dyDescent="0.3">
      <c r="A279" t="s">
        <v>1293</v>
      </c>
      <c r="B279">
        <v>2022</v>
      </c>
      <c r="C279">
        <v>0.78168348780518115</v>
      </c>
      <c r="D279">
        <v>4278</v>
      </c>
      <c r="E279">
        <v>1489121.15625</v>
      </c>
      <c r="F279">
        <v>70</v>
      </c>
      <c r="G279">
        <v>111</v>
      </c>
      <c r="H279">
        <v>1.6937417611001999E-3</v>
      </c>
      <c r="I279">
        <v>6</v>
      </c>
      <c r="J279">
        <v>0</v>
      </c>
      <c r="K279">
        <v>0</v>
      </c>
      <c r="L279">
        <v>0</v>
      </c>
      <c r="M279">
        <v>15</v>
      </c>
      <c r="N279">
        <v>0.66011953005753254</v>
      </c>
      <c r="O279">
        <v>-0.29026116923244499</v>
      </c>
      <c r="P279">
        <v>184143121.49518359</v>
      </c>
      <c r="Q279">
        <v>38870.681198890808</v>
      </c>
      <c r="R279" t="s">
        <v>678</v>
      </c>
      <c r="S279" t="s">
        <v>716</v>
      </c>
      <c r="T279" t="s">
        <v>716</v>
      </c>
      <c r="U279">
        <v>4061</v>
      </c>
      <c r="V279">
        <v>970</v>
      </c>
      <c r="W279">
        <v>3091</v>
      </c>
    </row>
    <row r="280" spans="1:23" x14ac:dyDescent="0.3">
      <c r="A280" t="s">
        <v>1294</v>
      </c>
      <c r="B280">
        <v>2022</v>
      </c>
      <c r="C280">
        <v>7.1933306160609831</v>
      </c>
      <c r="D280">
        <v>38951</v>
      </c>
      <c r="E280">
        <v>2234937.65625</v>
      </c>
      <c r="F280">
        <v>109</v>
      </c>
      <c r="G280">
        <v>684</v>
      </c>
      <c r="H280">
        <v>5.5324037630459998E-4</v>
      </c>
      <c r="I280">
        <v>5</v>
      </c>
      <c r="J280">
        <v>4.5404208194905801E-2</v>
      </c>
      <c r="K280">
        <v>2</v>
      </c>
      <c r="L280">
        <v>0</v>
      </c>
      <c r="M280">
        <v>27</v>
      </c>
      <c r="N280">
        <v>0.487530958750993</v>
      </c>
      <c r="O280">
        <v>-0.23467388591973609</v>
      </c>
      <c r="P280">
        <v>80894619.346610248</v>
      </c>
      <c r="Q280">
        <v>37866.077957958238</v>
      </c>
      <c r="R280" t="s">
        <v>994</v>
      </c>
      <c r="S280" t="s">
        <v>1004</v>
      </c>
      <c r="T280" t="s">
        <v>1004</v>
      </c>
      <c r="U280">
        <v>37172</v>
      </c>
      <c r="V280">
        <v>17261</v>
      </c>
      <c r="W280">
        <v>19911</v>
      </c>
    </row>
    <row r="281" spans="1:23" x14ac:dyDescent="0.3">
      <c r="A281" t="s">
        <v>1295</v>
      </c>
      <c r="B281">
        <v>2022</v>
      </c>
      <c r="C281">
        <v>2.4262356064952111</v>
      </c>
      <c r="D281">
        <v>37180</v>
      </c>
      <c r="E281">
        <v>1239695.265625</v>
      </c>
      <c r="F281">
        <v>22</v>
      </c>
      <c r="G281">
        <v>545</v>
      </c>
      <c r="H281">
        <v>4.4151814366739998E-4</v>
      </c>
      <c r="I281">
        <v>13</v>
      </c>
      <c r="J281">
        <v>0</v>
      </c>
      <c r="K281">
        <v>0</v>
      </c>
      <c r="L281">
        <v>0</v>
      </c>
      <c r="M281">
        <v>0</v>
      </c>
      <c r="N281">
        <v>0.45934309611643681</v>
      </c>
      <c r="O281">
        <v>-0.17962867200289309</v>
      </c>
      <c r="P281">
        <v>236123943.21606791</v>
      </c>
      <c r="Q281">
        <v>36771.881200338823</v>
      </c>
      <c r="R281" t="s">
        <v>291</v>
      </c>
      <c r="S281" t="s">
        <v>308</v>
      </c>
      <c r="T281" t="s">
        <v>308</v>
      </c>
      <c r="U281">
        <v>35307</v>
      </c>
      <c r="V281">
        <v>17967</v>
      </c>
      <c r="W281">
        <v>17340</v>
      </c>
    </row>
    <row r="282" spans="1:23" x14ac:dyDescent="0.3">
      <c r="A282" t="s">
        <v>1296</v>
      </c>
      <c r="B282">
        <v>2022</v>
      </c>
      <c r="C282">
        <v>0.66417439465542216</v>
      </c>
      <c r="D282">
        <v>9855</v>
      </c>
      <c r="E282">
        <v>1737856.875</v>
      </c>
      <c r="F282">
        <v>32</v>
      </c>
      <c r="G282">
        <v>206</v>
      </c>
      <c r="H282">
        <v>1.3134191341659999E-4</v>
      </c>
      <c r="I282">
        <v>6</v>
      </c>
      <c r="J282">
        <v>0</v>
      </c>
      <c r="K282">
        <v>0</v>
      </c>
      <c r="L282">
        <v>0</v>
      </c>
      <c r="M282">
        <v>30</v>
      </c>
      <c r="N282">
        <v>0.42626898969272331</v>
      </c>
      <c r="O282">
        <v>-0.29057852473897339</v>
      </c>
      <c r="P282">
        <v>296546676.9941268</v>
      </c>
      <c r="Q282">
        <v>36600.711502755221</v>
      </c>
      <c r="R282" t="s">
        <v>101</v>
      </c>
      <c r="S282" t="s">
        <v>102</v>
      </c>
      <c r="T282" t="s">
        <v>109</v>
      </c>
      <c r="U282">
        <v>9406</v>
      </c>
      <c r="V282">
        <v>418</v>
      </c>
      <c r="W282">
        <v>8988</v>
      </c>
    </row>
    <row r="283" spans="1:23" x14ac:dyDescent="0.3">
      <c r="A283" t="s">
        <v>1297</v>
      </c>
      <c r="B283">
        <v>2022</v>
      </c>
      <c r="C283">
        <v>3.3384631245613852</v>
      </c>
      <c r="D283">
        <v>4436</v>
      </c>
      <c r="E283">
        <v>4380201.3213848043</v>
      </c>
      <c r="F283">
        <v>911</v>
      </c>
      <c r="G283">
        <v>337</v>
      </c>
      <c r="H283">
        <v>3.6942535998569999E-4</v>
      </c>
      <c r="I283">
        <v>10</v>
      </c>
      <c r="J283">
        <v>0.25</v>
      </c>
      <c r="K283">
        <v>1</v>
      </c>
      <c r="L283">
        <v>0</v>
      </c>
      <c r="M283">
        <v>3</v>
      </c>
      <c r="N283">
        <v>0.47371323355899292</v>
      </c>
      <c r="O283">
        <v>-0.32112779118172768</v>
      </c>
      <c r="P283">
        <v>48126764.259551682</v>
      </c>
      <c r="Q283">
        <v>36185.180302064582</v>
      </c>
      <c r="R283" t="s">
        <v>834</v>
      </c>
      <c r="S283" t="s">
        <v>835</v>
      </c>
      <c r="T283" t="s">
        <v>842</v>
      </c>
      <c r="U283">
        <v>4228</v>
      </c>
      <c r="V283">
        <v>914</v>
      </c>
      <c r="W283">
        <v>3314</v>
      </c>
    </row>
    <row r="284" spans="1:23" x14ac:dyDescent="0.3">
      <c r="A284" t="s">
        <v>1298</v>
      </c>
      <c r="B284">
        <v>2022</v>
      </c>
      <c r="C284">
        <v>1.308498413242646</v>
      </c>
      <c r="D284">
        <v>9514</v>
      </c>
      <c r="E284">
        <v>991661.71875</v>
      </c>
      <c r="F284">
        <v>38</v>
      </c>
      <c r="G284">
        <v>467</v>
      </c>
      <c r="H284">
        <v>1.3030001200310001E-4</v>
      </c>
      <c r="I284">
        <v>6</v>
      </c>
      <c r="J284">
        <v>0</v>
      </c>
      <c r="K284">
        <v>0</v>
      </c>
      <c r="L284">
        <v>0</v>
      </c>
      <c r="M284">
        <v>0</v>
      </c>
      <c r="N284">
        <v>0.48305540965315158</v>
      </c>
      <c r="O284">
        <v>-0.36945541363566731</v>
      </c>
      <c r="P284">
        <v>242751217.1784364</v>
      </c>
      <c r="Q284">
        <v>35891.36744348635</v>
      </c>
      <c r="R284" t="s">
        <v>23</v>
      </c>
      <c r="S284" t="s">
        <v>59</v>
      </c>
      <c r="T284" t="s">
        <v>59</v>
      </c>
      <c r="U284">
        <v>9079</v>
      </c>
      <c r="V284">
        <v>2266</v>
      </c>
      <c r="W284">
        <v>6813</v>
      </c>
    </row>
    <row r="285" spans="1:23" x14ac:dyDescent="0.3">
      <c r="A285" t="s">
        <v>1299</v>
      </c>
      <c r="B285">
        <v>2022</v>
      </c>
      <c r="C285">
        <v>3.875119563064239</v>
      </c>
      <c r="D285">
        <v>9161</v>
      </c>
      <c r="E285">
        <v>2234368.453125</v>
      </c>
      <c r="F285">
        <v>271</v>
      </c>
      <c r="G285">
        <v>860</v>
      </c>
      <c r="H285">
        <v>2.2923922860169999E-4</v>
      </c>
      <c r="I285">
        <v>14</v>
      </c>
      <c r="J285">
        <v>0</v>
      </c>
      <c r="K285">
        <v>0</v>
      </c>
      <c r="L285">
        <v>0</v>
      </c>
      <c r="M285">
        <v>17</v>
      </c>
      <c r="N285">
        <v>0.53790858585670709</v>
      </c>
      <c r="O285">
        <v>-0.27981929499098729</v>
      </c>
      <c r="P285">
        <v>79391258.135633707</v>
      </c>
      <c r="Q285">
        <v>34876.084701263579</v>
      </c>
      <c r="R285" t="s">
        <v>834</v>
      </c>
      <c r="S285" t="s">
        <v>858</v>
      </c>
      <c r="T285" t="s">
        <v>858</v>
      </c>
      <c r="U285">
        <v>8680</v>
      </c>
      <c r="V285">
        <v>4484</v>
      </c>
      <c r="W285">
        <v>4196</v>
      </c>
    </row>
    <row r="286" spans="1:23" x14ac:dyDescent="0.3">
      <c r="A286" t="s">
        <v>1300</v>
      </c>
      <c r="B286">
        <v>2022</v>
      </c>
      <c r="C286">
        <v>5.055854276777028</v>
      </c>
      <c r="D286">
        <v>16247</v>
      </c>
      <c r="E286">
        <v>3814158.490134804</v>
      </c>
      <c r="F286">
        <v>345</v>
      </c>
      <c r="G286">
        <v>340</v>
      </c>
      <c r="H286">
        <v>7.5678346287199997E-4</v>
      </c>
      <c r="I286">
        <v>22</v>
      </c>
      <c r="J286">
        <v>3.3313851548801801E-2</v>
      </c>
      <c r="K286">
        <v>2</v>
      </c>
      <c r="L286">
        <v>0</v>
      </c>
      <c r="M286">
        <v>8</v>
      </c>
      <c r="P286">
        <v>53312786.896659389</v>
      </c>
      <c r="Q286">
        <v>34403.371707692677</v>
      </c>
      <c r="R286" t="s">
        <v>195</v>
      </c>
      <c r="S286" t="s">
        <v>196</v>
      </c>
      <c r="T286" t="s">
        <v>205</v>
      </c>
      <c r="U286">
        <v>15502</v>
      </c>
      <c r="V286">
        <v>8584</v>
      </c>
      <c r="W286">
        <v>6918</v>
      </c>
    </row>
    <row r="287" spans="1:23" x14ac:dyDescent="0.3">
      <c r="A287" t="s">
        <v>1301</v>
      </c>
      <c r="B287">
        <v>2022</v>
      </c>
      <c r="C287">
        <v>2.7332588626107972</v>
      </c>
      <c r="D287">
        <v>12608</v>
      </c>
      <c r="E287">
        <v>744840.53125</v>
      </c>
      <c r="F287">
        <v>47</v>
      </c>
      <c r="G287">
        <v>260</v>
      </c>
      <c r="H287">
        <v>5.3235456477199997E-4</v>
      </c>
      <c r="I287">
        <v>9</v>
      </c>
      <c r="J287">
        <v>0</v>
      </c>
      <c r="K287">
        <v>0</v>
      </c>
      <c r="L287">
        <v>0</v>
      </c>
      <c r="M287">
        <v>6</v>
      </c>
      <c r="P287">
        <v>83819607.616770893</v>
      </c>
      <c r="Q287">
        <v>34355.795429966733</v>
      </c>
      <c r="R287" t="s">
        <v>590</v>
      </c>
      <c r="S287" t="s">
        <v>601</v>
      </c>
      <c r="T287" t="s">
        <v>435</v>
      </c>
      <c r="U287">
        <v>12037</v>
      </c>
      <c r="V287">
        <v>3339</v>
      </c>
      <c r="W287">
        <v>8698</v>
      </c>
    </row>
    <row r="288" spans="1:23" x14ac:dyDescent="0.3">
      <c r="A288" t="s">
        <v>1302</v>
      </c>
      <c r="B288">
        <v>2022</v>
      </c>
      <c r="C288">
        <v>1.7595791978011139</v>
      </c>
      <c r="D288">
        <v>8045</v>
      </c>
      <c r="E288">
        <v>1293154.0189950981</v>
      </c>
      <c r="F288">
        <v>84</v>
      </c>
      <c r="G288">
        <v>199</v>
      </c>
      <c r="H288">
        <v>3.1604563698997999E-3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0.66275843974021875</v>
      </c>
      <c r="O288">
        <v>-0.32985540924106599</v>
      </c>
      <c r="P288">
        <v>94948986.097855777</v>
      </c>
      <c r="Q288">
        <v>33670.823513224452</v>
      </c>
      <c r="R288" t="s">
        <v>963</v>
      </c>
      <c r="S288" t="s">
        <v>988</v>
      </c>
      <c r="T288" t="s">
        <v>988</v>
      </c>
      <c r="U288">
        <v>7677</v>
      </c>
      <c r="V288">
        <v>3020</v>
      </c>
      <c r="W288">
        <v>4657</v>
      </c>
    </row>
    <row r="289" spans="1:23" x14ac:dyDescent="0.3">
      <c r="A289" t="s">
        <v>1333</v>
      </c>
      <c r="B289">
        <v>2022</v>
      </c>
      <c r="C289">
        <v>8.0614271444482171</v>
      </c>
      <c r="D289">
        <v>27831</v>
      </c>
      <c r="E289">
        <v>3579784.25502451</v>
      </c>
      <c r="F289">
        <v>502</v>
      </c>
      <c r="G289">
        <v>644</v>
      </c>
      <c r="H289">
        <v>5.0126736166920002E-4</v>
      </c>
      <c r="I289">
        <v>10</v>
      </c>
      <c r="J289">
        <v>2.22048066875653E-2</v>
      </c>
      <c r="K289">
        <v>3</v>
      </c>
      <c r="L289">
        <v>0</v>
      </c>
      <c r="M289">
        <v>11</v>
      </c>
      <c r="N289">
        <v>0.50161492032062238</v>
      </c>
      <c r="O289">
        <v>-0.3344178818452323</v>
      </c>
      <c r="P289">
        <v>72947885.993240178</v>
      </c>
      <c r="Q289">
        <v>20655.525978957889</v>
      </c>
      <c r="R289" t="s">
        <v>656</v>
      </c>
      <c r="S289" t="s">
        <v>776</v>
      </c>
      <c r="T289" t="s">
        <v>805</v>
      </c>
      <c r="U289">
        <v>26527</v>
      </c>
      <c r="V289">
        <v>18894</v>
      </c>
      <c r="W289">
        <v>7633</v>
      </c>
    </row>
    <row r="290" spans="1:23" x14ac:dyDescent="0.3">
      <c r="A290" t="s">
        <v>1304</v>
      </c>
      <c r="B290">
        <v>2022</v>
      </c>
      <c r="C290">
        <v>8.2424059786776134</v>
      </c>
      <c r="D290">
        <v>7028</v>
      </c>
      <c r="E290">
        <v>4465453.3512254898</v>
      </c>
      <c r="F290">
        <v>1564</v>
      </c>
      <c r="G290">
        <v>685</v>
      </c>
      <c r="H290">
        <v>2.707334240044E-4</v>
      </c>
      <c r="I290">
        <v>29</v>
      </c>
      <c r="J290">
        <v>0</v>
      </c>
      <c r="K290">
        <v>0</v>
      </c>
      <c r="L290">
        <v>0</v>
      </c>
      <c r="M290">
        <v>3</v>
      </c>
      <c r="N290">
        <v>0.41432720238160431</v>
      </c>
      <c r="O290">
        <v>-0.32977197723828161</v>
      </c>
      <c r="P290">
        <v>27049159.86207464</v>
      </c>
      <c r="Q290">
        <v>33485.058123049421</v>
      </c>
      <c r="R290" t="s">
        <v>23</v>
      </c>
      <c r="S290" t="s">
        <v>24</v>
      </c>
      <c r="T290" t="s">
        <v>33</v>
      </c>
      <c r="U290">
        <v>6707</v>
      </c>
      <c r="V290">
        <v>4985</v>
      </c>
      <c r="W290">
        <v>1722</v>
      </c>
    </row>
    <row r="291" spans="1:23" x14ac:dyDescent="0.3">
      <c r="A291" t="s">
        <v>1305</v>
      </c>
      <c r="B291">
        <v>2022</v>
      </c>
      <c r="C291">
        <v>1.4439988554253049</v>
      </c>
      <c r="D291">
        <v>8735</v>
      </c>
      <c r="E291">
        <v>1487057.4375</v>
      </c>
      <c r="F291">
        <v>76</v>
      </c>
      <c r="G291">
        <v>234</v>
      </c>
      <c r="H291">
        <v>1.1367268605441E-3</v>
      </c>
      <c r="I291">
        <v>6</v>
      </c>
      <c r="J291">
        <v>0</v>
      </c>
      <c r="K291">
        <v>0</v>
      </c>
      <c r="L291">
        <v>0</v>
      </c>
      <c r="M291">
        <v>2</v>
      </c>
      <c r="N291">
        <v>0.56232355116671617</v>
      </c>
      <c r="O291">
        <v>-0.2433732123115101</v>
      </c>
      <c r="P291">
        <v>154682359.9331246</v>
      </c>
      <c r="Q291">
        <v>32345.81444433596</v>
      </c>
      <c r="R291" t="s">
        <v>878</v>
      </c>
      <c r="S291" t="s">
        <v>902</v>
      </c>
      <c r="T291" t="s">
        <v>902</v>
      </c>
      <c r="U291">
        <v>8312</v>
      </c>
      <c r="V291">
        <v>4653</v>
      </c>
      <c r="W291">
        <v>3659</v>
      </c>
    </row>
    <row r="292" spans="1:23" x14ac:dyDescent="0.3">
      <c r="A292" t="s">
        <v>1306</v>
      </c>
      <c r="B292">
        <v>2022</v>
      </c>
      <c r="C292">
        <v>3.4401679237728748</v>
      </c>
      <c r="D292">
        <v>6097</v>
      </c>
      <c r="E292">
        <v>1006647.741727941</v>
      </c>
      <c r="F292">
        <v>176</v>
      </c>
      <c r="G292">
        <v>309</v>
      </c>
      <c r="H292">
        <v>3.8936359866649999E-4</v>
      </c>
      <c r="I292">
        <v>33</v>
      </c>
      <c r="J292">
        <v>0</v>
      </c>
      <c r="K292">
        <v>0</v>
      </c>
      <c r="L292">
        <v>0</v>
      </c>
      <c r="M292">
        <v>1</v>
      </c>
      <c r="N292">
        <v>0.43835429151064631</v>
      </c>
      <c r="O292">
        <v>-0.2745023363341943</v>
      </c>
      <c r="P292">
        <v>79323846.301362291</v>
      </c>
      <c r="Q292">
        <v>32272.179980754921</v>
      </c>
      <c r="R292" t="s">
        <v>834</v>
      </c>
      <c r="S292" t="s">
        <v>856</v>
      </c>
      <c r="T292" t="s">
        <v>856</v>
      </c>
      <c r="U292">
        <v>5817</v>
      </c>
      <c r="V292">
        <v>4158</v>
      </c>
      <c r="W292">
        <v>1659</v>
      </c>
    </row>
    <row r="293" spans="1:23" x14ac:dyDescent="0.3">
      <c r="A293" t="s">
        <v>1307</v>
      </c>
      <c r="B293">
        <v>2022</v>
      </c>
      <c r="C293">
        <v>1.057762495207027</v>
      </c>
      <c r="D293">
        <v>9562</v>
      </c>
      <c r="E293">
        <v>230670.6584558824</v>
      </c>
      <c r="F293">
        <v>8</v>
      </c>
      <c r="G293">
        <v>271</v>
      </c>
      <c r="H293">
        <v>2.753103612937E-4</v>
      </c>
      <c r="I293">
        <v>15</v>
      </c>
      <c r="J293">
        <v>0</v>
      </c>
      <c r="K293">
        <v>0</v>
      </c>
      <c r="L293">
        <v>0</v>
      </c>
      <c r="M293">
        <v>0</v>
      </c>
      <c r="N293">
        <v>0.48136678680685502</v>
      </c>
      <c r="O293">
        <v>-0.3838176364528097</v>
      </c>
      <c r="P293">
        <v>167441700.38252559</v>
      </c>
      <c r="Q293">
        <v>31896.409127188621</v>
      </c>
      <c r="R293" t="s">
        <v>236</v>
      </c>
      <c r="S293" t="s">
        <v>258</v>
      </c>
      <c r="T293" t="s">
        <v>261</v>
      </c>
      <c r="U293">
        <v>9130</v>
      </c>
      <c r="V293">
        <v>654</v>
      </c>
      <c r="W293">
        <v>8476</v>
      </c>
    </row>
    <row r="294" spans="1:23" x14ac:dyDescent="0.3">
      <c r="A294" t="s">
        <v>1308</v>
      </c>
      <c r="B294">
        <v>2022</v>
      </c>
      <c r="C294">
        <v>7.8229034811895177</v>
      </c>
      <c r="D294">
        <v>23035</v>
      </c>
      <c r="E294">
        <v>6394056.7438112739</v>
      </c>
      <c r="F294">
        <v>682</v>
      </c>
      <c r="G294">
        <v>766</v>
      </c>
      <c r="H294">
        <v>1.8508648494930001E-4</v>
      </c>
      <c r="I294">
        <v>5</v>
      </c>
      <c r="J294">
        <v>0</v>
      </c>
      <c r="K294">
        <v>0</v>
      </c>
      <c r="L294">
        <v>0</v>
      </c>
      <c r="M294">
        <v>12</v>
      </c>
      <c r="N294">
        <v>0.48691961686646151</v>
      </c>
      <c r="O294">
        <v>-0.36611199127638711</v>
      </c>
      <c r="P294">
        <v>41417525.132723033</v>
      </c>
      <c r="Q294">
        <v>31839.912590037049</v>
      </c>
      <c r="R294" t="s">
        <v>23</v>
      </c>
      <c r="S294" t="s">
        <v>50</v>
      </c>
      <c r="T294" t="s">
        <v>50</v>
      </c>
      <c r="U294">
        <v>22004</v>
      </c>
      <c r="V294">
        <v>16698</v>
      </c>
      <c r="W294">
        <v>5306</v>
      </c>
    </row>
    <row r="295" spans="1:23" x14ac:dyDescent="0.3">
      <c r="A295" t="s">
        <v>1309</v>
      </c>
      <c r="B295">
        <v>2022</v>
      </c>
      <c r="C295">
        <v>14.83782306090151</v>
      </c>
      <c r="D295">
        <v>85730</v>
      </c>
      <c r="E295">
        <v>9460471.2720588222</v>
      </c>
      <c r="F295">
        <v>518</v>
      </c>
      <c r="G295">
        <v>2976</v>
      </c>
      <c r="H295">
        <v>1.5018268929409999E-4</v>
      </c>
      <c r="I295">
        <v>27</v>
      </c>
      <c r="J295">
        <v>0.1208791208791208</v>
      </c>
      <c r="K295">
        <v>3</v>
      </c>
      <c r="L295">
        <v>0</v>
      </c>
      <c r="M295">
        <v>16</v>
      </c>
      <c r="N295">
        <v>0.34826154695898759</v>
      </c>
      <c r="O295">
        <v>-5.7579339942945701E-2</v>
      </c>
      <c r="P295">
        <v>250682479.94449389</v>
      </c>
      <c r="Q295">
        <v>31609.700115238011</v>
      </c>
      <c r="R295" t="s">
        <v>410</v>
      </c>
      <c r="S295" t="s">
        <v>443</v>
      </c>
      <c r="T295" t="s">
        <v>443</v>
      </c>
      <c r="U295">
        <v>81835</v>
      </c>
      <c r="V295">
        <v>60781</v>
      </c>
      <c r="W295">
        <v>21054</v>
      </c>
    </row>
    <row r="296" spans="1:23" x14ac:dyDescent="0.3">
      <c r="A296" t="s">
        <v>1310</v>
      </c>
      <c r="B296">
        <v>2022</v>
      </c>
      <c r="C296">
        <v>3.8667516500499501</v>
      </c>
      <c r="D296">
        <v>61401</v>
      </c>
      <c r="E296">
        <v>6777840.7346813735</v>
      </c>
      <c r="F296">
        <v>136</v>
      </c>
      <c r="G296">
        <v>1484</v>
      </c>
      <c r="H296">
        <v>3.0242372954910002E-4</v>
      </c>
      <c r="I296">
        <v>3</v>
      </c>
      <c r="J296">
        <v>0</v>
      </c>
      <c r="K296">
        <v>0</v>
      </c>
      <c r="L296">
        <v>0</v>
      </c>
      <c r="M296">
        <v>3</v>
      </c>
      <c r="N296">
        <v>0.23002738172438719</v>
      </c>
      <c r="O296">
        <v>-0.28636735555106191</v>
      </c>
      <c r="P296">
        <v>269999150.67391771</v>
      </c>
      <c r="Q296">
        <v>31385.083358247859</v>
      </c>
      <c r="R296" t="s">
        <v>410</v>
      </c>
      <c r="S296" t="s">
        <v>454</v>
      </c>
      <c r="T296" t="s">
        <v>455</v>
      </c>
      <c r="U296">
        <v>58635</v>
      </c>
      <c r="V296">
        <v>30423</v>
      </c>
      <c r="W296">
        <v>28212</v>
      </c>
    </row>
    <row r="297" spans="1:23" x14ac:dyDescent="0.3">
      <c r="A297" t="s">
        <v>1311</v>
      </c>
      <c r="B297">
        <v>2022</v>
      </c>
      <c r="C297">
        <v>1.794384344855662</v>
      </c>
      <c r="D297">
        <v>10128</v>
      </c>
      <c r="E297">
        <v>1239215.125</v>
      </c>
      <c r="F297">
        <v>70</v>
      </c>
      <c r="G297">
        <v>306</v>
      </c>
      <c r="H297">
        <v>2.9705789550639998E-4</v>
      </c>
      <c r="I297">
        <v>3</v>
      </c>
      <c r="J297">
        <v>0</v>
      </c>
      <c r="K297">
        <v>0</v>
      </c>
      <c r="L297">
        <v>0</v>
      </c>
      <c r="M297">
        <v>8</v>
      </c>
      <c r="N297">
        <v>0.51195791057436346</v>
      </c>
      <c r="O297">
        <v>-0.33844588621198002</v>
      </c>
      <c r="P297">
        <v>75862496.110385194</v>
      </c>
      <c r="Q297">
        <v>31364.649912665769</v>
      </c>
      <c r="R297" t="s">
        <v>503</v>
      </c>
      <c r="S297" t="s">
        <v>561</v>
      </c>
      <c r="T297" t="s">
        <v>561</v>
      </c>
      <c r="U297">
        <v>9675</v>
      </c>
      <c r="V297">
        <v>4770</v>
      </c>
      <c r="W297">
        <v>4905</v>
      </c>
    </row>
    <row r="298" spans="1:23" x14ac:dyDescent="0.3">
      <c r="A298" t="s">
        <v>1814</v>
      </c>
      <c r="B298">
        <v>2022</v>
      </c>
      <c r="C298">
        <v>1.001314564766143</v>
      </c>
      <c r="D298">
        <v>5860</v>
      </c>
      <c r="E298">
        <v>0</v>
      </c>
      <c r="F298">
        <v>1</v>
      </c>
      <c r="G298">
        <v>276</v>
      </c>
      <c r="H298">
        <v>1.701772244407E-4</v>
      </c>
      <c r="I298">
        <v>10</v>
      </c>
      <c r="J298">
        <v>0</v>
      </c>
      <c r="K298">
        <v>0</v>
      </c>
      <c r="L298">
        <v>0</v>
      </c>
      <c r="M298">
        <v>12</v>
      </c>
      <c r="P298">
        <v>294462787.91670787</v>
      </c>
      <c r="Q298">
        <v>0</v>
      </c>
      <c r="R298" t="s">
        <v>656</v>
      </c>
      <c r="S298" t="s">
        <v>776</v>
      </c>
      <c r="T298" t="s">
        <v>802</v>
      </c>
      <c r="U298">
        <v>5581</v>
      </c>
      <c r="V298">
        <v>3094</v>
      </c>
      <c r="W298">
        <v>2487</v>
      </c>
    </row>
    <row r="299" spans="1:23" x14ac:dyDescent="0.3">
      <c r="A299" t="s">
        <v>1313</v>
      </c>
      <c r="B299">
        <v>2022</v>
      </c>
      <c r="C299">
        <v>5.1693349353218441</v>
      </c>
      <c r="D299">
        <v>9093</v>
      </c>
      <c r="E299">
        <v>498594.34950980393</v>
      </c>
      <c r="F299">
        <v>93</v>
      </c>
      <c r="G299">
        <v>253</v>
      </c>
      <c r="H299">
        <v>8.5621800090539995E-4</v>
      </c>
      <c r="I299">
        <v>18</v>
      </c>
      <c r="J299">
        <v>0</v>
      </c>
      <c r="K299">
        <v>0</v>
      </c>
      <c r="L299">
        <v>0</v>
      </c>
      <c r="M299">
        <v>11</v>
      </c>
      <c r="N299">
        <v>0.42994456914820078</v>
      </c>
      <c r="O299">
        <v>-0.3409886784408801</v>
      </c>
      <c r="P299">
        <v>34975892.397380337</v>
      </c>
      <c r="Q299">
        <v>30478.380385657641</v>
      </c>
      <c r="R299" t="s">
        <v>464</v>
      </c>
      <c r="S299" t="s">
        <v>465</v>
      </c>
      <c r="T299" t="s">
        <v>470</v>
      </c>
      <c r="U299">
        <v>8589</v>
      </c>
      <c r="V299">
        <v>3615</v>
      </c>
      <c r="W299">
        <v>4974</v>
      </c>
    </row>
    <row r="300" spans="1:23" x14ac:dyDescent="0.3">
      <c r="A300" t="s">
        <v>1314</v>
      </c>
      <c r="B300">
        <v>2022</v>
      </c>
      <c r="C300">
        <v>1.8428031940315639</v>
      </c>
      <c r="D300">
        <v>10806</v>
      </c>
      <c r="E300">
        <v>2867832.2000612752</v>
      </c>
      <c r="F300">
        <v>161</v>
      </c>
      <c r="G300">
        <v>568</v>
      </c>
      <c r="H300">
        <v>2.4793691593030001E-4</v>
      </c>
      <c r="I300">
        <v>11</v>
      </c>
      <c r="J300">
        <v>9.5238095238095205E-2</v>
      </c>
      <c r="K300">
        <v>1</v>
      </c>
      <c r="L300">
        <v>0</v>
      </c>
      <c r="M300">
        <v>3</v>
      </c>
      <c r="P300">
        <v>212750742.69489959</v>
      </c>
      <c r="Q300">
        <v>30376.788247496981</v>
      </c>
      <c r="R300" t="s">
        <v>656</v>
      </c>
      <c r="S300" t="s">
        <v>813</v>
      </c>
      <c r="T300" t="s">
        <v>815</v>
      </c>
      <c r="U300">
        <v>10289</v>
      </c>
      <c r="V300">
        <v>7657</v>
      </c>
      <c r="W300">
        <v>2632</v>
      </c>
    </row>
    <row r="301" spans="1:23" x14ac:dyDescent="0.3">
      <c r="A301" t="s">
        <v>1315</v>
      </c>
      <c r="B301">
        <v>2022</v>
      </c>
      <c r="C301">
        <v>1.091534916268587</v>
      </c>
      <c r="D301">
        <v>12908</v>
      </c>
      <c r="E301">
        <v>4462182.203125</v>
      </c>
      <c r="F301">
        <v>125</v>
      </c>
      <c r="G301">
        <v>413</v>
      </c>
      <c r="H301">
        <v>3.4457545918649998E-4</v>
      </c>
      <c r="I301">
        <v>4</v>
      </c>
      <c r="J301">
        <v>0</v>
      </c>
      <c r="K301">
        <v>0</v>
      </c>
      <c r="L301">
        <v>0</v>
      </c>
      <c r="M301">
        <v>7</v>
      </c>
      <c r="N301">
        <v>0.60606544875491886</v>
      </c>
      <c r="O301">
        <v>-0.2673387499474979</v>
      </c>
      <c r="P301">
        <v>365550223.90494168</v>
      </c>
      <c r="Q301">
        <v>30186.722512942211</v>
      </c>
      <c r="R301" t="s">
        <v>678</v>
      </c>
      <c r="S301" t="s">
        <v>688</v>
      </c>
      <c r="T301" t="s">
        <v>688</v>
      </c>
      <c r="U301">
        <v>12319</v>
      </c>
      <c r="V301">
        <v>7907</v>
      </c>
      <c r="W301">
        <v>4412</v>
      </c>
    </row>
    <row r="302" spans="1:23" x14ac:dyDescent="0.3">
      <c r="A302" t="s">
        <v>1316</v>
      </c>
      <c r="B302">
        <v>2022</v>
      </c>
      <c r="C302">
        <v>5.7204971307445938</v>
      </c>
      <c r="D302">
        <v>23831</v>
      </c>
      <c r="E302">
        <v>47702283.798651963</v>
      </c>
      <c r="F302">
        <v>4042</v>
      </c>
      <c r="G302">
        <v>1050</v>
      </c>
      <c r="H302">
        <v>2.0359461517969999E-4</v>
      </c>
      <c r="I302">
        <v>14</v>
      </c>
      <c r="J302">
        <v>0</v>
      </c>
      <c r="K302">
        <v>0</v>
      </c>
      <c r="L302">
        <v>0</v>
      </c>
      <c r="M302">
        <v>6</v>
      </c>
      <c r="N302">
        <v>0.27973825367908001</v>
      </c>
      <c r="O302">
        <v>-0.25139543867697201</v>
      </c>
      <c r="P302">
        <v>93553158.818909362</v>
      </c>
      <c r="Q302">
        <v>28329.203760846071</v>
      </c>
      <c r="R302" t="s">
        <v>236</v>
      </c>
      <c r="S302" t="s">
        <v>273</v>
      </c>
      <c r="T302" t="s">
        <v>273</v>
      </c>
      <c r="U302">
        <v>22688</v>
      </c>
      <c r="V302">
        <v>15029</v>
      </c>
      <c r="W302">
        <v>7659</v>
      </c>
    </row>
    <row r="303" spans="1:23" x14ac:dyDescent="0.3">
      <c r="A303" t="s">
        <v>1317</v>
      </c>
      <c r="B303">
        <v>2022</v>
      </c>
      <c r="C303">
        <v>1.5050906770692269</v>
      </c>
      <c r="D303">
        <v>16402</v>
      </c>
      <c r="E303">
        <v>744797.625</v>
      </c>
      <c r="F303">
        <v>25</v>
      </c>
      <c r="G303">
        <v>261</v>
      </c>
      <c r="H303">
        <v>2.9400442164330003E-4</v>
      </c>
      <c r="I303">
        <v>23</v>
      </c>
      <c r="J303">
        <v>0</v>
      </c>
      <c r="K303">
        <v>0</v>
      </c>
      <c r="L303">
        <v>0</v>
      </c>
      <c r="M303">
        <v>34</v>
      </c>
      <c r="N303">
        <v>0.36457153348462018</v>
      </c>
      <c r="O303">
        <v>-0.2584866845249143</v>
      </c>
      <c r="P303">
        <v>202847396.40764591</v>
      </c>
      <c r="Q303">
        <v>27337.835914907999</v>
      </c>
      <c r="R303" t="s">
        <v>616</v>
      </c>
      <c r="S303" t="s">
        <v>666</v>
      </c>
      <c r="T303" t="s">
        <v>660</v>
      </c>
      <c r="U303">
        <v>15640</v>
      </c>
      <c r="V303">
        <v>3991</v>
      </c>
      <c r="W303">
        <v>11649</v>
      </c>
    </row>
    <row r="304" spans="1:23" x14ac:dyDescent="0.3">
      <c r="A304" t="s">
        <v>1318</v>
      </c>
      <c r="B304">
        <v>2022</v>
      </c>
      <c r="C304">
        <v>15.556064012463599</v>
      </c>
      <c r="D304">
        <v>82860</v>
      </c>
      <c r="E304">
        <v>10100487.615441181</v>
      </c>
      <c r="F304">
        <v>697</v>
      </c>
      <c r="G304">
        <v>2614</v>
      </c>
      <c r="H304">
        <v>1.4454803883010001E-4</v>
      </c>
      <c r="I304">
        <v>9</v>
      </c>
      <c r="J304">
        <v>0</v>
      </c>
      <c r="K304">
        <v>0</v>
      </c>
      <c r="L304">
        <v>0</v>
      </c>
      <c r="M304">
        <v>23</v>
      </c>
      <c r="P304">
        <v>65536270.233098507</v>
      </c>
      <c r="Q304">
        <v>27205.978780633039</v>
      </c>
      <c r="R304" t="s">
        <v>656</v>
      </c>
      <c r="S304" t="s">
        <v>776</v>
      </c>
      <c r="T304" t="s">
        <v>804</v>
      </c>
      <c r="U304">
        <v>79011</v>
      </c>
      <c r="V304">
        <v>65170</v>
      </c>
      <c r="W304">
        <v>13841</v>
      </c>
    </row>
    <row r="305" spans="1:23" x14ac:dyDescent="0.3">
      <c r="A305" t="s">
        <v>1319</v>
      </c>
      <c r="B305">
        <v>2022</v>
      </c>
      <c r="C305">
        <v>10.38890114063296</v>
      </c>
      <c r="D305">
        <v>26624</v>
      </c>
      <c r="E305">
        <v>496642.9375</v>
      </c>
      <c r="F305">
        <v>72</v>
      </c>
      <c r="G305">
        <v>643</v>
      </c>
      <c r="H305">
        <v>6.2913019093359997E-4</v>
      </c>
      <c r="I305">
        <v>8</v>
      </c>
      <c r="J305">
        <v>5.5555555555555497E-2</v>
      </c>
      <c r="K305">
        <v>1</v>
      </c>
      <c r="L305">
        <v>0</v>
      </c>
      <c r="M305">
        <v>6</v>
      </c>
      <c r="P305">
        <v>32455613.836844601</v>
      </c>
      <c r="Q305">
        <v>26915.848586285221</v>
      </c>
      <c r="R305" t="s">
        <v>656</v>
      </c>
      <c r="S305" t="s">
        <v>813</v>
      </c>
      <c r="T305" t="s">
        <v>817</v>
      </c>
      <c r="U305">
        <v>25418</v>
      </c>
      <c r="V305">
        <v>17219</v>
      </c>
      <c r="W305">
        <v>8199</v>
      </c>
    </row>
    <row r="306" spans="1:23" x14ac:dyDescent="0.3">
      <c r="A306" t="s">
        <v>1320</v>
      </c>
      <c r="B306">
        <v>2022</v>
      </c>
      <c r="C306">
        <v>2.6870946216819269</v>
      </c>
      <c r="D306">
        <v>4465</v>
      </c>
      <c r="E306">
        <v>496085.65625</v>
      </c>
      <c r="F306">
        <v>112</v>
      </c>
      <c r="G306">
        <v>287</v>
      </c>
      <c r="H306">
        <v>3.920544538225E-4</v>
      </c>
      <c r="I306">
        <v>15</v>
      </c>
      <c r="J306">
        <v>0</v>
      </c>
      <c r="K306">
        <v>0</v>
      </c>
      <c r="L306">
        <v>0</v>
      </c>
      <c r="M306">
        <v>5</v>
      </c>
      <c r="N306">
        <v>0.57693217700947863</v>
      </c>
      <c r="O306">
        <v>-0.37476199333886051</v>
      </c>
      <c r="P306">
        <v>56643774.2824618</v>
      </c>
      <c r="Q306">
        <v>26656.316965344031</v>
      </c>
      <c r="R306" t="s">
        <v>128</v>
      </c>
      <c r="S306" t="s">
        <v>157</v>
      </c>
      <c r="T306" t="s">
        <v>157</v>
      </c>
      <c r="U306">
        <v>4273</v>
      </c>
      <c r="V306">
        <v>2464</v>
      </c>
      <c r="W306">
        <v>1809</v>
      </c>
    </row>
    <row r="307" spans="1:23" x14ac:dyDescent="0.3">
      <c r="A307" t="s">
        <v>1321</v>
      </c>
      <c r="B307">
        <v>2022</v>
      </c>
      <c r="C307">
        <v>0.84230297976118518</v>
      </c>
      <c r="D307">
        <v>11557</v>
      </c>
      <c r="E307">
        <v>1489831.4375</v>
      </c>
      <c r="F307">
        <v>41</v>
      </c>
      <c r="G307">
        <v>367</v>
      </c>
      <c r="H307">
        <v>1.6365226091570001E-4</v>
      </c>
      <c r="I307">
        <v>23</v>
      </c>
      <c r="J307">
        <v>0</v>
      </c>
      <c r="K307">
        <v>0</v>
      </c>
      <c r="L307">
        <v>0</v>
      </c>
      <c r="M307">
        <v>15</v>
      </c>
      <c r="P307">
        <v>213055518.90293911</v>
      </c>
      <c r="Q307">
        <v>26483.568382125919</v>
      </c>
      <c r="R307" t="s">
        <v>195</v>
      </c>
      <c r="S307" t="s">
        <v>196</v>
      </c>
      <c r="T307" t="s">
        <v>206</v>
      </c>
      <c r="U307">
        <v>11035</v>
      </c>
      <c r="V307">
        <v>2308</v>
      </c>
      <c r="W307">
        <v>8727</v>
      </c>
    </row>
    <row r="308" spans="1:23" x14ac:dyDescent="0.3">
      <c r="A308" t="s">
        <v>1322</v>
      </c>
      <c r="B308">
        <v>2022</v>
      </c>
      <c r="C308">
        <v>0.98222621805106225</v>
      </c>
      <c r="D308">
        <v>11990</v>
      </c>
      <c r="E308">
        <v>3412277.5444240202</v>
      </c>
      <c r="F308">
        <v>106</v>
      </c>
      <c r="G308">
        <v>383</v>
      </c>
      <c r="H308">
        <v>1.5324236018349999E-4</v>
      </c>
      <c r="I308">
        <v>12</v>
      </c>
      <c r="J308">
        <v>0</v>
      </c>
      <c r="K308">
        <v>0</v>
      </c>
      <c r="L308">
        <v>0</v>
      </c>
      <c r="M308">
        <v>13</v>
      </c>
      <c r="N308">
        <v>0.368383223681713</v>
      </c>
      <c r="O308">
        <v>-0.2995615329037119</v>
      </c>
      <c r="P308">
        <v>425969588.21785402</v>
      </c>
      <c r="Q308">
        <v>26371.256451132009</v>
      </c>
      <c r="R308" t="s">
        <v>834</v>
      </c>
      <c r="S308" t="s">
        <v>835</v>
      </c>
      <c r="T308" t="s">
        <v>844</v>
      </c>
      <c r="U308">
        <v>11440</v>
      </c>
      <c r="V308">
        <v>1900</v>
      </c>
      <c r="W308">
        <v>9540</v>
      </c>
    </row>
    <row r="309" spans="1:23" x14ac:dyDescent="0.3">
      <c r="A309" t="s">
        <v>1323</v>
      </c>
      <c r="B309">
        <v>2022</v>
      </c>
      <c r="C309">
        <v>1.1969348419292321</v>
      </c>
      <c r="D309">
        <v>26874</v>
      </c>
      <c r="E309">
        <v>744041.5</v>
      </c>
      <c r="F309">
        <v>13</v>
      </c>
      <c r="G309">
        <v>454</v>
      </c>
      <c r="H309">
        <v>6.651662915728E-4</v>
      </c>
      <c r="I309">
        <v>19</v>
      </c>
      <c r="J309">
        <v>0</v>
      </c>
      <c r="K309">
        <v>0</v>
      </c>
      <c r="L309">
        <v>0</v>
      </c>
      <c r="M309">
        <v>4</v>
      </c>
      <c r="N309">
        <v>0.23707663001474891</v>
      </c>
      <c r="O309">
        <v>-5.7287905607910403E-2</v>
      </c>
      <c r="P309">
        <v>441158068.57069111</v>
      </c>
      <c r="Q309">
        <v>25491.301148702179</v>
      </c>
      <c r="R309" t="s">
        <v>410</v>
      </c>
      <c r="S309" t="s">
        <v>418</v>
      </c>
      <c r="T309" t="s">
        <v>418</v>
      </c>
      <c r="U309">
        <v>25649</v>
      </c>
      <c r="V309">
        <v>13669</v>
      </c>
      <c r="W309">
        <v>11980</v>
      </c>
    </row>
    <row r="310" spans="1:23" x14ac:dyDescent="0.3">
      <c r="A310" t="s">
        <v>1324</v>
      </c>
      <c r="B310">
        <v>2022</v>
      </c>
      <c r="C310">
        <v>2.57407011084051</v>
      </c>
      <c r="D310">
        <v>7996</v>
      </c>
      <c r="E310">
        <v>2405952.4161764709</v>
      </c>
      <c r="F310">
        <v>306</v>
      </c>
      <c r="G310">
        <v>182</v>
      </c>
      <c r="H310">
        <v>5.6588679589610004E-4</v>
      </c>
      <c r="I310">
        <v>18</v>
      </c>
      <c r="J310">
        <v>0</v>
      </c>
      <c r="K310">
        <v>0</v>
      </c>
      <c r="L310">
        <v>0</v>
      </c>
      <c r="M310">
        <v>3</v>
      </c>
      <c r="N310">
        <v>0.48334184686882931</v>
      </c>
      <c r="O310">
        <v>-0.37237755378269549</v>
      </c>
      <c r="P310">
        <v>48566501.492106646</v>
      </c>
      <c r="Q310">
        <v>25311.226702339569</v>
      </c>
      <c r="R310" t="s">
        <v>195</v>
      </c>
      <c r="S310" t="s">
        <v>222</v>
      </c>
      <c r="T310" t="s">
        <v>226</v>
      </c>
      <c r="U310">
        <v>7632</v>
      </c>
      <c r="V310">
        <v>2988</v>
      </c>
      <c r="W310">
        <v>4644</v>
      </c>
    </row>
    <row r="311" spans="1:23" x14ac:dyDescent="0.3">
      <c r="A311" t="s">
        <v>1325</v>
      </c>
      <c r="B311">
        <v>2022</v>
      </c>
      <c r="C311">
        <v>4.0481426706573123</v>
      </c>
      <c r="D311">
        <v>63864</v>
      </c>
      <c r="E311">
        <v>3470861.28125</v>
      </c>
      <c r="F311">
        <v>88</v>
      </c>
      <c r="G311">
        <v>1442</v>
      </c>
      <c r="H311">
        <v>5.0022186181200004E-4</v>
      </c>
      <c r="I311">
        <v>17</v>
      </c>
      <c r="J311">
        <v>0</v>
      </c>
      <c r="K311">
        <v>0</v>
      </c>
      <c r="L311">
        <v>0</v>
      </c>
      <c r="M311">
        <v>29</v>
      </c>
      <c r="N311">
        <v>0.440444528131472</v>
      </c>
      <c r="O311">
        <v>-0.19894825881635489</v>
      </c>
      <c r="P311">
        <v>131183913.48321611</v>
      </c>
      <c r="Q311">
        <v>25000.821448277231</v>
      </c>
      <c r="R311" t="s">
        <v>291</v>
      </c>
      <c r="S311" t="s">
        <v>316</v>
      </c>
      <c r="T311" t="s">
        <v>316</v>
      </c>
      <c r="U311">
        <v>60886</v>
      </c>
      <c r="V311">
        <v>41703</v>
      </c>
      <c r="W311">
        <v>19183</v>
      </c>
    </row>
    <row r="312" spans="1:23" x14ac:dyDescent="0.3">
      <c r="A312" t="s">
        <v>1326</v>
      </c>
      <c r="B312">
        <v>2022</v>
      </c>
      <c r="C312">
        <v>1.1924918408113261</v>
      </c>
      <c r="D312">
        <v>2570</v>
      </c>
      <c r="E312">
        <v>197334.59136029409</v>
      </c>
      <c r="F312">
        <v>37</v>
      </c>
      <c r="G312">
        <v>156</v>
      </c>
      <c r="H312">
        <v>3.0966844706E-4</v>
      </c>
      <c r="I312">
        <v>3</v>
      </c>
      <c r="J312">
        <v>0</v>
      </c>
      <c r="K312">
        <v>0</v>
      </c>
      <c r="L312">
        <v>0</v>
      </c>
      <c r="M312">
        <v>2</v>
      </c>
      <c r="N312">
        <v>0.46388033422804981</v>
      </c>
      <c r="O312">
        <v>-0.37586612561177279</v>
      </c>
      <c r="P312">
        <v>217743036.29094949</v>
      </c>
      <c r="Q312">
        <v>24747.070155325269</v>
      </c>
      <c r="R312" t="s">
        <v>23</v>
      </c>
      <c r="S312" t="s">
        <v>86</v>
      </c>
      <c r="T312" t="s">
        <v>87</v>
      </c>
      <c r="U312">
        <v>2453</v>
      </c>
      <c r="V312">
        <v>967</v>
      </c>
      <c r="W312">
        <v>1486</v>
      </c>
    </row>
    <row r="313" spans="1:23" x14ac:dyDescent="0.3">
      <c r="A313" t="s">
        <v>1327</v>
      </c>
      <c r="B313">
        <v>2022</v>
      </c>
      <c r="C313">
        <v>3.040239485123875</v>
      </c>
      <c r="D313">
        <v>10556</v>
      </c>
      <c r="E313">
        <v>1470446.3416053921</v>
      </c>
      <c r="F313">
        <v>176</v>
      </c>
      <c r="G313">
        <v>491</v>
      </c>
      <c r="H313">
        <v>2.5265801472599999E-4</v>
      </c>
      <c r="I313">
        <v>6</v>
      </c>
      <c r="J313">
        <v>0</v>
      </c>
      <c r="K313">
        <v>0</v>
      </c>
      <c r="L313">
        <v>0</v>
      </c>
      <c r="M313">
        <v>11</v>
      </c>
      <c r="N313">
        <v>0.39889883862290421</v>
      </c>
      <c r="O313">
        <v>-0.30693194989691519</v>
      </c>
      <c r="P313">
        <v>92824682.754684165</v>
      </c>
      <c r="Q313">
        <v>24062.731603012631</v>
      </c>
      <c r="R313" t="s">
        <v>464</v>
      </c>
      <c r="S313" t="s">
        <v>492</v>
      </c>
      <c r="T313" t="s">
        <v>492</v>
      </c>
      <c r="U313">
        <v>10064</v>
      </c>
      <c r="V313">
        <v>6912</v>
      </c>
      <c r="W313">
        <v>3152</v>
      </c>
    </row>
    <row r="314" spans="1:23" x14ac:dyDescent="0.3">
      <c r="A314" t="s">
        <v>1328</v>
      </c>
      <c r="B314">
        <v>2022</v>
      </c>
      <c r="C314">
        <v>10.66770088783203</v>
      </c>
      <c r="D314">
        <v>29532</v>
      </c>
      <c r="E314">
        <v>16279414.07843137</v>
      </c>
      <c r="F314">
        <v>2496</v>
      </c>
      <c r="G314">
        <v>522</v>
      </c>
      <c r="H314">
        <v>3.7863483686560002E-4</v>
      </c>
      <c r="I314">
        <v>28</v>
      </c>
      <c r="J314">
        <v>0</v>
      </c>
      <c r="K314">
        <v>0</v>
      </c>
      <c r="L314">
        <v>0</v>
      </c>
      <c r="M314">
        <v>7</v>
      </c>
      <c r="N314">
        <v>0.38001818446548041</v>
      </c>
      <c r="O314">
        <v>-0.29689798771486431</v>
      </c>
      <c r="P314">
        <v>39729112.251014113</v>
      </c>
      <c r="Q314">
        <v>23559.830364621281</v>
      </c>
      <c r="R314" t="s">
        <v>834</v>
      </c>
      <c r="S314" t="s">
        <v>835</v>
      </c>
      <c r="T314" t="s">
        <v>334</v>
      </c>
      <c r="U314">
        <v>28200</v>
      </c>
      <c r="V314">
        <v>15008</v>
      </c>
      <c r="W314">
        <v>13192</v>
      </c>
    </row>
    <row r="315" spans="1:23" x14ac:dyDescent="0.3">
      <c r="A315" t="s">
        <v>1329</v>
      </c>
      <c r="B315">
        <v>2022</v>
      </c>
      <c r="C315">
        <v>0.91736546644671924</v>
      </c>
      <c r="D315">
        <v>6131</v>
      </c>
      <c r="E315">
        <v>314619.38602941181</v>
      </c>
      <c r="F315">
        <v>20</v>
      </c>
      <c r="G315">
        <v>303</v>
      </c>
      <c r="H315">
        <v>2.9035277964459998E-4</v>
      </c>
      <c r="I315">
        <v>2</v>
      </c>
      <c r="J315">
        <v>0</v>
      </c>
      <c r="K315">
        <v>0</v>
      </c>
      <c r="L315">
        <v>0</v>
      </c>
      <c r="M315">
        <v>10</v>
      </c>
      <c r="N315">
        <v>0.2524189877946198</v>
      </c>
      <c r="O315">
        <v>-0.32598188737301731</v>
      </c>
      <c r="P315">
        <v>194639052.21483409</v>
      </c>
      <c r="Q315">
        <v>23537.8372058434</v>
      </c>
      <c r="R315" t="s">
        <v>503</v>
      </c>
      <c r="S315" t="s">
        <v>574</v>
      </c>
      <c r="T315" t="s">
        <v>574</v>
      </c>
      <c r="U315">
        <v>5835</v>
      </c>
      <c r="V315">
        <v>3652</v>
      </c>
      <c r="W315">
        <v>2183</v>
      </c>
    </row>
    <row r="316" spans="1:23" x14ac:dyDescent="0.3">
      <c r="A316" t="s">
        <v>1330</v>
      </c>
      <c r="B316">
        <v>2022</v>
      </c>
      <c r="C316">
        <v>1.302064579884374</v>
      </c>
      <c r="D316">
        <v>6063</v>
      </c>
      <c r="E316">
        <v>1909901.3946691181</v>
      </c>
      <c r="F316">
        <v>195</v>
      </c>
      <c r="G316">
        <v>263</v>
      </c>
      <c r="H316">
        <v>6.5912882222959998E-4</v>
      </c>
      <c r="I316">
        <v>6</v>
      </c>
      <c r="J316">
        <v>1.6E-2</v>
      </c>
      <c r="K316">
        <v>1</v>
      </c>
      <c r="L316">
        <v>0</v>
      </c>
      <c r="M316">
        <v>1</v>
      </c>
      <c r="N316">
        <v>0.47130069910984518</v>
      </c>
      <c r="O316">
        <v>-0.23319547596234749</v>
      </c>
      <c r="P316">
        <v>86825227.609895259</v>
      </c>
      <c r="Q316">
        <v>21033.971987045628</v>
      </c>
      <c r="R316" t="s">
        <v>616</v>
      </c>
      <c r="S316" t="s">
        <v>672</v>
      </c>
      <c r="T316" t="s">
        <v>674</v>
      </c>
      <c r="U316">
        <v>5824</v>
      </c>
      <c r="V316">
        <v>1912</v>
      </c>
      <c r="W316">
        <v>3912</v>
      </c>
    </row>
    <row r="317" spans="1:23" x14ac:dyDescent="0.3">
      <c r="A317" t="s">
        <v>1331</v>
      </c>
      <c r="B317">
        <v>2022</v>
      </c>
      <c r="C317">
        <v>0.65783114777453444</v>
      </c>
      <c r="D317">
        <v>6362</v>
      </c>
      <c r="E317">
        <v>2123700.1075367639</v>
      </c>
      <c r="F317">
        <v>106</v>
      </c>
      <c r="G317">
        <v>269</v>
      </c>
      <c r="H317">
        <v>1.721267677742E-4</v>
      </c>
      <c r="I317">
        <v>9</v>
      </c>
      <c r="J317">
        <v>0</v>
      </c>
      <c r="K317">
        <v>0</v>
      </c>
      <c r="L317">
        <v>0</v>
      </c>
      <c r="M317">
        <v>22</v>
      </c>
      <c r="N317">
        <v>0.56334234552441431</v>
      </c>
      <c r="O317">
        <v>-0.1815964829983365</v>
      </c>
      <c r="P317">
        <v>248956753.65372089</v>
      </c>
      <c r="Q317">
        <v>20716.104453770498</v>
      </c>
      <c r="R317" t="s">
        <v>195</v>
      </c>
      <c r="S317" t="s">
        <v>231</v>
      </c>
      <c r="T317" t="s">
        <v>232</v>
      </c>
      <c r="U317">
        <v>6064</v>
      </c>
      <c r="V317">
        <v>281</v>
      </c>
      <c r="W317">
        <v>5783</v>
      </c>
    </row>
    <row r="318" spans="1:23" x14ac:dyDescent="0.3">
      <c r="A318" t="s">
        <v>1332</v>
      </c>
      <c r="B318">
        <v>2022</v>
      </c>
      <c r="C318">
        <v>6.6142426169050399</v>
      </c>
      <c r="D318">
        <v>5807</v>
      </c>
      <c r="E318">
        <v>744835.6875</v>
      </c>
      <c r="F318">
        <v>410</v>
      </c>
      <c r="G318">
        <v>142</v>
      </c>
      <c r="H318">
        <v>1.8514329059345E-3</v>
      </c>
      <c r="I318">
        <v>22</v>
      </c>
      <c r="J318">
        <v>9.5238095238095205E-2</v>
      </c>
      <c r="K318">
        <v>1</v>
      </c>
      <c r="L318">
        <v>0</v>
      </c>
      <c r="M318">
        <v>3</v>
      </c>
      <c r="N318">
        <v>0.33041193860272561</v>
      </c>
      <c r="O318">
        <v>-0.28777300144709222</v>
      </c>
      <c r="P318">
        <v>20106564.46169718</v>
      </c>
      <c r="Q318">
        <v>20692.116524019639</v>
      </c>
      <c r="R318" t="s">
        <v>834</v>
      </c>
      <c r="S318" t="s">
        <v>835</v>
      </c>
      <c r="T318" t="s">
        <v>848</v>
      </c>
      <c r="U318">
        <v>5546</v>
      </c>
      <c r="V318">
        <v>3466</v>
      </c>
      <c r="W318">
        <v>2080</v>
      </c>
    </row>
    <row r="319" spans="1:23" x14ac:dyDescent="0.3">
      <c r="A319" t="s">
        <v>1156</v>
      </c>
      <c r="B319">
        <v>2022</v>
      </c>
      <c r="C319">
        <v>20.597490019697421</v>
      </c>
      <c r="D319">
        <v>23111</v>
      </c>
      <c r="E319">
        <v>4290670.4570465675</v>
      </c>
      <c r="F319">
        <v>80</v>
      </c>
      <c r="G319">
        <v>849</v>
      </c>
      <c r="H319">
        <v>4.2451217034009998E-4</v>
      </c>
      <c r="I319">
        <v>8</v>
      </c>
      <c r="J319">
        <v>0.2</v>
      </c>
      <c r="K319">
        <v>1</v>
      </c>
      <c r="L319">
        <v>0</v>
      </c>
      <c r="M319">
        <v>11</v>
      </c>
      <c r="P319">
        <v>17717212.355703101</v>
      </c>
      <c r="Q319">
        <v>478003.12576709827</v>
      </c>
      <c r="R319" t="s">
        <v>656</v>
      </c>
      <c r="S319" t="s">
        <v>776</v>
      </c>
      <c r="T319" t="s">
        <v>793</v>
      </c>
      <c r="U319">
        <v>22052</v>
      </c>
      <c r="V319">
        <v>19363</v>
      </c>
      <c r="W319">
        <v>2689</v>
      </c>
    </row>
    <row r="320" spans="1:23" x14ac:dyDescent="0.3">
      <c r="A320" t="s">
        <v>1810</v>
      </c>
      <c r="B320">
        <v>2022</v>
      </c>
      <c r="C320">
        <v>0.80961961067062882</v>
      </c>
      <c r="D320">
        <v>3104</v>
      </c>
      <c r="E320">
        <v>0</v>
      </c>
      <c r="F320">
        <v>25</v>
      </c>
      <c r="G320">
        <v>149</v>
      </c>
      <c r="H320">
        <v>2.67522643817E-4</v>
      </c>
      <c r="I320">
        <v>8</v>
      </c>
      <c r="J320">
        <v>0</v>
      </c>
      <c r="K320">
        <v>0</v>
      </c>
      <c r="L320">
        <v>0</v>
      </c>
      <c r="M320">
        <v>8</v>
      </c>
      <c r="P320">
        <v>245992331.976798</v>
      </c>
      <c r="Q320">
        <v>0</v>
      </c>
      <c r="R320" t="s">
        <v>656</v>
      </c>
      <c r="S320" t="s">
        <v>776</v>
      </c>
      <c r="T320" t="s">
        <v>791</v>
      </c>
      <c r="U320">
        <v>2958</v>
      </c>
      <c r="V320">
        <v>1780</v>
      </c>
      <c r="W320">
        <v>1178</v>
      </c>
    </row>
    <row r="321" spans="1:23" x14ac:dyDescent="0.3">
      <c r="A321" t="s">
        <v>1335</v>
      </c>
      <c r="B321">
        <v>2022</v>
      </c>
      <c r="C321">
        <v>66.805288387192547</v>
      </c>
      <c r="D321">
        <v>378564</v>
      </c>
      <c r="E321">
        <v>59784170.367892161</v>
      </c>
      <c r="F321">
        <v>5319</v>
      </c>
      <c r="G321">
        <v>14275</v>
      </c>
      <c r="H321">
        <v>5.35178894337561E-5</v>
      </c>
      <c r="I321">
        <v>197</v>
      </c>
      <c r="J321">
        <v>1.5503875968992199E-2</v>
      </c>
      <c r="K321">
        <v>4</v>
      </c>
      <c r="L321">
        <v>0</v>
      </c>
      <c r="M321">
        <v>173</v>
      </c>
      <c r="N321">
        <v>0.27656972686171483</v>
      </c>
      <c r="O321">
        <v>-0.30300537705342301</v>
      </c>
      <c r="P321">
        <v>71484341.036941305</v>
      </c>
      <c r="Q321">
        <v>19834.796442500861</v>
      </c>
      <c r="R321" t="s">
        <v>23</v>
      </c>
      <c r="S321" t="s">
        <v>24</v>
      </c>
      <c r="T321" t="s">
        <v>24</v>
      </c>
      <c r="U321">
        <v>360524</v>
      </c>
      <c r="V321">
        <v>324820</v>
      </c>
      <c r="W321">
        <v>35704</v>
      </c>
    </row>
    <row r="322" spans="1:23" x14ac:dyDescent="0.3">
      <c r="A322" t="s">
        <v>1336</v>
      </c>
      <c r="B322">
        <v>2022</v>
      </c>
      <c r="C322">
        <v>3.5079063733303739</v>
      </c>
      <c r="D322">
        <v>6864</v>
      </c>
      <c r="E322">
        <v>496639.671875</v>
      </c>
      <c r="F322">
        <v>128</v>
      </c>
      <c r="G322">
        <v>249</v>
      </c>
      <c r="H322">
        <v>8.4193745653559997E-4</v>
      </c>
      <c r="I322">
        <v>9</v>
      </c>
      <c r="J322">
        <v>0</v>
      </c>
      <c r="K322">
        <v>0</v>
      </c>
      <c r="L322">
        <v>0</v>
      </c>
      <c r="M322">
        <v>7</v>
      </c>
      <c r="N322">
        <v>0.37096344314827029</v>
      </c>
      <c r="O322">
        <v>-0.3434290579730338</v>
      </c>
      <c r="P322">
        <v>60042916.894151293</v>
      </c>
      <c r="Q322">
        <v>19829.061387071801</v>
      </c>
      <c r="R322" t="s">
        <v>464</v>
      </c>
      <c r="S322" t="s">
        <v>496</v>
      </c>
      <c r="T322" t="s">
        <v>497</v>
      </c>
      <c r="U322">
        <v>6548</v>
      </c>
      <c r="V322">
        <v>4384</v>
      </c>
      <c r="W322">
        <v>2164</v>
      </c>
    </row>
    <row r="323" spans="1:23" x14ac:dyDescent="0.3">
      <c r="A323" t="s">
        <v>1337</v>
      </c>
      <c r="B323">
        <v>2022</v>
      </c>
      <c r="C323">
        <v>6.9874430440091784</v>
      </c>
      <c r="D323">
        <v>15962</v>
      </c>
      <c r="E323">
        <v>3432409.760477941</v>
      </c>
      <c r="F323">
        <v>792</v>
      </c>
      <c r="G323">
        <v>377</v>
      </c>
      <c r="H323">
        <v>8.6135724866399997E-4</v>
      </c>
      <c r="I323">
        <v>17</v>
      </c>
      <c r="J323">
        <v>6.8965517241379296E-2</v>
      </c>
      <c r="K323">
        <v>1</v>
      </c>
      <c r="L323">
        <v>0</v>
      </c>
      <c r="M323">
        <v>4</v>
      </c>
      <c r="P323">
        <v>26660543.008029629</v>
      </c>
      <c r="Q323">
        <v>18971.642012975892</v>
      </c>
      <c r="R323" t="s">
        <v>195</v>
      </c>
      <c r="S323" t="s">
        <v>196</v>
      </c>
      <c r="T323" t="s">
        <v>199</v>
      </c>
      <c r="U323">
        <v>11013</v>
      </c>
      <c r="V323">
        <v>7249</v>
      </c>
      <c r="W323">
        <v>3764</v>
      </c>
    </row>
    <row r="324" spans="1:23" x14ac:dyDescent="0.3">
      <c r="A324" t="s">
        <v>1338</v>
      </c>
      <c r="B324">
        <v>2022</v>
      </c>
      <c r="C324">
        <v>1.5799725852698761</v>
      </c>
      <c r="D324">
        <v>18891</v>
      </c>
      <c r="E324">
        <v>6643461.6333333338</v>
      </c>
      <c r="F324">
        <v>318</v>
      </c>
      <c r="G324">
        <v>709</v>
      </c>
      <c r="H324">
        <v>1.3474775664679999E-4</v>
      </c>
      <c r="I324">
        <v>12</v>
      </c>
      <c r="J324">
        <v>0</v>
      </c>
      <c r="K324">
        <v>0</v>
      </c>
      <c r="L324">
        <v>0</v>
      </c>
      <c r="M324">
        <v>7</v>
      </c>
      <c r="N324">
        <v>0.40126257974416529</v>
      </c>
      <c r="O324">
        <v>-0.3275926803764066</v>
      </c>
      <c r="P324">
        <v>335625081.94941652</v>
      </c>
      <c r="Q324">
        <v>17472.776214621019</v>
      </c>
      <c r="R324" t="s">
        <v>656</v>
      </c>
      <c r="S324" t="s">
        <v>807</v>
      </c>
      <c r="T324" t="s">
        <v>809</v>
      </c>
      <c r="U324">
        <v>18031</v>
      </c>
      <c r="V324">
        <v>5157</v>
      </c>
      <c r="W324">
        <v>12874</v>
      </c>
    </row>
    <row r="325" spans="1:23" x14ac:dyDescent="0.3">
      <c r="A325" t="s">
        <v>1339</v>
      </c>
      <c r="B325">
        <v>2022</v>
      </c>
      <c r="C325">
        <v>2.0569136281915621</v>
      </c>
      <c r="D325">
        <v>50228</v>
      </c>
      <c r="E325">
        <v>3724403.4375</v>
      </c>
      <c r="F325">
        <v>89</v>
      </c>
      <c r="G325">
        <v>789</v>
      </c>
      <c r="H325">
        <v>2.536777049628E-4</v>
      </c>
      <c r="I325">
        <v>19</v>
      </c>
      <c r="J325">
        <v>0</v>
      </c>
      <c r="K325">
        <v>0</v>
      </c>
      <c r="L325">
        <v>0</v>
      </c>
      <c r="M325">
        <v>27</v>
      </c>
      <c r="N325">
        <v>0.51134007128727699</v>
      </c>
      <c r="O325">
        <v>-0.2349590510166055</v>
      </c>
      <c r="P325">
        <v>230993395.79596609</v>
      </c>
      <c r="Q325">
        <v>17137.082292336268</v>
      </c>
      <c r="R325" t="s">
        <v>195</v>
      </c>
      <c r="S325" t="s">
        <v>207</v>
      </c>
      <c r="T325" t="s">
        <v>207</v>
      </c>
      <c r="U325">
        <v>47939</v>
      </c>
      <c r="V325">
        <v>27005</v>
      </c>
      <c r="W325">
        <v>20934</v>
      </c>
    </row>
    <row r="326" spans="1:23" x14ac:dyDescent="0.3">
      <c r="A326" t="s">
        <v>1340</v>
      </c>
      <c r="B326">
        <v>2022</v>
      </c>
      <c r="C326">
        <v>1.751745005150861</v>
      </c>
      <c r="D326">
        <v>15000</v>
      </c>
      <c r="E326">
        <v>1489179.984375</v>
      </c>
      <c r="F326">
        <v>102</v>
      </c>
      <c r="G326">
        <v>300</v>
      </c>
      <c r="H326">
        <v>3.8613512115140002E-4</v>
      </c>
      <c r="I326">
        <v>13</v>
      </c>
      <c r="J326">
        <v>0</v>
      </c>
      <c r="K326">
        <v>0</v>
      </c>
      <c r="L326">
        <v>0</v>
      </c>
      <c r="M326">
        <v>2</v>
      </c>
      <c r="N326">
        <v>0.28869452910161408</v>
      </c>
      <c r="O326">
        <v>-0.24779660931715169</v>
      </c>
      <c r="P326">
        <v>491749748.25217068</v>
      </c>
      <c r="Q326">
        <v>17050.088884964342</v>
      </c>
      <c r="R326" t="s">
        <v>410</v>
      </c>
      <c r="S326" t="s">
        <v>463</v>
      </c>
      <c r="T326" t="s">
        <v>463</v>
      </c>
      <c r="U326">
        <v>14305</v>
      </c>
      <c r="V326">
        <v>3222</v>
      </c>
      <c r="W326">
        <v>11083</v>
      </c>
    </row>
    <row r="327" spans="1:23" x14ac:dyDescent="0.3">
      <c r="A327" t="s">
        <v>1341</v>
      </c>
      <c r="B327">
        <v>2022</v>
      </c>
      <c r="C327">
        <v>0.74858129420357133</v>
      </c>
      <c r="D327">
        <v>8374</v>
      </c>
      <c r="E327">
        <v>742366.609375</v>
      </c>
      <c r="F327">
        <v>39</v>
      </c>
      <c r="G327">
        <v>244</v>
      </c>
      <c r="H327">
        <v>1.7718611730050001E-4</v>
      </c>
      <c r="I327">
        <v>6</v>
      </c>
      <c r="J327">
        <v>0</v>
      </c>
      <c r="K327">
        <v>0</v>
      </c>
      <c r="L327">
        <v>0</v>
      </c>
      <c r="M327">
        <v>26</v>
      </c>
      <c r="N327">
        <v>0.6450959030925969</v>
      </c>
      <c r="O327">
        <v>-0.30618025997289861</v>
      </c>
      <c r="P327">
        <v>424954334.29311907</v>
      </c>
      <c r="Q327">
        <v>17016.092460162239</v>
      </c>
      <c r="R327" t="s">
        <v>878</v>
      </c>
      <c r="S327" t="s">
        <v>885</v>
      </c>
      <c r="T327" t="s">
        <v>886</v>
      </c>
      <c r="U327">
        <v>7876</v>
      </c>
      <c r="V327">
        <v>3572</v>
      </c>
      <c r="W327">
        <v>4304</v>
      </c>
    </row>
    <row r="328" spans="1:23" x14ac:dyDescent="0.3">
      <c r="A328" t="s">
        <v>1342</v>
      </c>
      <c r="B328">
        <v>2022</v>
      </c>
      <c r="C328">
        <v>15.882304036606159</v>
      </c>
      <c r="D328">
        <v>318397</v>
      </c>
      <c r="E328">
        <v>31655425.207414221</v>
      </c>
      <c r="F328">
        <v>947</v>
      </c>
      <c r="G328">
        <v>4256</v>
      </c>
      <c r="H328">
        <v>1.6277019631030001E-4</v>
      </c>
      <c r="I328">
        <v>13</v>
      </c>
      <c r="J328">
        <v>0</v>
      </c>
      <c r="K328">
        <v>0</v>
      </c>
      <c r="L328">
        <v>0</v>
      </c>
      <c r="M328">
        <v>33</v>
      </c>
      <c r="N328">
        <v>0.19150436481650621</v>
      </c>
      <c r="O328">
        <v>3.06681523876009E-2</v>
      </c>
      <c r="P328">
        <v>341882967.24813831</v>
      </c>
      <c r="Q328">
        <v>16674.111869649911</v>
      </c>
      <c r="R328" t="s">
        <v>410</v>
      </c>
      <c r="S328" t="s">
        <v>426</v>
      </c>
      <c r="T328" t="s">
        <v>361</v>
      </c>
      <c r="U328">
        <v>303831</v>
      </c>
      <c r="V328">
        <v>105221</v>
      </c>
      <c r="W328">
        <v>198610</v>
      </c>
    </row>
    <row r="329" spans="1:23" x14ac:dyDescent="0.3">
      <c r="A329" t="s">
        <v>1343</v>
      </c>
      <c r="B329">
        <v>2022</v>
      </c>
      <c r="C329">
        <v>1.0302968521028379</v>
      </c>
      <c r="D329">
        <v>41836</v>
      </c>
      <c r="E329">
        <v>8989954.5601715688</v>
      </c>
      <c r="F329">
        <v>133</v>
      </c>
      <c r="G329">
        <v>1105</v>
      </c>
      <c r="H329">
        <v>1.2576528341010001E-4</v>
      </c>
      <c r="I329">
        <v>12</v>
      </c>
      <c r="J329">
        <v>3.6953242835595701E-2</v>
      </c>
      <c r="K329">
        <v>3</v>
      </c>
      <c r="L329">
        <v>0</v>
      </c>
      <c r="M329">
        <v>7</v>
      </c>
      <c r="N329">
        <v>0.28571584264741079</v>
      </c>
      <c r="O329">
        <v>-0.25600305379287541</v>
      </c>
      <c r="P329">
        <v>1146704835.1027229</v>
      </c>
      <c r="Q329">
        <v>16646.313682953059</v>
      </c>
      <c r="R329" t="s">
        <v>944</v>
      </c>
      <c r="S329" t="s">
        <v>944</v>
      </c>
      <c r="T329" t="s">
        <v>1008</v>
      </c>
      <c r="U329">
        <v>39988</v>
      </c>
      <c r="V329">
        <v>15668</v>
      </c>
      <c r="W329">
        <v>24320</v>
      </c>
    </row>
    <row r="330" spans="1:23" x14ac:dyDescent="0.3">
      <c r="A330" t="s">
        <v>1344</v>
      </c>
      <c r="B330">
        <v>2022</v>
      </c>
      <c r="C330">
        <v>0.77041289200961049</v>
      </c>
      <c r="D330">
        <v>7207</v>
      </c>
      <c r="E330">
        <v>496077.375</v>
      </c>
      <c r="F330">
        <v>32</v>
      </c>
      <c r="G330">
        <v>465</v>
      </c>
      <c r="H330">
        <v>8.3760642017990703E-5</v>
      </c>
      <c r="I330">
        <v>22</v>
      </c>
      <c r="J330">
        <v>0</v>
      </c>
      <c r="K330">
        <v>0</v>
      </c>
      <c r="L330">
        <v>0</v>
      </c>
      <c r="M330">
        <v>1</v>
      </c>
      <c r="N330">
        <v>0.48106854920460879</v>
      </c>
      <c r="O330">
        <v>-0.28500009558605077</v>
      </c>
      <c r="P330">
        <v>983900796.22209716</v>
      </c>
      <c r="Q330">
        <v>16571.753379279089</v>
      </c>
      <c r="R330" t="s">
        <v>23</v>
      </c>
      <c r="S330" t="s">
        <v>24</v>
      </c>
      <c r="T330" t="s">
        <v>32</v>
      </c>
      <c r="U330">
        <v>6882</v>
      </c>
      <c r="V330">
        <v>2536</v>
      </c>
      <c r="W330">
        <v>4346</v>
      </c>
    </row>
    <row r="331" spans="1:23" x14ac:dyDescent="0.3">
      <c r="A331" t="s">
        <v>1345</v>
      </c>
      <c r="B331">
        <v>2022</v>
      </c>
      <c r="C331">
        <v>10.8171784735146</v>
      </c>
      <c r="D331">
        <v>8892</v>
      </c>
      <c r="E331">
        <v>2152399.911458333</v>
      </c>
      <c r="F331">
        <v>1612</v>
      </c>
      <c r="G331">
        <v>628</v>
      </c>
      <c r="H331">
        <v>2.8511732611859999E-4</v>
      </c>
      <c r="I331">
        <v>22</v>
      </c>
      <c r="J331">
        <v>0</v>
      </c>
      <c r="K331">
        <v>0</v>
      </c>
      <c r="L331">
        <v>0</v>
      </c>
      <c r="M331">
        <v>1</v>
      </c>
      <c r="N331">
        <v>0.49613621209853959</v>
      </c>
      <c r="O331">
        <v>-0.34108735736562162</v>
      </c>
      <c r="P331">
        <v>25331206.106013741</v>
      </c>
      <c r="Q331">
        <v>16243.232819629469</v>
      </c>
      <c r="R331" t="s">
        <v>23</v>
      </c>
      <c r="S331" t="s">
        <v>24</v>
      </c>
      <c r="T331" t="s">
        <v>35</v>
      </c>
      <c r="U331">
        <v>8497</v>
      </c>
      <c r="V331">
        <v>5549</v>
      </c>
      <c r="W331">
        <v>2948</v>
      </c>
    </row>
    <row r="332" spans="1:23" x14ac:dyDescent="0.3">
      <c r="A332" t="s">
        <v>1346</v>
      </c>
      <c r="B332">
        <v>2022</v>
      </c>
      <c r="C332">
        <v>1.51746163297514</v>
      </c>
      <c r="D332">
        <v>15688</v>
      </c>
      <c r="E332">
        <v>2234143.453125</v>
      </c>
      <c r="F332">
        <v>134</v>
      </c>
      <c r="G332">
        <v>131</v>
      </c>
      <c r="H332">
        <v>2.4649204182835998E-3</v>
      </c>
      <c r="I332">
        <v>6</v>
      </c>
      <c r="J332">
        <v>0</v>
      </c>
      <c r="K332">
        <v>0</v>
      </c>
      <c r="L332">
        <v>0</v>
      </c>
      <c r="M332">
        <v>3</v>
      </c>
      <c r="P332">
        <v>150404831.13606629</v>
      </c>
      <c r="Q332">
        <v>16127.10434004021</v>
      </c>
      <c r="R332" t="s">
        <v>590</v>
      </c>
      <c r="S332" t="s">
        <v>599</v>
      </c>
      <c r="T332" t="s">
        <v>599</v>
      </c>
      <c r="U332">
        <v>14960</v>
      </c>
      <c r="V332">
        <v>5368</v>
      </c>
      <c r="W332">
        <v>9592</v>
      </c>
    </row>
    <row r="333" spans="1:23" x14ac:dyDescent="0.3">
      <c r="A333" t="s">
        <v>1347</v>
      </c>
      <c r="B333">
        <v>2022</v>
      </c>
      <c r="C333">
        <v>0.94507366674189164</v>
      </c>
      <c r="D333">
        <v>15961</v>
      </c>
      <c r="E333">
        <v>4442588.5762867648</v>
      </c>
      <c r="F333">
        <v>169</v>
      </c>
      <c r="G333">
        <v>452</v>
      </c>
      <c r="H333">
        <v>1.9988265612229999E-4</v>
      </c>
      <c r="I333">
        <v>3</v>
      </c>
      <c r="J333">
        <v>0</v>
      </c>
      <c r="K333">
        <v>0</v>
      </c>
      <c r="L333">
        <v>0</v>
      </c>
      <c r="M333">
        <v>2</v>
      </c>
      <c r="N333">
        <v>0.44943747352670221</v>
      </c>
      <c r="O333">
        <v>-0.36340192307493768</v>
      </c>
      <c r="P333">
        <v>369578754.24179113</v>
      </c>
      <c r="Q333">
        <v>15565.20896763143</v>
      </c>
      <c r="R333" t="s">
        <v>503</v>
      </c>
      <c r="S333" t="s">
        <v>543</v>
      </c>
      <c r="T333" t="s">
        <v>543</v>
      </c>
      <c r="U333">
        <v>15167</v>
      </c>
      <c r="V333">
        <v>9237</v>
      </c>
      <c r="W333">
        <v>5930</v>
      </c>
    </row>
    <row r="334" spans="1:23" x14ac:dyDescent="0.3">
      <c r="A334" t="s">
        <v>1348</v>
      </c>
      <c r="B334">
        <v>2022</v>
      </c>
      <c r="C334">
        <v>0.70213250571384811</v>
      </c>
      <c r="D334">
        <v>7920</v>
      </c>
      <c r="E334">
        <v>744924.421875</v>
      </c>
      <c r="F334">
        <v>43</v>
      </c>
      <c r="G334">
        <v>320</v>
      </c>
      <c r="H334">
        <v>1.180929100852E-4</v>
      </c>
      <c r="I334">
        <v>24</v>
      </c>
      <c r="J334">
        <v>0</v>
      </c>
      <c r="K334">
        <v>0</v>
      </c>
      <c r="L334">
        <v>0</v>
      </c>
      <c r="M334">
        <v>35</v>
      </c>
      <c r="P334">
        <v>775930877.00557804</v>
      </c>
      <c r="Q334">
        <v>15358.105793356041</v>
      </c>
      <c r="R334" t="s">
        <v>195</v>
      </c>
      <c r="S334" t="s">
        <v>231</v>
      </c>
      <c r="T334" t="s">
        <v>231</v>
      </c>
      <c r="U334">
        <v>7540</v>
      </c>
      <c r="V334">
        <v>2305</v>
      </c>
      <c r="W334">
        <v>5235</v>
      </c>
    </row>
    <row r="335" spans="1:23" x14ac:dyDescent="0.3">
      <c r="A335" t="s">
        <v>1349</v>
      </c>
      <c r="B335">
        <v>2022</v>
      </c>
      <c r="C335">
        <v>1.114998263110573</v>
      </c>
      <c r="D335">
        <v>2668</v>
      </c>
      <c r="E335">
        <v>743906.9375</v>
      </c>
      <c r="F335">
        <v>210</v>
      </c>
      <c r="G335">
        <v>142</v>
      </c>
      <c r="H335">
        <v>5.6298381421529997E-4</v>
      </c>
      <c r="I335">
        <v>3</v>
      </c>
      <c r="J335">
        <v>0.22222222222222221</v>
      </c>
      <c r="K335">
        <v>1</v>
      </c>
      <c r="L335">
        <v>0</v>
      </c>
      <c r="M335">
        <v>0</v>
      </c>
      <c r="N335">
        <v>0.54224660703275063</v>
      </c>
      <c r="O335">
        <v>-0.23036015297882981</v>
      </c>
      <c r="P335">
        <v>128951230.37179869</v>
      </c>
      <c r="Q335">
        <v>14804.293268158881</v>
      </c>
      <c r="R335" t="s">
        <v>678</v>
      </c>
      <c r="S335" t="s">
        <v>718</v>
      </c>
      <c r="T335" t="s">
        <v>718</v>
      </c>
      <c r="U335">
        <v>2535</v>
      </c>
      <c r="V335">
        <v>1463</v>
      </c>
      <c r="W335">
        <v>1072</v>
      </c>
    </row>
    <row r="336" spans="1:23" x14ac:dyDescent="0.3">
      <c r="A336" t="s">
        <v>1350</v>
      </c>
      <c r="B336">
        <v>2022</v>
      </c>
      <c r="C336">
        <v>2.5614508212117681</v>
      </c>
      <c r="D336">
        <v>4012</v>
      </c>
      <c r="E336">
        <v>2182033.1556372549</v>
      </c>
      <c r="F336">
        <v>952</v>
      </c>
      <c r="G336">
        <v>175</v>
      </c>
      <c r="H336">
        <v>1.1010015070653E-3</v>
      </c>
      <c r="I336">
        <v>5</v>
      </c>
      <c r="J336">
        <v>0</v>
      </c>
      <c r="K336">
        <v>0</v>
      </c>
      <c r="L336">
        <v>0</v>
      </c>
      <c r="M336">
        <v>4</v>
      </c>
      <c r="N336">
        <v>0.13371941151960259</v>
      </c>
      <c r="O336">
        <v>-0.23766364660148831</v>
      </c>
      <c r="P336">
        <v>37826360.466780372</v>
      </c>
      <c r="Q336">
        <v>14633.54322122486</v>
      </c>
      <c r="R336" t="s">
        <v>616</v>
      </c>
      <c r="S336" t="s">
        <v>647</v>
      </c>
      <c r="T336" t="s">
        <v>648</v>
      </c>
      <c r="U336">
        <v>3830</v>
      </c>
      <c r="V336">
        <v>579</v>
      </c>
      <c r="W336">
        <v>3251</v>
      </c>
    </row>
    <row r="337" spans="1:23" x14ac:dyDescent="0.3">
      <c r="A337" t="s">
        <v>1351</v>
      </c>
      <c r="B337">
        <v>2022</v>
      </c>
      <c r="C337">
        <v>7.5093485201931287</v>
      </c>
      <c r="D337">
        <v>23697</v>
      </c>
      <c r="E337">
        <v>496260.453125</v>
      </c>
      <c r="F337">
        <v>109</v>
      </c>
      <c r="G337">
        <v>504</v>
      </c>
      <c r="H337">
        <v>8.3340106912160004E-4</v>
      </c>
      <c r="I337">
        <v>7</v>
      </c>
      <c r="J337">
        <v>0</v>
      </c>
      <c r="K337">
        <v>0</v>
      </c>
      <c r="L337">
        <v>0</v>
      </c>
      <c r="M337">
        <v>10</v>
      </c>
      <c r="N337">
        <v>0.52403723442751593</v>
      </c>
      <c r="O337">
        <v>-0.24777987031886489</v>
      </c>
      <c r="P337">
        <v>49300232.450722598</v>
      </c>
      <c r="Q337">
        <v>14427.53253442676</v>
      </c>
      <c r="R337" t="s">
        <v>678</v>
      </c>
      <c r="S337" t="s">
        <v>679</v>
      </c>
      <c r="T337" t="s">
        <v>680</v>
      </c>
      <c r="U337">
        <v>22193</v>
      </c>
      <c r="V337">
        <v>17362</v>
      </c>
      <c r="W337">
        <v>4831</v>
      </c>
    </row>
    <row r="338" spans="1:23" x14ac:dyDescent="0.3">
      <c r="A338" t="s">
        <v>1352</v>
      </c>
      <c r="B338">
        <v>2022</v>
      </c>
      <c r="C338">
        <v>26.7511045047053</v>
      </c>
      <c r="D338">
        <v>197765</v>
      </c>
      <c r="E338">
        <v>61173051.714522026</v>
      </c>
      <c r="F338">
        <v>5754</v>
      </c>
      <c r="G338">
        <v>4126</v>
      </c>
      <c r="H338">
        <v>1.6790212465359999E-4</v>
      </c>
      <c r="I338">
        <v>42</v>
      </c>
      <c r="J338">
        <v>6.0606060606060601E-2</v>
      </c>
      <c r="K338">
        <v>4</v>
      </c>
      <c r="L338">
        <v>0</v>
      </c>
      <c r="M338">
        <v>68</v>
      </c>
      <c r="N338">
        <v>0.23866365758624539</v>
      </c>
      <c r="O338">
        <v>-0.2587110147931882</v>
      </c>
      <c r="P338">
        <v>61940420.657532647</v>
      </c>
      <c r="Q338">
        <v>14380.784334163691</v>
      </c>
      <c r="R338" t="s">
        <v>236</v>
      </c>
      <c r="S338" t="s">
        <v>237</v>
      </c>
      <c r="T338" t="s">
        <v>237</v>
      </c>
      <c r="U338">
        <v>188664</v>
      </c>
      <c r="V338">
        <v>165953</v>
      </c>
      <c r="W338">
        <v>22711</v>
      </c>
    </row>
    <row r="339" spans="1:23" x14ac:dyDescent="0.3">
      <c r="A339" t="s">
        <v>1353</v>
      </c>
      <c r="B339">
        <v>2022</v>
      </c>
      <c r="C339">
        <v>10.64862767927748</v>
      </c>
      <c r="D339">
        <v>175989</v>
      </c>
      <c r="E339">
        <v>32341220.518075991</v>
      </c>
      <c r="F339">
        <v>1362</v>
      </c>
      <c r="G339">
        <v>3579</v>
      </c>
      <c r="H339">
        <v>1.102216911668E-4</v>
      </c>
      <c r="I339">
        <v>45</v>
      </c>
      <c r="J339">
        <v>2.8169014084507001E-2</v>
      </c>
      <c r="K339">
        <v>3</v>
      </c>
      <c r="L339">
        <v>0</v>
      </c>
      <c r="M339">
        <v>74</v>
      </c>
      <c r="N339">
        <v>0.32528921857282828</v>
      </c>
      <c r="O339">
        <v>-0.28225653709590459</v>
      </c>
      <c r="P339">
        <v>243330442.4585571</v>
      </c>
      <c r="Q339">
        <v>14367.705483528411</v>
      </c>
      <c r="R339" t="s">
        <v>464</v>
      </c>
      <c r="S339" t="s">
        <v>465</v>
      </c>
      <c r="T339" t="s">
        <v>466</v>
      </c>
      <c r="U339">
        <v>167180</v>
      </c>
      <c r="V339">
        <v>143530</v>
      </c>
      <c r="W339">
        <v>23650</v>
      </c>
    </row>
    <row r="340" spans="1:23" x14ac:dyDescent="0.3">
      <c r="A340" t="s">
        <v>1354</v>
      </c>
      <c r="B340">
        <v>2022</v>
      </c>
      <c r="C340">
        <v>4.4754281741223263</v>
      </c>
      <c r="D340">
        <v>7878</v>
      </c>
      <c r="E340">
        <v>1560658.036335784</v>
      </c>
      <c r="F340">
        <v>619</v>
      </c>
      <c r="G340">
        <v>195</v>
      </c>
      <c r="H340">
        <v>5.4177607866270005E-4</v>
      </c>
      <c r="I340">
        <v>11</v>
      </c>
      <c r="J340">
        <v>0</v>
      </c>
      <c r="K340">
        <v>0</v>
      </c>
      <c r="L340">
        <v>0</v>
      </c>
      <c r="M340">
        <v>3</v>
      </c>
      <c r="N340">
        <v>0.43910673122203631</v>
      </c>
      <c r="O340">
        <v>-0.30487233129981889</v>
      </c>
      <c r="P340">
        <v>36327238.314407893</v>
      </c>
      <c r="Q340">
        <v>14323.05696194017</v>
      </c>
      <c r="R340" t="s">
        <v>834</v>
      </c>
      <c r="S340" t="s">
        <v>835</v>
      </c>
      <c r="T340" t="s">
        <v>841</v>
      </c>
      <c r="U340">
        <v>7520</v>
      </c>
      <c r="V340">
        <v>2718</v>
      </c>
      <c r="W340">
        <v>4802</v>
      </c>
    </row>
    <row r="341" spans="1:23" x14ac:dyDescent="0.3">
      <c r="A341" t="s">
        <v>1355</v>
      </c>
      <c r="B341">
        <v>2022</v>
      </c>
      <c r="C341">
        <v>3.85062534719453</v>
      </c>
      <c r="D341">
        <v>5291</v>
      </c>
      <c r="E341">
        <v>1944.165196078432</v>
      </c>
      <c r="F341">
        <v>1</v>
      </c>
      <c r="G341">
        <v>188</v>
      </c>
      <c r="H341">
        <v>7.231536583458E-4</v>
      </c>
      <c r="I341">
        <v>12</v>
      </c>
      <c r="J341">
        <v>0</v>
      </c>
      <c r="K341">
        <v>0</v>
      </c>
      <c r="L341">
        <v>0</v>
      </c>
      <c r="M341">
        <v>2</v>
      </c>
      <c r="N341">
        <v>0.55215417612784579</v>
      </c>
      <c r="O341">
        <v>-0.33242443365909241</v>
      </c>
      <c r="P341">
        <v>52207767.948683813</v>
      </c>
      <c r="Q341">
        <v>14149.030019189249</v>
      </c>
      <c r="R341" t="s">
        <v>291</v>
      </c>
      <c r="S341" t="s">
        <v>334</v>
      </c>
      <c r="T341" t="s">
        <v>335</v>
      </c>
      <c r="U341">
        <v>5047</v>
      </c>
      <c r="V341">
        <v>3414</v>
      </c>
      <c r="W341">
        <v>1633</v>
      </c>
    </row>
    <row r="342" spans="1:23" x14ac:dyDescent="0.3">
      <c r="A342" t="s">
        <v>1356</v>
      </c>
      <c r="B342">
        <v>2022</v>
      </c>
      <c r="C342">
        <v>2.0640041873349619</v>
      </c>
      <c r="D342">
        <v>65543</v>
      </c>
      <c r="E342">
        <v>8565660.0443627462</v>
      </c>
      <c r="F342">
        <v>191</v>
      </c>
      <c r="G342">
        <v>1062</v>
      </c>
      <c r="H342">
        <v>8.5512866676205754E-5</v>
      </c>
      <c r="I342">
        <v>19</v>
      </c>
      <c r="J342">
        <v>0</v>
      </c>
      <c r="K342">
        <v>0</v>
      </c>
      <c r="L342">
        <v>0</v>
      </c>
      <c r="M342">
        <v>35</v>
      </c>
      <c r="N342">
        <v>0.408633760743918</v>
      </c>
      <c r="O342">
        <v>-0.27098525002774149</v>
      </c>
      <c r="P342">
        <v>508072175.42837429</v>
      </c>
      <c r="Q342">
        <v>14122.504604788441</v>
      </c>
      <c r="R342" t="s">
        <v>101</v>
      </c>
      <c r="S342" t="s">
        <v>102</v>
      </c>
      <c r="T342" t="s">
        <v>102</v>
      </c>
      <c r="U342">
        <v>62268</v>
      </c>
      <c r="V342">
        <v>29538</v>
      </c>
      <c r="W342">
        <v>32730</v>
      </c>
    </row>
    <row r="343" spans="1:23" x14ac:dyDescent="0.3">
      <c r="A343" t="s">
        <v>1357</v>
      </c>
      <c r="B343">
        <v>2022</v>
      </c>
      <c r="C343">
        <v>2.057593178477251</v>
      </c>
      <c r="D343">
        <v>44607</v>
      </c>
      <c r="E343">
        <v>73412045.510968134</v>
      </c>
      <c r="F343">
        <v>2410</v>
      </c>
      <c r="G343">
        <v>1115</v>
      </c>
      <c r="H343">
        <v>1.055997131714E-4</v>
      </c>
      <c r="I343">
        <v>26</v>
      </c>
      <c r="J343">
        <v>0</v>
      </c>
      <c r="K343">
        <v>0</v>
      </c>
      <c r="L343">
        <v>0</v>
      </c>
      <c r="M343">
        <v>27</v>
      </c>
      <c r="N343">
        <v>0.39049864153355912</v>
      </c>
      <c r="O343">
        <v>-0.35077581181832701</v>
      </c>
      <c r="P343">
        <v>294979973.72974533</v>
      </c>
      <c r="Q343">
        <v>14050.985249177949</v>
      </c>
      <c r="R343" t="s">
        <v>195</v>
      </c>
      <c r="S343" t="s">
        <v>215</v>
      </c>
      <c r="T343" t="s">
        <v>215</v>
      </c>
      <c r="U343">
        <v>42545</v>
      </c>
      <c r="V343">
        <v>20568</v>
      </c>
      <c r="W343">
        <v>21977</v>
      </c>
    </row>
    <row r="344" spans="1:23" x14ac:dyDescent="0.3">
      <c r="A344" t="s">
        <v>1358</v>
      </c>
      <c r="B344">
        <v>2022</v>
      </c>
      <c r="C344">
        <v>1.193110509562834</v>
      </c>
      <c r="D344">
        <v>2374</v>
      </c>
      <c r="E344">
        <v>147991.75888480389</v>
      </c>
      <c r="F344">
        <v>55</v>
      </c>
      <c r="G344">
        <v>80</v>
      </c>
      <c r="H344">
        <v>9.3196040918110004E-4</v>
      </c>
      <c r="I344">
        <v>16</v>
      </c>
      <c r="J344">
        <v>0</v>
      </c>
      <c r="K344">
        <v>0</v>
      </c>
      <c r="L344">
        <v>0</v>
      </c>
      <c r="M344">
        <v>1</v>
      </c>
      <c r="N344">
        <v>0.44426631531496108</v>
      </c>
      <c r="O344">
        <v>-0.35844824135066361</v>
      </c>
      <c r="P344">
        <v>126340622.855841</v>
      </c>
      <c r="Q344">
        <v>13523.054518966719</v>
      </c>
      <c r="R344" t="s">
        <v>834</v>
      </c>
      <c r="S344" t="s">
        <v>868</v>
      </c>
      <c r="T344" t="s">
        <v>872</v>
      </c>
      <c r="U344">
        <v>2266</v>
      </c>
      <c r="V344">
        <v>1115</v>
      </c>
      <c r="W344">
        <v>1151</v>
      </c>
    </row>
    <row r="345" spans="1:23" x14ac:dyDescent="0.3">
      <c r="A345" t="s">
        <v>1359</v>
      </c>
      <c r="B345">
        <v>2022</v>
      </c>
      <c r="C345">
        <v>8.1256181078399443</v>
      </c>
      <c r="D345">
        <v>3418</v>
      </c>
      <c r="E345">
        <v>152860.6020833333</v>
      </c>
      <c r="F345">
        <v>284</v>
      </c>
      <c r="G345">
        <v>116</v>
      </c>
      <c r="H345">
        <v>1.3976037202232999E-3</v>
      </c>
      <c r="I345">
        <v>20</v>
      </c>
      <c r="J345">
        <v>0</v>
      </c>
      <c r="K345">
        <v>0</v>
      </c>
      <c r="L345">
        <v>0</v>
      </c>
      <c r="M345">
        <v>0</v>
      </c>
      <c r="N345">
        <v>0.49418212416724322</v>
      </c>
      <c r="O345">
        <v>-0.33192335090032732</v>
      </c>
      <c r="P345">
        <v>12578332.529853599</v>
      </c>
      <c r="Q345">
        <v>12795.62708881367</v>
      </c>
      <c r="R345" t="s">
        <v>834</v>
      </c>
      <c r="S345" t="s">
        <v>868</v>
      </c>
      <c r="T345" t="s">
        <v>873</v>
      </c>
      <c r="U345">
        <v>3264</v>
      </c>
      <c r="V345">
        <v>1967</v>
      </c>
      <c r="W345">
        <v>1297</v>
      </c>
    </row>
    <row r="346" spans="1:23" x14ac:dyDescent="0.3">
      <c r="A346" t="s">
        <v>1360</v>
      </c>
      <c r="B346">
        <v>2022</v>
      </c>
      <c r="C346">
        <v>1.4616461688726139</v>
      </c>
      <c r="D346">
        <v>12183</v>
      </c>
      <c r="E346">
        <v>496641.5625</v>
      </c>
      <c r="F346">
        <v>47</v>
      </c>
      <c r="G346">
        <v>556</v>
      </c>
      <c r="H346">
        <v>2.9083638094559998E-4</v>
      </c>
      <c r="I346">
        <v>19</v>
      </c>
      <c r="J346">
        <v>0</v>
      </c>
      <c r="K346">
        <v>0</v>
      </c>
      <c r="L346">
        <v>0</v>
      </c>
      <c r="M346">
        <v>23</v>
      </c>
      <c r="N346">
        <v>0.48535812946645968</v>
      </c>
      <c r="O346">
        <v>-0.2377160184661353</v>
      </c>
      <c r="P346">
        <v>244341791.58672729</v>
      </c>
      <c r="Q346">
        <v>12677.488113556101</v>
      </c>
      <c r="R346" t="s">
        <v>994</v>
      </c>
      <c r="S346" t="s">
        <v>995</v>
      </c>
      <c r="T346" t="s">
        <v>998</v>
      </c>
      <c r="U346">
        <v>11628</v>
      </c>
      <c r="V346">
        <v>1649</v>
      </c>
      <c r="W346">
        <v>9979</v>
      </c>
    </row>
    <row r="347" spans="1:23" x14ac:dyDescent="0.3">
      <c r="A347" t="s">
        <v>1361</v>
      </c>
      <c r="B347">
        <v>2022</v>
      </c>
      <c r="C347">
        <v>7.137780994102199</v>
      </c>
      <c r="D347">
        <v>224381</v>
      </c>
      <c r="E347">
        <v>28242327.796875</v>
      </c>
      <c r="F347">
        <v>718</v>
      </c>
      <c r="G347">
        <v>5060</v>
      </c>
      <c r="H347">
        <v>6.1943818797238398E-5</v>
      </c>
      <c r="I347">
        <v>8</v>
      </c>
      <c r="J347">
        <v>0</v>
      </c>
      <c r="K347">
        <v>0</v>
      </c>
      <c r="L347">
        <v>0</v>
      </c>
      <c r="M347">
        <v>53</v>
      </c>
      <c r="N347">
        <v>0.48950723683874459</v>
      </c>
      <c r="O347">
        <v>-0.28561813110095702</v>
      </c>
      <c r="P347">
        <v>284771384.55177629</v>
      </c>
      <c r="Q347">
        <v>12512.762010218081</v>
      </c>
      <c r="R347" t="s">
        <v>503</v>
      </c>
      <c r="S347" t="s">
        <v>503</v>
      </c>
      <c r="T347" t="s">
        <v>503</v>
      </c>
      <c r="U347">
        <v>213130</v>
      </c>
      <c r="V347">
        <v>173785</v>
      </c>
      <c r="W347">
        <v>39345</v>
      </c>
    </row>
    <row r="348" spans="1:23" x14ac:dyDescent="0.3">
      <c r="A348" t="s">
        <v>1362</v>
      </c>
      <c r="B348">
        <v>2022</v>
      </c>
      <c r="C348">
        <v>2.1727678819841301</v>
      </c>
      <c r="D348">
        <v>57251</v>
      </c>
      <c r="E348">
        <v>7447765.609375</v>
      </c>
      <c r="F348">
        <v>226</v>
      </c>
      <c r="G348">
        <v>1090</v>
      </c>
      <c r="H348">
        <v>1.5643766427280001E-4</v>
      </c>
      <c r="I348">
        <v>22</v>
      </c>
      <c r="J348">
        <v>0</v>
      </c>
      <c r="K348">
        <v>0</v>
      </c>
      <c r="L348">
        <v>0</v>
      </c>
      <c r="M348">
        <v>39</v>
      </c>
      <c r="N348">
        <v>0.29362296883301942</v>
      </c>
      <c r="O348">
        <v>-0.27690265525959618</v>
      </c>
      <c r="P348">
        <v>384915169.30222178</v>
      </c>
      <c r="Q348">
        <v>12506.846430317761</v>
      </c>
      <c r="R348" t="s">
        <v>616</v>
      </c>
      <c r="S348" t="s">
        <v>639</v>
      </c>
      <c r="T348" t="s">
        <v>639</v>
      </c>
      <c r="U348">
        <v>54438</v>
      </c>
      <c r="V348">
        <v>19431</v>
      </c>
      <c r="W348">
        <v>35007</v>
      </c>
    </row>
    <row r="349" spans="1:23" x14ac:dyDescent="0.3">
      <c r="A349" t="s">
        <v>1363</v>
      </c>
      <c r="B349">
        <v>2022</v>
      </c>
      <c r="C349">
        <v>5.3463921036745878</v>
      </c>
      <c r="D349">
        <v>7648</v>
      </c>
      <c r="E349">
        <v>3228755.4239583332</v>
      </c>
      <c r="F349">
        <v>1814</v>
      </c>
      <c r="G349">
        <v>551</v>
      </c>
      <c r="H349">
        <v>3.3056772889759997E-4</v>
      </c>
      <c r="I349">
        <v>18</v>
      </c>
      <c r="J349">
        <v>0</v>
      </c>
      <c r="K349">
        <v>0</v>
      </c>
      <c r="L349">
        <v>0</v>
      </c>
      <c r="M349">
        <v>5</v>
      </c>
      <c r="N349">
        <v>0.47010704760652039</v>
      </c>
      <c r="O349">
        <v>-0.32052494218337269</v>
      </c>
      <c r="P349">
        <v>37927340.137363829</v>
      </c>
      <c r="Q349">
        <v>12442.59007647641</v>
      </c>
      <c r="R349" t="s">
        <v>195</v>
      </c>
      <c r="S349" t="s">
        <v>196</v>
      </c>
      <c r="T349" t="s">
        <v>198</v>
      </c>
      <c r="U349">
        <v>7269</v>
      </c>
      <c r="V349">
        <v>4123</v>
      </c>
      <c r="W349">
        <v>3146</v>
      </c>
    </row>
    <row r="350" spans="1:23" x14ac:dyDescent="0.3">
      <c r="A350" t="s">
        <v>1364</v>
      </c>
      <c r="B350">
        <v>2022</v>
      </c>
      <c r="C350">
        <v>3.7388634666211189</v>
      </c>
      <c r="D350">
        <v>51654</v>
      </c>
      <c r="E350">
        <v>8707977.406740196</v>
      </c>
      <c r="F350">
        <v>517</v>
      </c>
      <c r="G350">
        <v>903</v>
      </c>
      <c r="H350">
        <v>3.0401199188159999E-4</v>
      </c>
      <c r="I350">
        <v>5</v>
      </c>
      <c r="J350">
        <v>0</v>
      </c>
      <c r="K350">
        <v>0</v>
      </c>
      <c r="L350">
        <v>0</v>
      </c>
      <c r="M350">
        <v>25</v>
      </c>
      <c r="N350">
        <v>0.40325576720175521</v>
      </c>
      <c r="O350">
        <v>-0.2491114425901029</v>
      </c>
      <c r="P350">
        <v>254845272.22283539</v>
      </c>
      <c r="Q350">
        <v>12191.64753146683</v>
      </c>
      <c r="R350" t="s">
        <v>656</v>
      </c>
      <c r="S350" t="s">
        <v>807</v>
      </c>
      <c r="T350" t="s">
        <v>807</v>
      </c>
      <c r="U350">
        <v>49187</v>
      </c>
      <c r="V350">
        <v>38664</v>
      </c>
      <c r="W350">
        <v>10523</v>
      </c>
    </row>
    <row r="351" spans="1:23" x14ac:dyDescent="0.3">
      <c r="A351" t="s">
        <v>1365</v>
      </c>
      <c r="B351">
        <v>2022</v>
      </c>
      <c r="C351">
        <v>1.5181792447094391</v>
      </c>
      <c r="D351">
        <v>18237</v>
      </c>
      <c r="E351">
        <v>496453.859375</v>
      </c>
      <c r="F351">
        <v>35</v>
      </c>
      <c r="G351">
        <v>225</v>
      </c>
      <c r="H351">
        <v>6.5529530322029996E-4</v>
      </c>
      <c r="I351">
        <v>36</v>
      </c>
      <c r="J351">
        <v>0</v>
      </c>
      <c r="K351">
        <v>0</v>
      </c>
      <c r="L351">
        <v>0</v>
      </c>
      <c r="M351">
        <v>4</v>
      </c>
      <c r="N351">
        <v>0.37664702519265031</v>
      </c>
      <c r="O351">
        <v>-0.26456524706862561</v>
      </c>
      <c r="P351">
        <v>138363257.0630697</v>
      </c>
      <c r="Q351">
        <v>11808.11294556629</v>
      </c>
      <c r="R351" t="s">
        <v>590</v>
      </c>
      <c r="S351" t="s">
        <v>607</v>
      </c>
      <c r="T351" t="s">
        <v>608</v>
      </c>
      <c r="U351">
        <v>17378</v>
      </c>
      <c r="V351">
        <v>3328</v>
      </c>
      <c r="W351">
        <v>14050</v>
      </c>
    </row>
    <row r="352" spans="1:23" x14ac:dyDescent="0.3">
      <c r="A352" t="s">
        <v>1366</v>
      </c>
      <c r="B352">
        <v>2022</v>
      </c>
      <c r="C352">
        <v>0.83285142787500288</v>
      </c>
      <c r="D352">
        <v>2036</v>
      </c>
      <c r="E352">
        <v>150928.25723039219</v>
      </c>
      <c r="F352">
        <v>53</v>
      </c>
      <c r="G352">
        <v>196</v>
      </c>
      <c r="H352">
        <v>1.9409209778890001E-4</v>
      </c>
      <c r="I352">
        <v>2</v>
      </c>
      <c r="J352">
        <v>0</v>
      </c>
      <c r="K352">
        <v>0</v>
      </c>
      <c r="L352">
        <v>0</v>
      </c>
      <c r="M352">
        <v>12</v>
      </c>
      <c r="P352">
        <v>84817419.47465466</v>
      </c>
      <c r="Q352">
        <v>11648.887435687609</v>
      </c>
      <c r="R352" t="s">
        <v>195</v>
      </c>
      <c r="S352" t="s">
        <v>231</v>
      </c>
      <c r="T352" t="s">
        <v>233</v>
      </c>
      <c r="U352">
        <v>1941</v>
      </c>
      <c r="V352">
        <v>114</v>
      </c>
      <c r="W352">
        <v>1827</v>
      </c>
    </row>
    <row r="353" spans="1:23" x14ac:dyDescent="0.3">
      <c r="A353" t="s">
        <v>1367</v>
      </c>
      <c r="B353">
        <v>2022</v>
      </c>
      <c r="C353">
        <v>0.87060322900523635</v>
      </c>
      <c r="D353">
        <v>1454</v>
      </c>
      <c r="E353">
        <v>1944.1741421568629</v>
      </c>
      <c r="F353">
        <v>1</v>
      </c>
      <c r="G353">
        <v>151</v>
      </c>
      <c r="H353">
        <v>2.9158621419309998E-4</v>
      </c>
      <c r="I353">
        <v>8</v>
      </c>
      <c r="J353">
        <v>0</v>
      </c>
      <c r="K353">
        <v>0</v>
      </c>
      <c r="L353">
        <v>0</v>
      </c>
      <c r="M353">
        <v>0</v>
      </c>
      <c r="N353">
        <v>0.40019579541198208</v>
      </c>
      <c r="O353">
        <v>-0.31868342218099938</v>
      </c>
      <c r="P353">
        <v>154489740.52742019</v>
      </c>
      <c r="Q353">
        <v>11641.019848075999</v>
      </c>
      <c r="R353" t="s">
        <v>23</v>
      </c>
      <c r="S353" t="s">
        <v>59</v>
      </c>
      <c r="T353" t="s">
        <v>61</v>
      </c>
      <c r="U353">
        <v>1388</v>
      </c>
      <c r="V353">
        <v>397</v>
      </c>
      <c r="W353">
        <v>991</v>
      </c>
    </row>
    <row r="354" spans="1:23" x14ac:dyDescent="0.3">
      <c r="A354" t="s">
        <v>1368</v>
      </c>
      <c r="B354">
        <v>2022</v>
      </c>
      <c r="C354">
        <v>0.79098112599467751</v>
      </c>
      <c r="D354">
        <v>16052</v>
      </c>
      <c r="E354">
        <v>1986366.109375</v>
      </c>
      <c r="F354">
        <v>88</v>
      </c>
      <c r="G354">
        <v>499</v>
      </c>
      <c r="H354">
        <v>5.0206537657290003E-4</v>
      </c>
      <c r="I354">
        <v>13</v>
      </c>
      <c r="J354">
        <v>3.1746031746031703E-2</v>
      </c>
      <c r="K354">
        <v>1</v>
      </c>
      <c r="L354">
        <v>0</v>
      </c>
      <c r="M354">
        <v>1</v>
      </c>
      <c r="N354">
        <v>0.52079598583627262</v>
      </c>
      <c r="O354">
        <v>-0.29104404979641829</v>
      </c>
      <c r="P354">
        <v>979326879.88451958</v>
      </c>
      <c r="Q354">
        <v>11122.78632676121</v>
      </c>
      <c r="R354" t="s">
        <v>734</v>
      </c>
      <c r="S354" t="s">
        <v>743</v>
      </c>
      <c r="T354" t="s">
        <v>743</v>
      </c>
      <c r="U354">
        <v>14873</v>
      </c>
      <c r="V354">
        <v>5634</v>
      </c>
      <c r="W354">
        <v>9239</v>
      </c>
    </row>
    <row r="355" spans="1:23" x14ac:dyDescent="0.3">
      <c r="A355" t="s">
        <v>1369</v>
      </c>
      <c r="B355">
        <v>2022</v>
      </c>
      <c r="C355">
        <v>0.90336429884032021</v>
      </c>
      <c r="D355">
        <v>7072</v>
      </c>
      <c r="E355">
        <v>496651.59375</v>
      </c>
      <c r="F355">
        <v>60</v>
      </c>
      <c r="G355">
        <v>291</v>
      </c>
      <c r="H355">
        <v>4.2605887095600002E-4</v>
      </c>
      <c r="I355">
        <v>3</v>
      </c>
      <c r="J355">
        <v>4.7732696897374001E-3</v>
      </c>
      <c r="K355">
        <v>1</v>
      </c>
      <c r="L355">
        <v>0</v>
      </c>
      <c r="M355">
        <v>0</v>
      </c>
      <c r="N355">
        <v>0.62796948186424695</v>
      </c>
      <c r="O355">
        <v>-0.25286807874121181</v>
      </c>
      <c r="P355">
        <v>1108590008.749454</v>
      </c>
      <c r="Q355">
        <v>10573.56049104205</v>
      </c>
      <c r="R355" t="s">
        <v>926</v>
      </c>
      <c r="S355" t="s">
        <v>960</v>
      </c>
      <c r="T355" t="s">
        <v>961</v>
      </c>
      <c r="U355">
        <v>6739</v>
      </c>
      <c r="V355">
        <v>1513</v>
      </c>
      <c r="W355">
        <v>5226</v>
      </c>
    </row>
    <row r="356" spans="1:23" x14ac:dyDescent="0.3">
      <c r="A356" t="s">
        <v>1370</v>
      </c>
      <c r="B356">
        <v>2022</v>
      </c>
      <c r="C356">
        <v>49.79970432839248</v>
      </c>
      <c r="D356">
        <v>197242</v>
      </c>
      <c r="E356">
        <v>46779558.402696073</v>
      </c>
      <c r="F356">
        <v>11678</v>
      </c>
      <c r="G356">
        <v>5177</v>
      </c>
      <c r="H356">
        <v>1.164322260246E-4</v>
      </c>
      <c r="I356">
        <v>43</v>
      </c>
      <c r="J356">
        <v>2.1037868162692801E-2</v>
      </c>
      <c r="K356">
        <v>3</v>
      </c>
      <c r="L356">
        <v>0</v>
      </c>
      <c r="M356">
        <v>62</v>
      </c>
      <c r="N356">
        <v>0.25912946520281849</v>
      </c>
      <c r="O356">
        <v>-0.25154245907998141</v>
      </c>
      <c r="P356">
        <v>47034175.994357944</v>
      </c>
      <c r="Q356">
        <v>10113.81519169137</v>
      </c>
      <c r="R356" t="s">
        <v>834</v>
      </c>
      <c r="S356" t="s">
        <v>835</v>
      </c>
      <c r="T356" t="s">
        <v>835</v>
      </c>
      <c r="U356">
        <v>187137</v>
      </c>
      <c r="V356">
        <v>164186</v>
      </c>
      <c r="W356">
        <v>22951</v>
      </c>
    </row>
    <row r="357" spans="1:23" x14ac:dyDescent="0.3">
      <c r="A357" t="s">
        <v>1371</v>
      </c>
      <c r="B357">
        <v>2022</v>
      </c>
      <c r="C357">
        <v>5.5079910488289752</v>
      </c>
      <c r="D357">
        <v>6738</v>
      </c>
      <c r="E357">
        <v>1986337.265625</v>
      </c>
      <c r="F357">
        <v>1634</v>
      </c>
      <c r="G357">
        <v>424</v>
      </c>
      <c r="H357">
        <v>5.1283919926900002E-4</v>
      </c>
      <c r="I357">
        <v>15</v>
      </c>
      <c r="J357">
        <v>0</v>
      </c>
      <c r="K357">
        <v>0</v>
      </c>
      <c r="L357">
        <v>0</v>
      </c>
      <c r="M357">
        <v>8</v>
      </c>
      <c r="N357">
        <v>0.30404299018100489</v>
      </c>
      <c r="O357">
        <v>-0.1155356245365375</v>
      </c>
      <c r="P357">
        <v>73037283.394602761</v>
      </c>
      <c r="Q357">
        <v>9937.1800186758592</v>
      </c>
      <c r="R357" t="s">
        <v>352</v>
      </c>
      <c r="S357" t="s">
        <v>352</v>
      </c>
      <c r="T357" t="s">
        <v>359</v>
      </c>
      <c r="U357">
        <v>6395</v>
      </c>
      <c r="V357">
        <v>2948</v>
      </c>
      <c r="W357">
        <v>3447</v>
      </c>
    </row>
    <row r="358" spans="1:23" x14ac:dyDescent="0.3">
      <c r="A358" t="s">
        <v>1372</v>
      </c>
      <c r="B358">
        <v>2022</v>
      </c>
      <c r="C358">
        <v>1.018952407026809</v>
      </c>
      <c r="D358">
        <v>3445</v>
      </c>
      <c r="E358">
        <v>991195.25</v>
      </c>
      <c r="F358">
        <v>300</v>
      </c>
      <c r="G358">
        <v>135</v>
      </c>
      <c r="H358">
        <v>6.6848004907139999E-4</v>
      </c>
      <c r="I358">
        <v>1</v>
      </c>
      <c r="J358">
        <v>0</v>
      </c>
      <c r="K358">
        <v>0</v>
      </c>
      <c r="L358">
        <v>0</v>
      </c>
      <c r="M358">
        <v>2</v>
      </c>
      <c r="N358">
        <v>0.33146211277659859</v>
      </c>
      <c r="O358">
        <v>-0.24056502352772879</v>
      </c>
      <c r="P358">
        <v>108149666.15886401</v>
      </c>
      <c r="Q358">
        <v>9772.4314061058485</v>
      </c>
      <c r="R358" t="s">
        <v>291</v>
      </c>
      <c r="S358" t="s">
        <v>350</v>
      </c>
      <c r="T358" t="s">
        <v>218</v>
      </c>
      <c r="U358">
        <v>3275</v>
      </c>
      <c r="V358">
        <v>2322</v>
      </c>
      <c r="W358">
        <v>953</v>
      </c>
    </row>
    <row r="359" spans="1:23" x14ac:dyDescent="0.3">
      <c r="A359" t="s">
        <v>1373</v>
      </c>
      <c r="B359">
        <v>2022</v>
      </c>
      <c r="C359">
        <v>1.9380196765538229</v>
      </c>
      <c r="D359">
        <v>34357</v>
      </c>
      <c r="E359">
        <v>2940849.994240196</v>
      </c>
      <c r="F359">
        <v>172</v>
      </c>
      <c r="G359">
        <v>976</v>
      </c>
      <c r="H359">
        <v>1.308782600222E-4</v>
      </c>
      <c r="I359">
        <v>30</v>
      </c>
      <c r="J359">
        <v>0.14285714285714279</v>
      </c>
      <c r="K359">
        <v>1</v>
      </c>
      <c r="L359">
        <v>0</v>
      </c>
      <c r="M359">
        <v>15</v>
      </c>
      <c r="P359">
        <v>392909735.18197</v>
      </c>
      <c r="Q359">
        <v>9644.6700117824003</v>
      </c>
      <c r="R359" t="s">
        <v>656</v>
      </c>
      <c r="S359" t="s">
        <v>813</v>
      </c>
      <c r="T359" t="s">
        <v>814</v>
      </c>
      <c r="U359">
        <v>32808</v>
      </c>
      <c r="V359">
        <v>26241</v>
      </c>
      <c r="W359">
        <v>6567</v>
      </c>
    </row>
    <row r="360" spans="1:23" x14ac:dyDescent="0.3">
      <c r="A360" t="s">
        <v>1137</v>
      </c>
      <c r="B360">
        <v>2022</v>
      </c>
      <c r="C360">
        <v>20.46628784731033</v>
      </c>
      <c r="D360">
        <v>4033</v>
      </c>
      <c r="E360">
        <v>2742297.7333333329</v>
      </c>
      <c r="F360">
        <v>205</v>
      </c>
      <c r="G360">
        <v>420</v>
      </c>
      <c r="H360">
        <v>7.3721653627289996E-4</v>
      </c>
      <c r="I360">
        <v>7</v>
      </c>
      <c r="J360">
        <v>0</v>
      </c>
      <c r="K360">
        <v>0</v>
      </c>
      <c r="L360">
        <v>0</v>
      </c>
      <c r="M360">
        <v>6</v>
      </c>
      <c r="P360">
        <v>25376239.79687769</v>
      </c>
      <c r="Q360">
        <v>678846.52559586661</v>
      </c>
      <c r="R360" t="s">
        <v>656</v>
      </c>
      <c r="S360" t="s">
        <v>776</v>
      </c>
      <c r="T360" t="s">
        <v>803</v>
      </c>
      <c r="U360">
        <v>3846</v>
      </c>
      <c r="V360">
        <v>2983</v>
      </c>
      <c r="W360">
        <v>863</v>
      </c>
    </row>
    <row r="361" spans="1:23" x14ac:dyDescent="0.3">
      <c r="A361" t="s">
        <v>1375</v>
      </c>
      <c r="B361">
        <v>2022</v>
      </c>
      <c r="C361">
        <v>2.1640428207633762</v>
      </c>
      <c r="D361">
        <v>11197</v>
      </c>
      <c r="E361">
        <v>3214508.7770220591</v>
      </c>
      <c r="F361">
        <v>662</v>
      </c>
      <c r="G361">
        <v>414</v>
      </c>
      <c r="H361">
        <v>2.0524862132899999E-4</v>
      </c>
      <c r="I361">
        <v>21</v>
      </c>
      <c r="J361">
        <v>0</v>
      </c>
      <c r="K361">
        <v>0</v>
      </c>
      <c r="L361">
        <v>0</v>
      </c>
      <c r="M361">
        <v>4</v>
      </c>
      <c r="N361">
        <v>0.43436907721301338</v>
      </c>
      <c r="O361">
        <v>-0.35633761961319238</v>
      </c>
      <c r="P361">
        <v>204188873.02618241</v>
      </c>
      <c r="Q361">
        <v>9384.7087348270725</v>
      </c>
      <c r="R361" t="s">
        <v>23</v>
      </c>
      <c r="S361" t="s">
        <v>24</v>
      </c>
      <c r="T361" t="s">
        <v>38</v>
      </c>
      <c r="U361">
        <v>10728</v>
      </c>
      <c r="V361">
        <v>7651</v>
      </c>
      <c r="W361">
        <v>3077</v>
      </c>
    </row>
    <row r="362" spans="1:23" x14ac:dyDescent="0.3">
      <c r="A362" t="s">
        <v>1376</v>
      </c>
      <c r="B362">
        <v>2022</v>
      </c>
      <c r="C362">
        <v>3.5039059611286971</v>
      </c>
      <c r="D362">
        <v>4593</v>
      </c>
      <c r="E362">
        <v>25319.07720588236</v>
      </c>
      <c r="F362">
        <v>21</v>
      </c>
      <c r="G362">
        <v>212</v>
      </c>
      <c r="H362">
        <v>9.917851031401E-4</v>
      </c>
      <c r="I362">
        <v>9</v>
      </c>
      <c r="J362">
        <v>0</v>
      </c>
      <c r="K362">
        <v>0</v>
      </c>
      <c r="L362">
        <v>0</v>
      </c>
      <c r="M362">
        <v>2</v>
      </c>
      <c r="P362">
        <v>35987760.846254677</v>
      </c>
      <c r="Q362">
        <v>9197.8129816562378</v>
      </c>
      <c r="R362" t="s">
        <v>656</v>
      </c>
      <c r="S362" t="s">
        <v>826</v>
      </c>
      <c r="T362" t="s">
        <v>828</v>
      </c>
      <c r="U362">
        <v>4384</v>
      </c>
      <c r="V362">
        <v>3494</v>
      </c>
      <c r="W362">
        <v>890</v>
      </c>
    </row>
    <row r="363" spans="1:23" x14ac:dyDescent="0.3">
      <c r="A363" t="s">
        <v>1377</v>
      </c>
      <c r="B363">
        <v>2022</v>
      </c>
      <c r="C363">
        <v>4.3358789573094354</v>
      </c>
      <c r="D363">
        <v>15117</v>
      </c>
      <c r="E363">
        <v>2336527.9207107839</v>
      </c>
      <c r="F363">
        <v>767</v>
      </c>
      <c r="G363">
        <v>460</v>
      </c>
      <c r="H363">
        <v>1.9856251211700001E-4</v>
      </c>
      <c r="I363">
        <v>5</v>
      </c>
      <c r="J363">
        <v>0</v>
      </c>
      <c r="K363">
        <v>0</v>
      </c>
      <c r="L363">
        <v>0</v>
      </c>
      <c r="M363">
        <v>3</v>
      </c>
      <c r="N363">
        <v>0.3598534421617115</v>
      </c>
      <c r="O363">
        <v>-0.19262466247411131</v>
      </c>
      <c r="P363">
        <v>94450644.164688259</v>
      </c>
      <c r="Q363">
        <v>8737.4991749067067</v>
      </c>
      <c r="R363" t="s">
        <v>834</v>
      </c>
      <c r="S363" t="s">
        <v>859</v>
      </c>
      <c r="T363" t="s">
        <v>859</v>
      </c>
      <c r="U363">
        <v>14399</v>
      </c>
      <c r="V363">
        <v>6207</v>
      </c>
      <c r="W363">
        <v>8192</v>
      </c>
    </row>
    <row r="364" spans="1:23" x14ac:dyDescent="0.3">
      <c r="A364" t="s">
        <v>1378</v>
      </c>
      <c r="B364">
        <v>2022</v>
      </c>
      <c r="C364">
        <v>2.2791094880266121</v>
      </c>
      <c r="D364">
        <v>11279</v>
      </c>
      <c r="E364">
        <v>7931972.7018995089</v>
      </c>
      <c r="F364">
        <v>1893</v>
      </c>
      <c r="G364">
        <v>341</v>
      </c>
      <c r="H364">
        <v>2.0194453628790001E-4</v>
      </c>
      <c r="I364">
        <v>6</v>
      </c>
      <c r="J364">
        <v>0</v>
      </c>
      <c r="K364">
        <v>0</v>
      </c>
      <c r="L364">
        <v>0</v>
      </c>
      <c r="M364">
        <v>5</v>
      </c>
      <c r="N364">
        <v>0.4957916798923665</v>
      </c>
      <c r="O364">
        <v>-0.3340559893029344</v>
      </c>
      <c r="P364">
        <v>122148437.3872254</v>
      </c>
      <c r="Q364">
        <v>8466.9147955691806</v>
      </c>
      <c r="R364" t="s">
        <v>834</v>
      </c>
      <c r="S364" t="s">
        <v>835</v>
      </c>
      <c r="T364" t="s">
        <v>845</v>
      </c>
      <c r="U364">
        <v>10766</v>
      </c>
      <c r="V364">
        <v>4723</v>
      </c>
      <c r="W364">
        <v>6043</v>
      </c>
    </row>
    <row r="365" spans="1:23" x14ac:dyDescent="0.3">
      <c r="A365" t="s">
        <v>1379</v>
      </c>
      <c r="B365">
        <v>2022</v>
      </c>
      <c r="C365">
        <v>1.6705284114522021</v>
      </c>
      <c r="D365">
        <v>54495</v>
      </c>
      <c r="E365">
        <v>1488378.59375</v>
      </c>
      <c r="F365">
        <v>55</v>
      </c>
      <c r="G365">
        <v>914</v>
      </c>
      <c r="H365">
        <v>3.399012813787E-4</v>
      </c>
      <c r="I365">
        <v>9</v>
      </c>
      <c r="J365">
        <v>0</v>
      </c>
      <c r="K365">
        <v>0</v>
      </c>
      <c r="L365">
        <v>0</v>
      </c>
      <c r="M365">
        <v>2</v>
      </c>
      <c r="N365">
        <v>0.25751536500245309</v>
      </c>
      <c r="O365">
        <v>-0.12243458043794971</v>
      </c>
      <c r="P365">
        <v>601867837.41078603</v>
      </c>
      <c r="Q365">
        <v>8295.6025251912979</v>
      </c>
      <c r="R365" t="s">
        <v>410</v>
      </c>
      <c r="S365" t="s">
        <v>433</v>
      </c>
      <c r="T365" t="s">
        <v>433</v>
      </c>
      <c r="U365">
        <v>51986</v>
      </c>
      <c r="V365">
        <v>30277</v>
      </c>
      <c r="W365">
        <v>21709</v>
      </c>
    </row>
    <row r="366" spans="1:23" x14ac:dyDescent="0.3">
      <c r="A366" t="s">
        <v>1380</v>
      </c>
      <c r="B366">
        <v>2022</v>
      </c>
      <c r="C366">
        <v>6.813210583023027</v>
      </c>
      <c r="D366">
        <v>13277</v>
      </c>
      <c r="E366">
        <v>2116540.1432598042</v>
      </c>
      <c r="F366">
        <v>1321</v>
      </c>
      <c r="G366">
        <v>461</v>
      </c>
      <c r="H366">
        <v>3.6900804581239998E-4</v>
      </c>
      <c r="I366">
        <v>17</v>
      </c>
      <c r="J366">
        <v>0</v>
      </c>
      <c r="K366">
        <v>0</v>
      </c>
      <c r="L366">
        <v>0</v>
      </c>
      <c r="M366">
        <v>5</v>
      </c>
      <c r="N366">
        <v>0.43343373232824473</v>
      </c>
      <c r="O366">
        <v>-0.28668866241819518</v>
      </c>
      <c r="P366">
        <v>48380459.52806621</v>
      </c>
      <c r="Q366">
        <v>8221.9635929919568</v>
      </c>
      <c r="R366" t="s">
        <v>834</v>
      </c>
      <c r="S366" t="s">
        <v>876</v>
      </c>
      <c r="T366" t="s">
        <v>876</v>
      </c>
      <c r="U366">
        <v>12674</v>
      </c>
      <c r="V366">
        <v>7551</v>
      </c>
      <c r="W366">
        <v>5123</v>
      </c>
    </row>
    <row r="367" spans="1:23" x14ac:dyDescent="0.3">
      <c r="A367" t="s">
        <v>1381</v>
      </c>
      <c r="B367">
        <v>2022</v>
      </c>
      <c r="C367">
        <v>1.1850249453966</v>
      </c>
      <c r="D367">
        <v>18811</v>
      </c>
      <c r="E367">
        <v>1734026.71875</v>
      </c>
      <c r="F367">
        <v>135</v>
      </c>
      <c r="G367">
        <v>603</v>
      </c>
      <c r="H367">
        <v>3.5364099988410001E-4</v>
      </c>
      <c r="I367">
        <v>4</v>
      </c>
      <c r="J367">
        <v>0.5</v>
      </c>
      <c r="K367">
        <v>1</v>
      </c>
      <c r="L367">
        <v>0</v>
      </c>
      <c r="M367">
        <v>18</v>
      </c>
      <c r="N367">
        <v>0.56018639475579535</v>
      </c>
      <c r="O367">
        <v>-0.25366123999224349</v>
      </c>
      <c r="P367">
        <v>395551253.34086227</v>
      </c>
      <c r="Q367">
        <v>8091.6599928842443</v>
      </c>
      <c r="R367" t="s">
        <v>878</v>
      </c>
      <c r="S367" t="s">
        <v>879</v>
      </c>
      <c r="T367" t="s">
        <v>879</v>
      </c>
      <c r="U367">
        <v>17741</v>
      </c>
      <c r="V367">
        <v>14274</v>
      </c>
      <c r="W367">
        <v>3467</v>
      </c>
    </row>
    <row r="368" spans="1:23" x14ac:dyDescent="0.3">
      <c r="A368" t="s">
        <v>1382</v>
      </c>
      <c r="B368">
        <v>2022</v>
      </c>
      <c r="C368">
        <v>1.1682915738395609</v>
      </c>
      <c r="D368">
        <v>1010</v>
      </c>
      <c r="E368">
        <v>4860.4129901960787</v>
      </c>
      <c r="F368">
        <v>7</v>
      </c>
      <c r="G368">
        <v>98</v>
      </c>
      <c r="H368">
        <v>7.7095303701149999E-4</v>
      </c>
      <c r="I368">
        <v>3</v>
      </c>
      <c r="J368">
        <v>0</v>
      </c>
      <c r="K368">
        <v>0</v>
      </c>
      <c r="L368">
        <v>0</v>
      </c>
      <c r="M368">
        <v>1</v>
      </c>
      <c r="N368">
        <v>0.37549933101416622</v>
      </c>
      <c r="O368">
        <v>-0.37414841902824048</v>
      </c>
      <c r="P368">
        <v>72153206.242964998</v>
      </c>
      <c r="Q368">
        <v>8031.6542317205458</v>
      </c>
      <c r="R368" t="s">
        <v>23</v>
      </c>
      <c r="S368" t="s">
        <v>86</v>
      </c>
      <c r="T368" t="s">
        <v>88</v>
      </c>
      <c r="U368">
        <v>966</v>
      </c>
      <c r="V368">
        <v>522</v>
      </c>
      <c r="W368">
        <v>444</v>
      </c>
    </row>
    <row r="369" spans="1:23" x14ac:dyDescent="0.3">
      <c r="A369" t="s">
        <v>1383</v>
      </c>
      <c r="B369">
        <v>2022</v>
      </c>
      <c r="C369">
        <v>3.5865226379132169</v>
      </c>
      <c r="D369">
        <v>53393</v>
      </c>
      <c r="E369">
        <v>5710582.28125</v>
      </c>
      <c r="F369">
        <v>479</v>
      </c>
      <c r="G369">
        <v>546</v>
      </c>
      <c r="H369">
        <v>4.9075835401910005E-4</v>
      </c>
      <c r="I369">
        <v>14</v>
      </c>
      <c r="J369">
        <v>9.5238095238095205E-2</v>
      </c>
      <c r="K369">
        <v>1</v>
      </c>
      <c r="L369">
        <v>0</v>
      </c>
      <c r="M369">
        <v>14</v>
      </c>
      <c r="N369">
        <v>0.2738149451353491</v>
      </c>
      <c r="O369">
        <v>-0.22018272214265469</v>
      </c>
      <c r="P369">
        <v>147977706.3676658</v>
      </c>
      <c r="Q369">
        <v>8008.1856598957665</v>
      </c>
      <c r="R369" t="s">
        <v>410</v>
      </c>
      <c r="S369" t="s">
        <v>427</v>
      </c>
      <c r="T369" t="s">
        <v>428</v>
      </c>
      <c r="U369">
        <v>50926</v>
      </c>
      <c r="V369">
        <v>20067</v>
      </c>
      <c r="W369">
        <v>30859</v>
      </c>
    </row>
    <row r="370" spans="1:23" x14ac:dyDescent="0.3">
      <c r="A370" t="s">
        <v>1384</v>
      </c>
      <c r="B370">
        <v>2022</v>
      </c>
      <c r="C370">
        <v>2.1451965195115799</v>
      </c>
      <c r="D370">
        <v>7091</v>
      </c>
      <c r="E370">
        <v>3115738.479656863</v>
      </c>
      <c r="F370">
        <v>1255</v>
      </c>
      <c r="G370">
        <v>247</v>
      </c>
      <c r="H370">
        <v>3.1818185158320002E-4</v>
      </c>
      <c r="I370">
        <v>11</v>
      </c>
      <c r="J370">
        <v>0</v>
      </c>
      <c r="K370">
        <v>0</v>
      </c>
      <c r="L370">
        <v>0</v>
      </c>
      <c r="M370">
        <v>2</v>
      </c>
      <c r="N370">
        <v>0.40118543879930468</v>
      </c>
      <c r="O370">
        <v>-0.30343686707228468</v>
      </c>
      <c r="P370">
        <v>60036570.93130374</v>
      </c>
      <c r="Q370">
        <v>7510.6386944319211</v>
      </c>
      <c r="R370" t="s">
        <v>236</v>
      </c>
      <c r="S370" t="s">
        <v>237</v>
      </c>
      <c r="T370" t="s">
        <v>243</v>
      </c>
      <c r="U370">
        <v>6776</v>
      </c>
      <c r="V370">
        <v>1368</v>
      </c>
      <c r="W370">
        <v>5408</v>
      </c>
    </row>
    <row r="371" spans="1:23" x14ac:dyDescent="0.3">
      <c r="A371" t="s">
        <v>1385</v>
      </c>
      <c r="B371">
        <v>2022</v>
      </c>
      <c r="C371">
        <v>0.87128715065324525</v>
      </c>
      <c r="D371">
        <v>3723</v>
      </c>
      <c r="E371">
        <v>951290.42457107839</v>
      </c>
      <c r="F371">
        <v>299</v>
      </c>
      <c r="G371">
        <v>141</v>
      </c>
      <c r="H371">
        <v>6.5103778446959999E-4</v>
      </c>
      <c r="I371">
        <v>27</v>
      </c>
      <c r="J371">
        <v>0</v>
      </c>
      <c r="K371">
        <v>0</v>
      </c>
      <c r="L371">
        <v>0</v>
      </c>
      <c r="M371">
        <v>13</v>
      </c>
      <c r="N371">
        <v>0.34641710362918421</v>
      </c>
      <c r="O371">
        <v>-0.2108209815525782</v>
      </c>
      <c r="P371">
        <v>97656972.936622113</v>
      </c>
      <c r="Q371">
        <v>7445.7801721401966</v>
      </c>
      <c r="R371" t="s">
        <v>616</v>
      </c>
      <c r="S371" t="s">
        <v>101</v>
      </c>
      <c r="T371" t="s">
        <v>482</v>
      </c>
      <c r="U371">
        <v>3552</v>
      </c>
      <c r="V371">
        <v>740</v>
      </c>
      <c r="W371">
        <v>2812</v>
      </c>
    </row>
    <row r="372" spans="1:23" x14ac:dyDescent="0.3">
      <c r="A372" t="s">
        <v>1386</v>
      </c>
      <c r="B372">
        <v>2022</v>
      </c>
      <c r="C372">
        <v>9.7994597641732248</v>
      </c>
      <c r="D372">
        <v>31179</v>
      </c>
      <c r="E372">
        <v>9108909.3975490164</v>
      </c>
      <c r="F372">
        <v>4281</v>
      </c>
      <c r="G372">
        <v>1166</v>
      </c>
      <c r="H372">
        <v>3.3847659660700001E-4</v>
      </c>
      <c r="I372">
        <v>30</v>
      </c>
      <c r="J372">
        <v>0.14285714285714279</v>
      </c>
      <c r="K372">
        <v>4</v>
      </c>
      <c r="L372">
        <v>0</v>
      </c>
      <c r="M372">
        <v>14</v>
      </c>
      <c r="N372">
        <v>0.16596185702955021</v>
      </c>
      <c r="O372">
        <v>-0.26723427395512978</v>
      </c>
      <c r="P372">
        <v>96508042.56701228</v>
      </c>
      <c r="Q372">
        <v>6687.4586019890139</v>
      </c>
      <c r="R372" t="s">
        <v>616</v>
      </c>
      <c r="S372" t="s">
        <v>676</v>
      </c>
      <c r="T372" t="s">
        <v>676</v>
      </c>
      <c r="U372">
        <v>29754</v>
      </c>
      <c r="V372">
        <v>13078</v>
      </c>
      <c r="W372">
        <v>16676</v>
      </c>
    </row>
    <row r="373" spans="1:23" x14ac:dyDescent="0.3">
      <c r="A373" t="s">
        <v>1387</v>
      </c>
      <c r="B373">
        <v>2022</v>
      </c>
      <c r="C373">
        <v>1.0303865884803911</v>
      </c>
      <c r="D373">
        <v>15960</v>
      </c>
      <c r="E373">
        <v>3549562.2768995101</v>
      </c>
      <c r="F373">
        <v>357</v>
      </c>
      <c r="G373">
        <v>370</v>
      </c>
      <c r="H373">
        <v>3.1302693457489999E-4</v>
      </c>
      <c r="I373">
        <v>7</v>
      </c>
      <c r="J373">
        <v>3.4274193548386997E-2</v>
      </c>
      <c r="K373">
        <v>15</v>
      </c>
      <c r="L373">
        <v>0</v>
      </c>
      <c r="M373">
        <v>2</v>
      </c>
      <c r="N373">
        <v>0.12773692026108999</v>
      </c>
      <c r="O373">
        <v>8.4342539044171799E-2</v>
      </c>
      <c r="P373">
        <v>2212268439.9646978</v>
      </c>
      <c r="Q373">
        <v>6419.0963492294732</v>
      </c>
      <c r="R373" t="s">
        <v>410</v>
      </c>
      <c r="S373" t="s">
        <v>411</v>
      </c>
      <c r="T373" t="s">
        <v>415</v>
      </c>
      <c r="U373">
        <v>15244</v>
      </c>
      <c r="V373">
        <v>1035</v>
      </c>
      <c r="W373">
        <v>14209</v>
      </c>
    </row>
    <row r="374" spans="1:23" x14ac:dyDescent="0.3">
      <c r="A374" t="s">
        <v>1388</v>
      </c>
      <c r="B374">
        <v>2022</v>
      </c>
      <c r="C374">
        <v>2.126416818619846</v>
      </c>
      <c r="D374">
        <v>22812</v>
      </c>
      <c r="E374">
        <v>2371198.6125612748</v>
      </c>
      <c r="F374">
        <v>345</v>
      </c>
      <c r="G374">
        <v>581</v>
      </c>
      <c r="H374">
        <v>1.950773910438E-4</v>
      </c>
      <c r="I374">
        <v>53</v>
      </c>
      <c r="J374">
        <v>1.72413793103448E-2</v>
      </c>
      <c r="K374">
        <v>1</v>
      </c>
      <c r="L374">
        <v>0</v>
      </c>
      <c r="M374">
        <v>7</v>
      </c>
      <c r="N374">
        <v>0.4949963941250447</v>
      </c>
      <c r="O374">
        <v>-0.3867596533965697</v>
      </c>
      <c r="P374">
        <v>251442841.82870281</v>
      </c>
      <c r="Q374">
        <v>6406.6923968802839</v>
      </c>
      <c r="R374" t="s">
        <v>23</v>
      </c>
      <c r="S374" t="s">
        <v>24</v>
      </c>
      <c r="T374" t="s">
        <v>25</v>
      </c>
      <c r="U374">
        <v>21783</v>
      </c>
      <c r="V374">
        <v>15591</v>
      </c>
      <c r="W374">
        <v>6192</v>
      </c>
    </row>
    <row r="375" spans="1:23" x14ac:dyDescent="0.3">
      <c r="A375" t="s">
        <v>1389</v>
      </c>
      <c r="B375">
        <v>2022</v>
      </c>
      <c r="C375">
        <v>1.7019203166136421</v>
      </c>
      <c r="D375">
        <v>3234</v>
      </c>
      <c r="E375">
        <v>993125.140625</v>
      </c>
      <c r="F375">
        <v>821</v>
      </c>
      <c r="G375">
        <v>449</v>
      </c>
      <c r="H375">
        <v>2.9624901700630002E-4</v>
      </c>
      <c r="I375">
        <v>30</v>
      </c>
      <c r="J375">
        <v>0</v>
      </c>
      <c r="K375">
        <v>0</v>
      </c>
      <c r="L375">
        <v>0</v>
      </c>
      <c r="M375">
        <v>2</v>
      </c>
      <c r="N375">
        <v>0.24241370232964859</v>
      </c>
      <c r="O375">
        <v>-0.30590066002582778</v>
      </c>
      <c r="P375">
        <v>106422326.7346554</v>
      </c>
      <c r="Q375">
        <v>6365.9031354942481</v>
      </c>
      <c r="R375" t="s">
        <v>616</v>
      </c>
      <c r="S375" t="s">
        <v>649</v>
      </c>
      <c r="T375" t="s">
        <v>650</v>
      </c>
      <c r="U375">
        <v>3079</v>
      </c>
      <c r="V375">
        <v>35</v>
      </c>
      <c r="W375">
        <v>3044</v>
      </c>
    </row>
    <row r="376" spans="1:23" x14ac:dyDescent="0.3">
      <c r="A376" t="s">
        <v>1390</v>
      </c>
      <c r="B376">
        <v>2022</v>
      </c>
      <c r="C376">
        <v>3.4603094491336139</v>
      </c>
      <c r="D376">
        <v>4427</v>
      </c>
      <c r="E376">
        <v>56395.636029411769</v>
      </c>
      <c r="F376">
        <v>70</v>
      </c>
      <c r="G376">
        <v>461</v>
      </c>
      <c r="H376">
        <v>2.512502983135E-4</v>
      </c>
      <c r="I376">
        <v>2</v>
      </c>
      <c r="J376">
        <v>0</v>
      </c>
      <c r="K376">
        <v>0</v>
      </c>
      <c r="L376">
        <v>0</v>
      </c>
      <c r="M376">
        <v>2</v>
      </c>
      <c r="N376">
        <v>0.54625352816006734</v>
      </c>
      <c r="O376">
        <v>-0.35437357135935799</v>
      </c>
      <c r="P376">
        <v>62429820.4129299</v>
      </c>
      <c r="Q376">
        <v>6297.2781387741989</v>
      </c>
      <c r="R376" t="s">
        <v>23</v>
      </c>
      <c r="S376" t="s">
        <v>75</v>
      </c>
      <c r="T376" t="s">
        <v>76</v>
      </c>
      <c r="U376">
        <v>4194</v>
      </c>
      <c r="V376">
        <v>3149</v>
      </c>
      <c r="W376">
        <v>1045</v>
      </c>
    </row>
    <row r="377" spans="1:23" x14ac:dyDescent="0.3">
      <c r="A377" t="s">
        <v>1391</v>
      </c>
      <c r="B377">
        <v>2022</v>
      </c>
      <c r="C377">
        <v>4.444080250514622</v>
      </c>
      <c r="D377">
        <v>34485</v>
      </c>
      <c r="E377">
        <v>1737150.9375</v>
      </c>
      <c r="F377">
        <v>364</v>
      </c>
      <c r="G377">
        <v>723</v>
      </c>
      <c r="H377">
        <v>3.5589920103389999E-4</v>
      </c>
      <c r="I377">
        <v>30</v>
      </c>
      <c r="J377">
        <v>8.3333333333333301E-2</v>
      </c>
      <c r="K377">
        <v>1</v>
      </c>
      <c r="L377">
        <v>0</v>
      </c>
      <c r="M377">
        <v>6</v>
      </c>
      <c r="N377">
        <v>0.3306296057529019</v>
      </c>
      <c r="O377">
        <v>-7.1412522148076807E-2</v>
      </c>
      <c r="P377">
        <v>277261853.80029571</v>
      </c>
      <c r="Q377">
        <v>6150.1801018014758</v>
      </c>
      <c r="R377" t="s">
        <v>410</v>
      </c>
      <c r="S377" t="s">
        <v>450</v>
      </c>
      <c r="T377" t="s">
        <v>450</v>
      </c>
      <c r="U377">
        <v>32913</v>
      </c>
      <c r="V377">
        <v>16685</v>
      </c>
      <c r="W377">
        <v>16228</v>
      </c>
    </row>
    <row r="378" spans="1:23" x14ac:dyDescent="0.3">
      <c r="A378" t="s">
        <v>1392</v>
      </c>
      <c r="B378">
        <v>2022</v>
      </c>
      <c r="C378">
        <v>0.94451939504351756</v>
      </c>
      <c r="D378">
        <v>12354</v>
      </c>
      <c r="E378">
        <v>992716.125</v>
      </c>
      <c r="F378">
        <v>124</v>
      </c>
      <c r="G378">
        <v>361</v>
      </c>
      <c r="H378">
        <v>1.275437237255E-4</v>
      </c>
      <c r="I378">
        <v>5</v>
      </c>
      <c r="J378">
        <v>0</v>
      </c>
      <c r="K378">
        <v>0</v>
      </c>
      <c r="L378">
        <v>0</v>
      </c>
      <c r="M378">
        <v>8</v>
      </c>
      <c r="N378">
        <v>0.54173489594460134</v>
      </c>
      <c r="O378">
        <v>-0.31237476190312058</v>
      </c>
      <c r="P378">
        <v>380092591.19016892</v>
      </c>
      <c r="Q378">
        <v>6120.7786549148559</v>
      </c>
      <c r="R378" t="s">
        <v>236</v>
      </c>
      <c r="S378" t="s">
        <v>282</v>
      </c>
      <c r="T378" t="s">
        <v>282</v>
      </c>
      <c r="U378">
        <v>11732</v>
      </c>
      <c r="V378">
        <v>4128</v>
      </c>
      <c r="W378">
        <v>7604</v>
      </c>
    </row>
    <row r="379" spans="1:23" x14ac:dyDescent="0.3">
      <c r="A379" t="s">
        <v>1393</v>
      </c>
      <c r="B379">
        <v>2022</v>
      </c>
      <c r="C379">
        <v>1.076770976649071</v>
      </c>
      <c r="D379">
        <v>5735</v>
      </c>
      <c r="E379">
        <v>169443.51360294121</v>
      </c>
      <c r="F379">
        <v>52</v>
      </c>
      <c r="G379">
        <v>173</v>
      </c>
      <c r="H379">
        <v>3.802852039066E-4</v>
      </c>
      <c r="I379">
        <v>8</v>
      </c>
      <c r="J379">
        <v>0</v>
      </c>
      <c r="K379">
        <v>0</v>
      </c>
      <c r="L379">
        <v>0</v>
      </c>
      <c r="M379">
        <v>0</v>
      </c>
      <c r="N379">
        <v>0.49993198318642967</v>
      </c>
      <c r="O379">
        <v>-0.37709740917470019</v>
      </c>
      <c r="P379">
        <v>229476508.38396201</v>
      </c>
      <c r="Q379">
        <v>6118.0288923978624</v>
      </c>
      <c r="R379" t="s">
        <v>464</v>
      </c>
      <c r="S379" t="s">
        <v>477</v>
      </c>
      <c r="T379" t="s">
        <v>479</v>
      </c>
      <c r="U379">
        <v>5476</v>
      </c>
      <c r="V379">
        <v>1916</v>
      </c>
      <c r="W379">
        <v>3560</v>
      </c>
    </row>
    <row r="380" spans="1:23" x14ac:dyDescent="0.3">
      <c r="A380" t="s">
        <v>1394</v>
      </c>
      <c r="B380">
        <v>2022</v>
      </c>
      <c r="C380">
        <v>1.4067100174317291</v>
      </c>
      <c r="D380">
        <v>10834</v>
      </c>
      <c r="E380">
        <v>213006.96838235299</v>
      </c>
      <c r="F380">
        <v>46</v>
      </c>
      <c r="G380">
        <v>364</v>
      </c>
      <c r="H380">
        <v>1.757717035038E-4</v>
      </c>
      <c r="I380">
        <v>22</v>
      </c>
      <c r="J380">
        <v>1</v>
      </c>
      <c r="K380">
        <v>1</v>
      </c>
      <c r="L380">
        <v>0</v>
      </c>
      <c r="M380">
        <v>2</v>
      </c>
      <c r="N380">
        <v>0.37656735332051638</v>
      </c>
      <c r="O380">
        <v>-0.33516031960568399</v>
      </c>
      <c r="P380">
        <v>279737882.7429893</v>
      </c>
      <c r="Q380">
        <v>6012.4534718843961</v>
      </c>
      <c r="R380" t="s">
        <v>23</v>
      </c>
      <c r="S380" t="s">
        <v>24</v>
      </c>
      <c r="T380" t="s">
        <v>40</v>
      </c>
      <c r="U380">
        <v>10351</v>
      </c>
      <c r="V380">
        <v>7347</v>
      </c>
      <c r="W380">
        <v>3004</v>
      </c>
    </row>
    <row r="381" spans="1:23" x14ac:dyDescent="0.3">
      <c r="A381" t="s">
        <v>1395</v>
      </c>
      <c r="B381">
        <v>2022</v>
      </c>
      <c r="C381">
        <v>1.0853586620093709</v>
      </c>
      <c r="D381">
        <v>17081</v>
      </c>
      <c r="E381">
        <v>496208.46875</v>
      </c>
      <c r="F381">
        <v>54</v>
      </c>
      <c r="G381">
        <v>462</v>
      </c>
      <c r="H381">
        <v>5.4003172042870005E-4</v>
      </c>
      <c r="I381">
        <v>8</v>
      </c>
      <c r="J381">
        <v>0</v>
      </c>
      <c r="K381">
        <v>0</v>
      </c>
      <c r="L381">
        <v>0</v>
      </c>
      <c r="M381">
        <v>9</v>
      </c>
      <c r="N381">
        <v>0.41357552434643119</v>
      </c>
      <c r="O381">
        <v>-0.17058299846571359</v>
      </c>
      <c r="P381">
        <v>718958547.49397612</v>
      </c>
      <c r="Q381">
        <v>5838.891379421133</v>
      </c>
      <c r="R381" t="s">
        <v>678</v>
      </c>
      <c r="S381" t="s">
        <v>713</v>
      </c>
      <c r="T381" t="s">
        <v>713</v>
      </c>
      <c r="U381">
        <v>16277</v>
      </c>
      <c r="V381">
        <v>9056</v>
      </c>
      <c r="W381">
        <v>7221</v>
      </c>
    </row>
    <row r="382" spans="1:23" x14ac:dyDescent="0.3">
      <c r="A382" t="s">
        <v>1396</v>
      </c>
      <c r="B382">
        <v>2022</v>
      </c>
      <c r="C382">
        <v>1.673266408127752</v>
      </c>
      <c r="D382">
        <v>8335</v>
      </c>
      <c r="E382">
        <v>3470340.9033088242</v>
      </c>
      <c r="F382">
        <v>1218</v>
      </c>
      <c r="G382">
        <v>288</v>
      </c>
      <c r="H382">
        <v>4.5386113840400002E-4</v>
      </c>
      <c r="I382">
        <v>26</v>
      </c>
      <c r="J382">
        <v>0</v>
      </c>
      <c r="K382">
        <v>0</v>
      </c>
      <c r="L382">
        <v>0</v>
      </c>
      <c r="M382">
        <v>6</v>
      </c>
      <c r="P382">
        <v>144180861.38840449</v>
      </c>
      <c r="Q382">
        <v>5719.8460389285428</v>
      </c>
      <c r="R382" t="s">
        <v>195</v>
      </c>
      <c r="S382" t="s">
        <v>196</v>
      </c>
      <c r="T382" t="s">
        <v>197</v>
      </c>
      <c r="U382">
        <v>7957</v>
      </c>
      <c r="V382">
        <v>4451</v>
      </c>
      <c r="W382">
        <v>3506</v>
      </c>
    </row>
    <row r="383" spans="1:23" x14ac:dyDescent="0.3">
      <c r="A383" t="s">
        <v>1397</v>
      </c>
      <c r="B383">
        <v>2022</v>
      </c>
      <c r="C383">
        <v>2.11494034330387</v>
      </c>
      <c r="D383">
        <v>34115</v>
      </c>
      <c r="E383">
        <v>1241324.703125</v>
      </c>
      <c r="F383">
        <v>137</v>
      </c>
      <c r="G383">
        <v>466</v>
      </c>
      <c r="H383">
        <v>4.7238085663719998E-4</v>
      </c>
      <c r="I383">
        <v>14</v>
      </c>
      <c r="J383">
        <v>0.19444444444444439</v>
      </c>
      <c r="K383">
        <v>2</v>
      </c>
      <c r="L383">
        <v>0</v>
      </c>
      <c r="M383">
        <v>10</v>
      </c>
      <c r="N383">
        <v>0.60659956219617905</v>
      </c>
      <c r="O383">
        <v>-0.19639699621318549</v>
      </c>
      <c r="P383">
        <v>248304339.2913247</v>
      </c>
      <c r="Q383">
        <v>5617.1701207674814</v>
      </c>
      <c r="R383" t="s">
        <v>352</v>
      </c>
      <c r="S383" t="s">
        <v>106</v>
      </c>
      <c r="T383" t="s">
        <v>106</v>
      </c>
      <c r="U383">
        <v>32117</v>
      </c>
      <c r="V383">
        <v>10318</v>
      </c>
      <c r="W383">
        <v>21799</v>
      </c>
    </row>
    <row r="384" spans="1:23" x14ac:dyDescent="0.3">
      <c r="A384" t="s">
        <v>1398</v>
      </c>
      <c r="B384">
        <v>2022</v>
      </c>
      <c r="C384">
        <v>1.769240191146489</v>
      </c>
      <c r="D384">
        <v>25686</v>
      </c>
      <c r="E384">
        <v>3227541.28125</v>
      </c>
      <c r="F384">
        <v>422</v>
      </c>
      <c r="G384">
        <v>517</v>
      </c>
      <c r="H384">
        <v>2.2834594745939999E-4</v>
      </c>
      <c r="I384">
        <v>18</v>
      </c>
      <c r="J384">
        <v>0</v>
      </c>
      <c r="K384">
        <v>0</v>
      </c>
      <c r="L384">
        <v>0</v>
      </c>
      <c r="M384">
        <v>46</v>
      </c>
      <c r="N384">
        <v>0.36168124350463482</v>
      </c>
      <c r="O384">
        <v>-0.2584711049895087</v>
      </c>
      <c r="P384">
        <v>293020483.75270581</v>
      </c>
      <c r="Q384">
        <v>5268.0473894643164</v>
      </c>
      <c r="R384" t="s">
        <v>616</v>
      </c>
      <c r="S384" t="s">
        <v>39</v>
      </c>
      <c r="T384" t="s">
        <v>658</v>
      </c>
      <c r="U384">
        <v>24500</v>
      </c>
      <c r="V384">
        <v>10080</v>
      </c>
      <c r="W384">
        <v>14420</v>
      </c>
    </row>
    <row r="385" spans="1:23" x14ac:dyDescent="0.3">
      <c r="A385" t="s">
        <v>1399</v>
      </c>
      <c r="B385">
        <v>2022</v>
      </c>
      <c r="C385">
        <v>0.55338181985514523</v>
      </c>
      <c r="D385">
        <v>545</v>
      </c>
      <c r="E385">
        <v>417770.14632352942</v>
      </c>
      <c r="F385">
        <v>838</v>
      </c>
      <c r="G385">
        <v>113</v>
      </c>
      <c r="H385">
        <v>7.5951996300869997E-4</v>
      </c>
      <c r="I385">
        <v>7</v>
      </c>
      <c r="J385">
        <v>3.5148065918257998E-3</v>
      </c>
      <c r="K385">
        <v>4</v>
      </c>
      <c r="L385">
        <v>0</v>
      </c>
      <c r="M385">
        <v>0</v>
      </c>
      <c r="N385">
        <v>0.61972121336741526</v>
      </c>
      <c r="O385">
        <v>-0.2378492121328096</v>
      </c>
      <c r="P385">
        <v>1929913701.823293</v>
      </c>
      <c r="Q385">
        <v>5061.9956614408493</v>
      </c>
      <c r="R385" t="s">
        <v>734</v>
      </c>
      <c r="S385" t="s">
        <v>747</v>
      </c>
      <c r="T385" t="s">
        <v>748</v>
      </c>
      <c r="U385">
        <v>519</v>
      </c>
      <c r="V385">
        <v>70</v>
      </c>
      <c r="W385">
        <v>449</v>
      </c>
    </row>
    <row r="386" spans="1:23" x14ac:dyDescent="0.3">
      <c r="A386" t="s">
        <v>1400</v>
      </c>
      <c r="B386">
        <v>2022</v>
      </c>
      <c r="C386">
        <v>1.6230173958176961</v>
      </c>
      <c r="D386">
        <v>5690</v>
      </c>
      <c r="E386">
        <v>3503254.8737745099</v>
      </c>
      <c r="F386">
        <v>2008</v>
      </c>
      <c r="G386">
        <v>450</v>
      </c>
      <c r="H386">
        <v>2.9894001409630001E-4</v>
      </c>
      <c r="I386">
        <v>13</v>
      </c>
      <c r="J386">
        <v>0</v>
      </c>
      <c r="K386">
        <v>0</v>
      </c>
      <c r="L386">
        <v>0</v>
      </c>
      <c r="M386">
        <v>2</v>
      </c>
      <c r="N386">
        <v>0.1961194573869843</v>
      </c>
      <c r="O386">
        <v>-0.2068218491735139</v>
      </c>
      <c r="P386">
        <v>162043794.28649461</v>
      </c>
      <c r="Q386">
        <v>4976.4418618313703</v>
      </c>
      <c r="R386" t="s">
        <v>616</v>
      </c>
      <c r="S386" t="s">
        <v>647</v>
      </c>
      <c r="T386" t="s">
        <v>106</v>
      </c>
      <c r="U386">
        <v>5438</v>
      </c>
      <c r="V386">
        <v>628</v>
      </c>
      <c r="W386">
        <v>4810</v>
      </c>
    </row>
    <row r="387" spans="1:23" x14ac:dyDescent="0.3">
      <c r="A387" t="s">
        <v>1401</v>
      </c>
      <c r="B387">
        <v>2022</v>
      </c>
      <c r="C387">
        <v>0.87844730764429646</v>
      </c>
      <c r="D387">
        <v>7007</v>
      </c>
      <c r="E387">
        <v>1238526.453125</v>
      </c>
      <c r="F387">
        <v>318</v>
      </c>
      <c r="G387">
        <v>268</v>
      </c>
      <c r="H387">
        <v>1.982463352153E-4</v>
      </c>
      <c r="I387">
        <v>10</v>
      </c>
      <c r="J387">
        <v>0</v>
      </c>
      <c r="K387">
        <v>0</v>
      </c>
      <c r="L387">
        <v>0</v>
      </c>
      <c r="M387">
        <v>2</v>
      </c>
      <c r="N387">
        <v>0.4275579486368607</v>
      </c>
      <c r="O387">
        <v>-0.37747862693174378</v>
      </c>
      <c r="P387">
        <v>238476582.3791258</v>
      </c>
      <c r="Q387">
        <v>4882.719383913015</v>
      </c>
      <c r="R387" t="s">
        <v>503</v>
      </c>
      <c r="S387" t="s">
        <v>526</v>
      </c>
      <c r="T387" t="s">
        <v>526</v>
      </c>
      <c r="U387">
        <v>6677</v>
      </c>
      <c r="V387">
        <v>4068</v>
      </c>
      <c r="W387">
        <v>2609</v>
      </c>
    </row>
    <row r="388" spans="1:23" x14ac:dyDescent="0.3">
      <c r="A388" t="s">
        <v>1068</v>
      </c>
      <c r="B388">
        <v>2022</v>
      </c>
      <c r="C388">
        <v>16.27437639260344</v>
      </c>
      <c r="D388">
        <v>21570</v>
      </c>
      <c r="E388">
        <v>15875354.22567402</v>
      </c>
      <c r="F388">
        <v>25</v>
      </c>
      <c r="G388">
        <v>735</v>
      </c>
      <c r="H388">
        <v>3.2173385333760001E-4</v>
      </c>
      <c r="I388">
        <v>6</v>
      </c>
      <c r="J388">
        <v>4.8780487804878002E-2</v>
      </c>
      <c r="K388">
        <v>1</v>
      </c>
      <c r="L388">
        <v>0</v>
      </c>
      <c r="M388">
        <v>8</v>
      </c>
      <c r="N388">
        <v>0.43475243464099028</v>
      </c>
      <c r="O388">
        <v>-0.3399416515745004</v>
      </c>
      <c r="P388">
        <v>55499928.2386408</v>
      </c>
      <c r="Q388">
        <v>4791126.3798706802</v>
      </c>
      <c r="R388" t="s">
        <v>656</v>
      </c>
      <c r="S388" t="s">
        <v>776</v>
      </c>
      <c r="T388" t="s">
        <v>787</v>
      </c>
      <c r="U388">
        <v>20511</v>
      </c>
      <c r="V388">
        <v>14760</v>
      </c>
      <c r="W388">
        <v>5751</v>
      </c>
    </row>
    <row r="389" spans="1:23" x14ac:dyDescent="0.3">
      <c r="A389" t="s">
        <v>1403</v>
      </c>
      <c r="B389">
        <v>2022</v>
      </c>
      <c r="C389">
        <v>1.997449787158585</v>
      </c>
      <c r="D389">
        <v>5196</v>
      </c>
      <c r="E389">
        <v>1141196.1680759799</v>
      </c>
      <c r="F389">
        <v>902</v>
      </c>
      <c r="G389">
        <v>271</v>
      </c>
      <c r="H389">
        <v>5.8573859677329997E-4</v>
      </c>
      <c r="I389">
        <v>26</v>
      </c>
      <c r="J389">
        <v>0</v>
      </c>
      <c r="K389">
        <v>0</v>
      </c>
      <c r="L389">
        <v>0</v>
      </c>
      <c r="M389">
        <v>12</v>
      </c>
      <c r="N389">
        <v>0.59494286477937042</v>
      </c>
      <c r="O389">
        <v>-0.41018635586914232</v>
      </c>
      <c r="P389">
        <v>76118779.69844684</v>
      </c>
      <c r="Q389">
        <v>4863.6296277487027</v>
      </c>
      <c r="R389" t="s">
        <v>195</v>
      </c>
      <c r="S389" t="s">
        <v>196</v>
      </c>
      <c r="T389" t="s">
        <v>203</v>
      </c>
      <c r="U389">
        <v>4960</v>
      </c>
      <c r="V389">
        <v>1166</v>
      </c>
      <c r="W389">
        <v>3794</v>
      </c>
    </row>
    <row r="390" spans="1:23" x14ac:dyDescent="0.3">
      <c r="A390" t="s">
        <v>1404</v>
      </c>
      <c r="B390">
        <v>2022</v>
      </c>
      <c r="C390">
        <v>1.763335149157611</v>
      </c>
      <c r="D390">
        <v>8829</v>
      </c>
      <c r="E390">
        <v>2231627.4375</v>
      </c>
      <c r="F390">
        <v>927</v>
      </c>
      <c r="G390">
        <v>462</v>
      </c>
      <c r="H390">
        <v>1.6853231648590001E-4</v>
      </c>
      <c r="I390">
        <v>17</v>
      </c>
      <c r="J390">
        <v>0</v>
      </c>
      <c r="K390">
        <v>0</v>
      </c>
      <c r="L390">
        <v>0</v>
      </c>
      <c r="M390">
        <v>10</v>
      </c>
      <c r="N390">
        <v>0.52328807430078761</v>
      </c>
      <c r="O390">
        <v>-0.38024872999993092</v>
      </c>
      <c r="P390">
        <v>239518819.46180749</v>
      </c>
      <c r="Q390">
        <v>4808.0093762407232</v>
      </c>
      <c r="R390" t="s">
        <v>23</v>
      </c>
      <c r="S390" t="s">
        <v>47</v>
      </c>
      <c r="T390" t="s">
        <v>47</v>
      </c>
      <c r="U390">
        <v>8434</v>
      </c>
      <c r="V390">
        <v>5457</v>
      </c>
      <c r="W390">
        <v>2977</v>
      </c>
    </row>
    <row r="391" spans="1:23" x14ac:dyDescent="0.3">
      <c r="A391" t="s">
        <v>1405</v>
      </c>
      <c r="B391">
        <v>2022</v>
      </c>
      <c r="C391">
        <v>1.4885544001467641</v>
      </c>
      <c r="D391">
        <v>58385</v>
      </c>
      <c r="E391">
        <v>1241612.0625</v>
      </c>
      <c r="F391">
        <v>66</v>
      </c>
      <c r="G391">
        <v>869</v>
      </c>
      <c r="H391">
        <v>1.6022338430790001E-4</v>
      </c>
      <c r="I391">
        <v>34</v>
      </c>
      <c r="J391">
        <v>3.860916685482E-3</v>
      </c>
      <c r="K391">
        <v>3</v>
      </c>
      <c r="L391">
        <v>0</v>
      </c>
      <c r="M391">
        <v>15</v>
      </c>
      <c r="N391">
        <v>0.54891085123109851</v>
      </c>
      <c r="O391">
        <v>-0.25962795457852372</v>
      </c>
      <c r="P391">
        <v>1021275146.89344</v>
      </c>
      <c r="Q391">
        <v>4796.2897768721059</v>
      </c>
      <c r="R391" t="s">
        <v>352</v>
      </c>
      <c r="S391" t="s">
        <v>384</v>
      </c>
      <c r="T391" t="s">
        <v>385</v>
      </c>
      <c r="U391">
        <v>55614</v>
      </c>
      <c r="V391">
        <v>21446</v>
      </c>
      <c r="W391">
        <v>34168</v>
      </c>
    </row>
    <row r="392" spans="1:23" x14ac:dyDescent="0.3">
      <c r="A392" t="s">
        <v>1182</v>
      </c>
      <c r="B392">
        <v>2022</v>
      </c>
      <c r="C392">
        <v>18.882092878835369</v>
      </c>
      <c r="D392">
        <v>18632</v>
      </c>
      <c r="E392">
        <v>1867797.3920955879</v>
      </c>
      <c r="F392">
        <v>72</v>
      </c>
      <c r="G392">
        <v>742</v>
      </c>
      <c r="H392">
        <v>5.5624840416210002E-4</v>
      </c>
      <c r="I392">
        <v>6</v>
      </c>
      <c r="J392">
        <v>0</v>
      </c>
      <c r="K392">
        <v>0</v>
      </c>
      <c r="L392">
        <v>0</v>
      </c>
      <c r="M392">
        <v>8</v>
      </c>
      <c r="P392">
        <v>31743816.08391498</v>
      </c>
      <c r="Q392">
        <v>262898.38745464332</v>
      </c>
      <c r="R392" t="s">
        <v>656</v>
      </c>
      <c r="S392" t="s">
        <v>776</v>
      </c>
      <c r="T392" t="s">
        <v>801</v>
      </c>
      <c r="U392">
        <v>17779</v>
      </c>
      <c r="V392">
        <v>14404</v>
      </c>
      <c r="W392">
        <v>3375</v>
      </c>
    </row>
    <row r="393" spans="1:23" x14ac:dyDescent="0.3">
      <c r="A393" t="s">
        <v>1407</v>
      </c>
      <c r="B393">
        <v>2022</v>
      </c>
      <c r="C393">
        <v>1.842753650841841</v>
      </c>
      <c r="D393">
        <v>62409</v>
      </c>
      <c r="E393">
        <v>7195761.2194852941</v>
      </c>
      <c r="F393">
        <v>487</v>
      </c>
      <c r="G393">
        <v>1147</v>
      </c>
      <c r="H393">
        <v>2.0228432171710001E-4</v>
      </c>
      <c r="I393">
        <v>15</v>
      </c>
      <c r="J393">
        <v>1.3986013986013899E-2</v>
      </c>
      <c r="K393">
        <v>2</v>
      </c>
      <c r="L393">
        <v>0</v>
      </c>
      <c r="M393">
        <v>30</v>
      </c>
      <c r="N393">
        <v>0.48644178957676171</v>
      </c>
      <c r="O393">
        <v>-0.21396374857742209</v>
      </c>
      <c r="P393">
        <v>414927824.12271118</v>
      </c>
      <c r="Q393">
        <v>4362.8254591803252</v>
      </c>
      <c r="R393" t="s">
        <v>590</v>
      </c>
      <c r="S393" t="s">
        <v>610</v>
      </c>
      <c r="T393" t="s">
        <v>611</v>
      </c>
      <c r="U393">
        <v>59389</v>
      </c>
      <c r="V393">
        <v>31688</v>
      </c>
      <c r="W393">
        <v>27701</v>
      </c>
    </row>
    <row r="394" spans="1:23" x14ac:dyDescent="0.3">
      <c r="A394" t="s">
        <v>1408</v>
      </c>
      <c r="B394">
        <v>2022</v>
      </c>
      <c r="C394">
        <v>0.58634077770451076</v>
      </c>
      <c r="D394">
        <v>1119</v>
      </c>
      <c r="E394">
        <v>993305.28125</v>
      </c>
      <c r="F394">
        <v>1263</v>
      </c>
      <c r="G394">
        <v>62</v>
      </c>
      <c r="H394">
        <v>1.2460628939503001E-3</v>
      </c>
      <c r="I394">
        <v>3</v>
      </c>
      <c r="J394">
        <v>1.6286644951140001E-3</v>
      </c>
      <c r="K394">
        <v>4</v>
      </c>
      <c r="L394">
        <v>0</v>
      </c>
      <c r="M394">
        <v>0</v>
      </c>
      <c r="N394">
        <v>0.48669428587534208</v>
      </c>
      <c r="O394">
        <v>-0.19273173322903661</v>
      </c>
      <c r="P394">
        <v>985553361.84256399</v>
      </c>
      <c r="Q394">
        <v>4120.969556336162</v>
      </c>
      <c r="R394" t="s">
        <v>926</v>
      </c>
      <c r="S394" t="s">
        <v>935</v>
      </c>
      <c r="T394" t="s">
        <v>937</v>
      </c>
      <c r="U394">
        <v>1063</v>
      </c>
      <c r="V394">
        <v>422</v>
      </c>
      <c r="W394">
        <v>641</v>
      </c>
    </row>
    <row r="395" spans="1:23" x14ac:dyDescent="0.3">
      <c r="A395" t="s">
        <v>1409</v>
      </c>
      <c r="B395">
        <v>2022</v>
      </c>
      <c r="C395">
        <v>0.70362513376039337</v>
      </c>
      <c r="D395">
        <v>6150</v>
      </c>
      <c r="E395">
        <v>196699.41850490199</v>
      </c>
      <c r="F395">
        <v>55</v>
      </c>
      <c r="G395">
        <v>107</v>
      </c>
      <c r="H395">
        <v>1.4386535616207001E-3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0.65780582404973664</v>
      </c>
      <c r="O395">
        <v>-0.2942440189867514</v>
      </c>
      <c r="P395">
        <v>331310206.39121151</v>
      </c>
      <c r="Q395">
        <v>4091.7266712816918</v>
      </c>
      <c r="R395" t="s">
        <v>963</v>
      </c>
      <c r="S395" t="s">
        <v>988</v>
      </c>
      <c r="T395" t="s">
        <v>989</v>
      </c>
      <c r="U395">
        <v>5863</v>
      </c>
      <c r="V395">
        <v>688</v>
      </c>
      <c r="W395">
        <v>5175</v>
      </c>
    </row>
    <row r="396" spans="1:23" x14ac:dyDescent="0.3">
      <c r="A396" t="s">
        <v>1410</v>
      </c>
      <c r="B396">
        <v>2022</v>
      </c>
      <c r="C396">
        <v>0.62495055620893825</v>
      </c>
      <c r="D396">
        <v>3838</v>
      </c>
      <c r="E396">
        <v>248303.796875</v>
      </c>
      <c r="F396">
        <v>102</v>
      </c>
      <c r="G396">
        <v>73</v>
      </c>
      <c r="H396">
        <v>3.0915123128236999E-3</v>
      </c>
      <c r="I396">
        <v>6</v>
      </c>
      <c r="J396">
        <v>0</v>
      </c>
      <c r="K396">
        <v>0</v>
      </c>
      <c r="L396">
        <v>0</v>
      </c>
      <c r="M396">
        <v>1</v>
      </c>
      <c r="N396">
        <v>0.5701947331938757</v>
      </c>
      <c r="O396">
        <v>-0.19544137577164561</v>
      </c>
      <c r="P396">
        <v>1741295690.6669919</v>
      </c>
      <c r="Q396">
        <v>3963.9108391273662</v>
      </c>
      <c r="R396" t="s">
        <v>963</v>
      </c>
      <c r="S396" t="s">
        <v>975</v>
      </c>
      <c r="T396" t="s">
        <v>976</v>
      </c>
      <c r="U396">
        <v>3659</v>
      </c>
      <c r="V396">
        <v>1098</v>
      </c>
      <c r="W396">
        <v>2561</v>
      </c>
    </row>
    <row r="397" spans="1:23" x14ac:dyDescent="0.3">
      <c r="A397" t="s">
        <v>1411</v>
      </c>
      <c r="B397">
        <v>2022</v>
      </c>
      <c r="C397">
        <v>7.1420456641221044</v>
      </c>
      <c r="D397">
        <v>131579</v>
      </c>
      <c r="E397">
        <v>91977951.313419119</v>
      </c>
      <c r="F397">
        <v>13116</v>
      </c>
      <c r="G397">
        <v>3866</v>
      </c>
      <c r="H397">
        <v>8.2284462782322866E-5</v>
      </c>
      <c r="I397">
        <v>49</v>
      </c>
      <c r="J397">
        <v>1.2722202858138699E-2</v>
      </c>
      <c r="K397">
        <v>6</v>
      </c>
      <c r="L397">
        <v>0</v>
      </c>
      <c r="M397">
        <v>84</v>
      </c>
      <c r="N397">
        <v>0.37163436864961658</v>
      </c>
      <c r="O397">
        <v>-0.3260429656267414</v>
      </c>
      <c r="P397">
        <v>266340098.35864449</v>
      </c>
      <c r="Q397">
        <v>3806.4345369211351</v>
      </c>
      <c r="R397" t="s">
        <v>195</v>
      </c>
      <c r="S397" t="s">
        <v>196</v>
      </c>
      <c r="T397" t="s">
        <v>196</v>
      </c>
      <c r="U397">
        <v>125524</v>
      </c>
      <c r="V397">
        <v>90652</v>
      </c>
      <c r="W397">
        <v>34872</v>
      </c>
    </row>
    <row r="398" spans="1:23" x14ac:dyDescent="0.3">
      <c r="A398" t="s">
        <v>1412</v>
      </c>
      <c r="B398">
        <v>2022</v>
      </c>
      <c r="C398">
        <v>3.9245217221942261</v>
      </c>
      <c r="D398">
        <v>16882</v>
      </c>
      <c r="E398">
        <v>2234286.359375</v>
      </c>
      <c r="F398">
        <v>1367</v>
      </c>
      <c r="G398">
        <v>465</v>
      </c>
      <c r="H398">
        <v>4.0707887269150002E-4</v>
      </c>
      <c r="I398">
        <v>16</v>
      </c>
      <c r="J398">
        <v>0</v>
      </c>
      <c r="K398">
        <v>0</v>
      </c>
      <c r="L398">
        <v>0</v>
      </c>
      <c r="M398">
        <v>10</v>
      </c>
      <c r="N398">
        <v>0.3912351726810373</v>
      </c>
      <c r="O398">
        <v>-0.16450106011443771</v>
      </c>
      <c r="P398">
        <v>84056930.649310797</v>
      </c>
      <c r="Q398">
        <v>3799.5587214950701</v>
      </c>
      <c r="R398" t="s">
        <v>834</v>
      </c>
      <c r="S398" t="s">
        <v>850</v>
      </c>
      <c r="T398" t="s">
        <v>25</v>
      </c>
      <c r="U398">
        <v>15917</v>
      </c>
      <c r="V398">
        <v>13264</v>
      </c>
      <c r="W398">
        <v>2653</v>
      </c>
    </row>
    <row r="399" spans="1:23" x14ac:dyDescent="0.3">
      <c r="A399" t="s">
        <v>1413</v>
      </c>
      <c r="B399">
        <v>2022</v>
      </c>
      <c r="C399">
        <v>3.7629199832373179</v>
      </c>
      <c r="D399">
        <v>10161</v>
      </c>
      <c r="E399">
        <v>343558.91348039208</v>
      </c>
      <c r="F399">
        <v>358</v>
      </c>
      <c r="G399">
        <v>167</v>
      </c>
      <c r="H399">
        <v>6.5788963981990001E-4</v>
      </c>
      <c r="I399">
        <v>8</v>
      </c>
      <c r="J399">
        <v>0.2</v>
      </c>
      <c r="K399">
        <v>1</v>
      </c>
      <c r="L399">
        <v>0</v>
      </c>
      <c r="M399">
        <v>1</v>
      </c>
      <c r="N399">
        <v>0.35208374669088333</v>
      </c>
      <c r="O399">
        <v>-0.1797551369525347</v>
      </c>
      <c r="P399">
        <v>121734914.8096883</v>
      </c>
      <c r="Q399">
        <v>3553.9124590040801</v>
      </c>
      <c r="R399" t="s">
        <v>410</v>
      </c>
      <c r="S399" t="s">
        <v>377</v>
      </c>
      <c r="T399" t="s">
        <v>425</v>
      </c>
      <c r="U399">
        <v>9695</v>
      </c>
      <c r="V399">
        <v>252</v>
      </c>
      <c r="W399">
        <v>9443</v>
      </c>
    </row>
    <row r="400" spans="1:23" x14ac:dyDescent="0.3">
      <c r="A400" t="s">
        <v>1414</v>
      </c>
      <c r="B400">
        <v>2022</v>
      </c>
      <c r="C400">
        <v>5.3776237636739159</v>
      </c>
      <c r="D400">
        <v>2977</v>
      </c>
      <c r="E400">
        <v>12656.756188725491</v>
      </c>
      <c r="F400">
        <v>66</v>
      </c>
      <c r="G400">
        <v>83</v>
      </c>
      <c r="H400">
        <v>5.901307444839E-4</v>
      </c>
      <c r="I400">
        <v>7</v>
      </c>
      <c r="J400">
        <v>0</v>
      </c>
      <c r="K400">
        <v>0</v>
      </c>
      <c r="L400">
        <v>0</v>
      </c>
      <c r="M400">
        <v>1</v>
      </c>
      <c r="N400">
        <v>0.45481073710220021</v>
      </c>
      <c r="O400">
        <v>-0.3227188946049207</v>
      </c>
      <c r="P400">
        <v>15998355.58944915</v>
      </c>
      <c r="Q400">
        <v>3464.097110754019</v>
      </c>
      <c r="R400" t="s">
        <v>834</v>
      </c>
      <c r="S400" t="s">
        <v>861</v>
      </c>
      <c r="T400" t="s">
        <v>865</v>
      </c>
      <c r="U400">
        <v>2844</v>
      </c>
      <c r="V400">
        <v>309</v>
      </c>
      <c r="W400">
        <v>2535</v>
      </c>
    </row>
    <row r="401" spans="1:23" x14ac:dyDescent="0.3">
      <c r="A401" t="s">
        <v>1415</v>
      </c>
      <c r="B401">
        <v>2022</v>
      </c>
      <c r="C401">
        <v>4.4334527150109526</v>
      </c>
      <c r="D401">
        <v>24993</v>
      </c>
      <c r="E401">
        <v>1950487.53125</v>
      </c>
      <c r="F401">
        <v>1145</v>
      </c>
      <c r="G401">
        <v>456</v>
      </c>
      <c r="H401">
        <v>5.152552924667E-4</v>
      </c>
      <c r="I401">
        <v>8</v>
      </c>
      <c r="J401">
        <v>3.5209973914000999E-3</v>
      </c>
      <c r="K401">
        <v>15</v>
      </c>
      <c r="L401">
        <v>0</v>
      </c>
      <c r="M401">
        <v>2</v>
      </c>
      <c r="N401">
        <v>0.27904957717445411</v>
      </c>
      <c r="O401">
        <v>-0.20935602555716989</v>
      </c>
      <c r="P401">
        <v>134677621.7439625</v>
      </c>
      <c r="Q401">
        <v>3021.769847877169</v>
      </c>
      <c r="R401" t="s">
        <v>410</v>
      </c>
      <c r="S401" t="s">
        <v>459</v>
      </c>
      <c r="T401" t="s">
        <v>460</v>
      </c>
      <c r="U401">
        <v>23753</v>
      </c>
      <c r="V401">
        <v>12198</v>
      </c>
      <c r="W401">
        <v>11555</v>
      </c>
    </row>
    <row r="402" spans="1:23" x14ac:dyDescent="0.3">
      <c r="A402" t="s">
        <v>1416</v>
      </c>
      <c r="B402">
        <v>2022</v>
      </c>
      <c r="C402">
        <v>0.78094592644511573</v>
      </c>
      <c r="D402">
        <v>4379</v>
      </c>
      <c r="E402">
        <v>744005.18682598043</v>
      </c>
      <c r="F402">
        <v>444</v>
      </c>
      <c r="G402">
        <v>130</v>
      </c>
      <c r="H402">
        <v>1.5601177179732E-3</v>
      </c>
      <c r="I402">
        <v>18</v>
      </c>
      <c r="J402">
        <v>7.6666666666666605E-2</v>
      </c>
      <c r="K402">
        <v>2</v>
      </c>
      <c r="L402">
        <v>0</v>
      </c>
      <c r="M402">
        <v>0</v>
      </c>
      <c r="N402">
        <v>0.71440296813523119</v>
      </c>
      <c r="O402">
        <v>-0.31023934322768598</v>
      </c>
      <c r="P402">
        <v>246794938.88758329</v>
      </c>
      <c r="Q402">
        <v>2988.4019547933872</v>
      </c>
      <c r="R402" t="s">
        <v>926</v>
      </c>
      <c r="S402" t="s">
        <v>935</v>
      </c>
      <c r="T402" t="s">
        <v>936</v>
      </c>
      <c r="U402">
        <v>4159</v>
      </c>
      <c r="V402">
        <v>2671</v>
      </c>
      <c r="W402">
        <v>1488</v>
      </c>
    </row>
    <row r="403" spans="1:23" x14ac:dyDescent="0.3">
      <c r="A403" t="s">
        <v>1417</v>
      </c>
      <c r="B403">
        <v>2022</v>
      </c>
      <c r="C403">
        <v>1.4425900576694941</v>
      </c>
      <c r="D403">
        <v>44061</v>
      </c>
      <c r="E403">
        <v>1241372.65625</v>
      </c>
      <c r="F403">
        <v>138</v>
      </c>
      <c r="G403">
        <v>707</v>
      </c>
      <c r="H403">
        <v>1.7116292944580001E-4</v>
      </c>
      <c r="I403">
        <v>36</v>
      </c>
      <c r="J403">
        <v>7.4074074074074001E-2</v>
      </c>
      <c r="K403">
        <v>1</v>
      </c>
      <c r="L403">
        <v>0</v>
      </c>
      <c r="M403">
        <v>14</v>
      </c>
      <c r="N403">
        <v>0.3458473225109775</v>
      </c>
      <c r="O403">
        <v>-0.26209193401615449</v>
      </c>
      <c r="P403">
        <v>565602867.36832094</v>
      </c>
      <c r="Q403">
        <v>2945.178854100197</v>
      </c>
      <c r="R403" t="s">
        <v>590</v>
      </c>
      <c r="S403" t="s">
        <v>614</v>
      </c>
      <c r="T403" t="s">
        <v>614</v>
      </c>
      <c r="U403">
        <v>42023</v>
      </c>
      <c r="V403">
        <v>10918</v>
      </c>
      <c r="W403">
        <v>31105</v>
      </c>
    </row>
    <row r="404" spans="1:23" x14ac:dyDescent="0.3">
      <c r="A404" t="s">
        <v>1418</v>
      </c>
      <c r="B404">
        <v>2022</v>
      </c>
      <c r="C404">
        <v>1.4493943352846519</v>
      </c>
      <c r="D404">
        <v>4689</v>
      </c>
      <c r="E404">
        <v>502290.59411764698</v>
      </c>
      <c r="F404">
        <v>550</v>
      </c>
      <c r="G404">
        <v>200</v>
      </c>
      <c r="H404">
        <v>2.7793594297980003E-4</v>
      </c>
      <c r="I404">
        <v>3</v>
      </c>
      <c r="J404">
        <v>0</v>
      </c>
      <c r="K404">
        <v>0</v>
      </c>
      <c r="L404">
        <v>0</v>
      </c>
      <c r="M404">
        <v>1</v>
      </c>
      <c r="N404">
        <v>0.38805377607899538</v>
      </c>
      <c r="O404">
        <v>-0.2117939716897857</v>
      </c>
      <c r="P404">
        <v>135922102.73123449</v>
      </c>
      <c r="Q404">
        <v>2822.9207304557272</v>
      </c>
      <c r="R404" t="s">
        <v>236</v>
      </c>
      <c r="S404" t="s">
        <v>237</v>
      </c>
      <c r="T404" t="s">
        <v>246</v>
      </c>
      <c r="U404">
        <v>4479</v>
      </c>
      <c r="V404">
        <v>931</v>
      </c>
      <c r="W404">
        <v>3548</v>
      </c>
    </row>
    <row r="405" spans="1:23" x14ac:dyDescent="0.3">
      <c r="A405" t="s">
        <v>1419</v>
      </c>
      <c r="B405">
        <v>2022</v>
      </c>
      <c r="C405">
        <v>5.4792007814570347</v>
      </c>
      <c r="D405">
        <v>17793</v>
      </c>
      <c r="E405">
        <v>4409977.5375612751</v>
      </c>
      <c r="F405">
        <v>4845</v>
      </c>
      <c r="G405">
        <v>917</v>
      </c>
      <c r="H405">
        <v>2.76201793615E-4</v>
      </c>
      <c r="I405">
        <v>10</v>
      </c>
      <c r="J405">
        <v>0</v>
      </c>
      <c r="K405">
        <v>0</v>
      </c>
      <c r="L405">
        <v>0</v>
      </c>
      <c r="M405">
        <v>16</v>
      </c>
      <c r="N405">
        <v>0.20724466258939769</v>
      </c>
      <c r="O405">
        <v>-0.26412480740454852</v>
      </c>
      <c r="P405">
        <v>61886853.552497409</v>
      </c>
      <c r="Q405">
        <v>2802.9195477394578</v>
      </c>
      <c r="R405" t="s">
        <v>616</v>
      </c>
      <c r="S405" t="s">
        <v>617</v>
      </c>
      <c r="T405" t="s">
        <v>619</v>
      </c>
      <c r="U405">
        <v>16985</v>
      </c>
      <c r="V405">
        <v>2892</v>
      </c>
      <c r="W405">
        <v>14093</v>
      </c>
    </row>
    <row r="406" spans="1:23" x14ac:dyDescent="0.3">
      <c r="A406" t="s">
        <v>1420</v>
      </c>
      <c r="B406">
        <v>2022</v>
      </c>
      <c r="C406">
        <v>9.3223013068664127</v>
      </c>
      <c r="D406">
        <v>6486</v>
      </c>
      <c r="E406">
        <v>18502.357169117651</v>
      </c>
      <c r="F406">
        <v>96</v>
      </c>
      <c r="G406">
        <v>233</v>
      </c>
      <c r="H406">
        <v>1.0966445907503999E-3</v>
      </c>
      <c r="I406">
        <v>12</v>
      </c>
      <c r="J406">
        <v>7.4074074074074001E-2</v>
      </c>
      <c r="K406">
        <v>1</v>
      </c>
      <c r="L406">
        <v>0</v>
      </c>
      <c r="M406">
        <v>2</v>
      </c>
      <c r="P406">
        <v>21076878.140606541</v>
      </c>
      <c r="Q406">
        <v>2770.1419149221169</v>
      </c>
      <c r="R406" t="s">
        <v>656</v>
      </c>
      <c r="S406" t="s">
        <v>813</v>
      </c>
      <c r="T406" t="s">
        <v>820</v>
      </c>
      <c r="U406">
        <v>6192</v>
      </c>
      <c r="V406">
        <v>4858</v>
      </c>
      <c r="W406">
        <v>1334</v>
      </c>
    </row>
    <row r="407" spans="1:23" x14ac:dyDescent="0.3">
      <c r="A407" t="s">
        <v>1421</v>
      </c>
      <c r="B407">
        <v>2022</v>
      </c>
      <c r="C407">
        <v>0.67511605727884627</v>
      </c>
      <c r="D407">
        <v>12131</v>
      </c>
      <c r="E407">
        <v>228846.22549019611</v>
      </c>
      <c r="F407">
        <v>46</v>
      </c>
      <c r="G407">
        <v>378</v>
      </c>
      <c r="H407">
        <v>1.3420979169929999E-4</v>
      </c>
      <c r="I407">
        <v>11</v>
      </c>
      <c r="J407">
        <v>0</v>
      </c>
      <c r="K407">
        <v>0</v>
      </c>
      <c r="L407">
        <v>0</v>
      </c>
      <c r="M407">
        <v>20</v>
      </c>
      <c r="N407">
        <v>0.46801354253716898</v>
      </c>
      <c r="O407">
        <v>-0.2070031000056764</v>
      </c>
      <c r="P407">
        <v>886281770.00175893</v>
      </c>
      <c r="Q407">
        <v>2768.6480822772951</v>
      </c>
      <c r="R407" t="s">
        <v>464</v>
      </c>
      <c r="S407" t="s">
        <v>477</v>
      </c>
      <c r="T407" t="s">
        <v>171</v>
      </c>
      <c r="U407">
        <v>11546</v>
      </c>
      <c r="V407">
        <v>1764</v>
      </c>
      <c r="W407">
        <v>9782</v>
      </c>
    </row>
    <row r="408" spans="1:23" x14ac:dyDescent="0.3">
      <c r="A408" t="s">
        <v>1422</v>
      </c>
      <c r="B408">
        <v>2022</v>
      </c>
      <c r="C408">
        <v>0.93118321249375358</v>
      </c>
      <c r="D408">
        <v>7271</v>
      </c>
      <c r="E408">
        <v>1440112.7147671571</v>
      </c>
      <c r="F408">
        <v>713</v>
      </c>
      <c r="G408">
        <v>351</v>
      </c>
      <c r="H408">
        <v>1.8300655925080001E-4</v>
      </c>
      <c r="I408">
        <v>30</v>
      </c>
      <c r="J408">
        <v>0</v>
      </c>
      <c r="K408">
        <v>0</v>
      </c>
      <c r="L408">
        <v>0</v>
      </c>
      <c r="M408">
        <v>19</v>
      </c>
      <c r="N408">
        <v>0.2972387422693617</v>
      </c>
      <c r="O408">
        <v>-0.2322624857092791</v>
      </c>
      <c r="P408">
        <v>208803427.4539369</v>
      </c>
      <c r="Q408">
        <v>2586.7112276805642</v>
      </c>
      <c r="R408" t="s">
        <v>195</v>
      </c>
      <c r="S408" t="s">
        <v>215</v>
      </c>
      <c r="T408" t="s">
        <v>221</v>
      </c>
      <c r="U408">
        <v>6934</v>
      </c>
      <c r="V408">
        <v>376</v>
      </c>
      <c r="W408">
        <v>6558</v>
      </c>
    </row>
    <row r="409" spans="1:23" x14ac:dyDescent="0.3">
      <c r="A409" t="s">
        <v>1423</v>
      </c>
      <c r="B409">
        <v>2022</v>
      </c>
      <c r="C409">
        <v>3.8591361294807789</v>
      </c>
      <c r="D409">
        <v>10320</v>
      </c>
      <c r="E409">
        <v>1241601.078125</v>
      </c>
      <c r="F409">
        <v>1895</v>
      </c>
      <c r="G409">
        <v>376</v>
      </c>
      <c r="H409">
        <v>7.0438633269959995E-4</v>
      </c>
      <c r="I409">
        <v>8</v>
      </c>
      <c r="J409">
        <v>0.08</v>
      </c>
      <c r="K409">
        <v>1</v>
      </c>
      <c r="L409">
        <v>0</v>
      </c>
      <c r="M409">
        <v>6</v>
      </c>
      <c r="P409">
        <v>50002336.075365268</v>
      </c>
      <c r="Q409">
        <v>2450.0969396179639</v>
      </c>
      <c r="R409" t="s">
        <v>656</v>
      </c>
      <c r="S409" t="s">
        <v>813</v>
      </c>
      <c r="T409" t="s">
        <v>398</v>
      </c>
      <c r="U409">
        <v>9842</v>
      </c>
      <c r="V409">
        <v>7893</v>
      </c>
      <c r="W409">
        <v>1949</v>
      </c>
    </row>
    <row r="410" spans="1:23" x14ac:dyDescent="0.3">
      <c r="A410" t="s">
        <v>1424</v>
      </c>
      <c r="B410">
        <v>2022</v>
      </c>
      <c r="C410">
        <v>2.2217469705135122</v>
      </c>
      <c r="D410">
        <v>29507</v>
      </c>
      <c r="E410">
        <v>747543.18995098048</v>
      </c>
      <c r="F410">
        <v>230</v>
      </c>
      <c r="G410">
        <v>415</v>
      </c>
      <c r="H410">
        <v>2.718791856234E-4</v>
      </c>
      <c r="I410">
        <v>15</v>
      </c>
      <c r="J410">
        <v>0</v>
      </c>
      <c r="K410">
        <v>0</v>
      </c>
      <c r="L410">
        <v>0</v>
      </c>
      <c r="M410">
        <v>0</v>
      </c>
      <c r="N410">
        <v>0.2283076241585153</v>
      </c>
      <c r="O410">
        <v>-0.1396659338558395</v>
      </c>
      <c r="P410">
        <v>279333626.444736</v>
      </c>
      <c r="Q410">
        <v>2447.2480628791068</v>
      </c>
      <c r="R410" t="s">
        <v>590</v>
      </c>
      <c r="S410" t="s">
        <v>591</v>
      </c>
      <c r="T410" t="s">
        <v>594</v>
      </c>
      <c r="U410">
        <v>28135</v>
      </c>
      <c r="V410">
        <v>5570</v>
      </c>
      <c r="W410">
        <v>22565</v>
      </c>
    </row>
    <row r="411" spans="1:23" x14ac:dyDescent="0.3">
      <c r="A411" t="s">
        <v>1425</v>
      </c>
      <c r="B411">
        <v>2022</v>
      </c>
      <c r="C411">
        <v>1.36340393030343</v>
      </c>
      <c r="D411">
        <v>7498</v>
      </c>
      <c r="E411">
        <v>67183.710294117642</v>
      </c>
      <c r="F411">
        <v>50</v>
      </c>
      <c r="G411">
        <v>205</v>
      </c>
      <c r="H411">
        <v>9.207766974538E-4</v>
      </c>
      <c r="I411">
        <v>10</v>
      </c>
      <c r="J411">
        <v>2.9850746268656699E-2</v>
      </c>
      <c r="K411">
        <v>1</v>
      </c>
      <c r="L411">
        <v>0</v>
      </c>
      <c r="M411">
        <v>7</v>
      </c>
      <c r="N411">
        <v>0.69593573780413509</v>
      </c>
      <c r="O411">
        <v>-0.31082597838025372</v>
      </c>
      <c r="P411">
        <v>223725852.82066491</v>
      </c>
      <c r="Q411">
        <v>2443.2791322317162</v>
      </c>
      <c r="R411" t="s">
        <v>734</v>
      </c>
      <c r="S411" t="s">
        <v>735</v>
      </c>
      <c r="T411" t="s">
        <v>740</v>
      </c>
      <c r="U411">
        <v>7144</v>
      </c>
      <c r="V411">
        <v>1581</v>
      </c>
      <c r="W411">
        <v>5563</v>
      </c>
    </row>
    <row r="412" spans="1:23" x14ac:dyDescent="0.3">
      <c r="A412" t="s">
        <v>1426</v>
      </c>
      <c r="B412">
        <v>2022</v>
      </c>
      <c r="C412">
        <v>1.3346522389838511</v>
      </c>
      <c r="D412">
        <v>4669</v>
      </c>
      <c r="E412">
        <v>993038.28125</v>
      </c>
      <c r="F412">
        <v>1234</v>
      </c>
      <c r="G412">
        <v>418</v>
      </c>
      <c r="H412">
        <v>3.8411345440269998E-4</v>
      </c>
      <c r="I412">
        <v>14</v>
      </c>
      <c r="J412">
        <v>1.9607843137254902E-2</v>
      </c>
      <c r="K412">
        <v>1</v>
      </c>
      <c r="L412">
        <v>0</v>
      </c>
      <c r="M412">
        <v>9</v>
      </c>
      <c r="N412">
        <v>0.3351480399357164</v>
      </c>
      <c r="O412">
        <v>-0.23543792625803081</v>
      </c>
      <c r="P412">
        <v>182887694.85142329</v>
      </c>
      <c r="Q412">
        <v>2300.3561291830142</v>
      </c>
      <c r="R412" t="s">
        <v>616</v>
      </c>
      <c r="S412" t="s">
        <v>639</v>
      </c>
      <c r="T412" t="s">
        <v>645</v>
      </c>
      <c r="U412">
        <v>4455</v>
      </c>
      <c r="V412">
        <v>848</v>
      </c>
      <c r="W412">
        <v>3607</v>
      </c>
    </row>
    <row r="413" spans="1:23" x14ac:dyDescent="0.3">
      <c r="A413" t="s">
        <v>1427</v>
      </c>
      <c r="B413">
        <v>2022</v>
      </c>
      <c r="C413">
        <v>0.93200399497777242</v>
      </c>
      <c r="D413">
        <v>9533</v>
      </c>
      <c r="E413">
        <v>2561910.5442401958</v>
      </c>
      <c r="F413">
        <v>1123</v>
      </c>
      <c r="G413">
        <v>725</v>
      </c>
      <c r="H413">
        <v>1.6685746740369999E-4</v>
      </c>
      <c r="I413">
        <v>36</v>
      </c>
      <c r="J413">
        <v>9.5238095238095205E-2</v>
      </c>
      <c r="K413">
        <v>1</v>
      </c>
      <c r="L413">
        <v>0</v>
      </c>
      <c r="M413">
        <v>4</v>
      </c>
      <c r="P413">
        <v>509424857.30415767</v>
      </c>
      <c r="Q413">
        <v>2230.3467404248031</v>
      </c>
      <c r="R413" t="s">
        <v>195</v>
      </c>
      <c r="S413" t="s">
        <v>196</v>
      </c>
      <c r="T413" t="s">
        <v>201</v>
      </c>
      <c r="U413">
        <v>9098</v>
      </c>
      <c r="V413">
        <v>4250</v>
      </c>
      <c r="W413">
        <v>4848</v>
      </c>
    </row>
    <row r="414" spans="1:23" x14ac:dyDescent="0.3">
      <c r="A414" t="s">
        <v>1428</v>
      </c>
      <c r="B414">
        <v>2022</v>
      </c>
      <c r="C414">
        <v>0.88332333637123239</v>
      </c>
      <c r="D414">
        <v>18132</v>
      </c>
      <c r="E414">
        <v>1565663.5319852941</v>
      </c>
      <c r="F414">
        <v>346</v>
      </c>
      <c r="G414">
        <v>395</v>
      </c>
      <c r="H414">
        <v>7.3607792088328875E-5</v>
      </c>
      <c r="I414">
        <v>36</v>
      </c>
      <c r="J414">
        <v>0</v>
      </c>
      <c r="K414">
        <v>0</v>
      </c>
      <c r="L414">
        <v>0</v>
      </c>
      <c r="M414">
        <v>12</v>
      </c>
      <c r="N414">
        <v>0.30476091106461051</v>
      </c>
      <c r="O414">
        <v>-0.17408255750551069</v>
      </c>
      <c r="P414">
        <v>500707740.77392417</v>
      </c>
      <c r="Q414">
        <v>2204.4300924690001</v>
      </c>
      <c r="R414" t="s">
        <v>616</v>
      </c>
      <c r="S414" t="s">
        <v>656</v>
      </c>
      <c r="T414" t="s">
        <v>656</v>
      </c>
      <c r="U414">
        <v>17293</v>
      </c>
      <c r="V414">
        <v>3722</v>
      </c>
      <c r="W414">
        <v>13571</v>
      </c>
    </row>
    <row r="415" spans="1:23" x14ac:dyDescent="0.3">
      <c r="A415" t="s">
        <v>1429</v>
      </c>
      <c r="B415">
        <v>2022</v>
      </c>
      <c r="C415">
        <v>1.5363705630760769</v>
      </c>
      <c r="D415">
        <v>38806</v>
      </c>
      <c r="E415">
        <v>2384589.9401960778</v>
      </c>
      <c r="F415">
        <v>487</v>
      </c>
      <c r="G415">
        <v>1187</v>
      </c>
      <c r="H415">
        <v>1.7478878386079999E-4</v>
      </c>
      <c r="I415">
        <v>13</v>
      </c>
      <c r="J415">
        <v>9.1324200913242004E-3</v>
      </c>
      <c r="K415">
        <v>1</v>
      </c>
      <c r="L415">
        <v>0</v>
      </c>
      <c r="M415">
        <v>15</v>
      </c>
      <c r="N415">
        <v>0.46809441541062968</v>
      </c>
      <c r="O415">
        <v>-0.25385596132138161</v>
      </c>
      <c r="P415">
        <v>424701164.87465948</v>
      </c>
      <c r="Q415">
        <v>1938.5715925957579</v>
      </c>
      <c r="R415" t="s">
        <v>944</v>
      </c>
      <c r="S415" t="s">
        <v>944</v>
      </c>
      <c r="T415" t="s">
        <v>1010</v>
      </c>
      <c r="U415">
        <v>36849</v>
      </c>
      <c r="V415">
        <v>16383</v>
      </c>
      <c r="W415">
        <v>20466</v>
      </c>
    </row>
    <row r="416" spans="1:23" x14ac:dyDescent="0.3">
      <c r="A416" t="s">
        <v>1430</v>
      </c>
      <c r="B416">
        <v>2022</v>
      </c>
      <c r="C416">
        <v>7.2998610692142147</v>
      </c>
      <c r="D416">
        <v>67179</v>
      </c>
      <c r="E416">
        <v>13837731.271691181</v>
      </c>
      <c r="F416">
        <v>8044</v>
      </c>
      <c r="G416">
        <v>1059</v>
      </c>
      <c r="H416">
        <v>2.5755974070000001E-4</v>
      </c>
      <c r="I416">
        <v>9</v>
      </c>
      <c r="J416">
        <v>0</v>
      </c>
      <c r="K416">
        <v>0</v>
      </c>
      <c r="L416">
        <v>0</v>
      </c>
      <c r="M416">
        <v>80</v>
      </c>
      <c r="N416">
        <v>0.38549053783636161</v>
      </c>
      <c r="O416">
        <v>-0.29702747670959873</v>
      </c>
      <c r="P416">
        <v>135925871.89272779</v>
      </c>
      <c r="Q416">
        <v>1869.27798129332</v>
      </c>
      <c r="R416" t="s">
        <v>160</v>
      </c>
      <c r="S416" t="s">
        <v>161</v>
      </c>
      <c r="T416" t="s">
        <v>161</v>
      </c>
      <c r="U416">
        <v>63348</v>
      </c>
      <c r="V416">
        <v>53245</v>
      </c>
      <c r="W416">
        <v>10103</v>
      </c>
    </row>
    <row r="417" spans="1:23" x14ac:dyDescent="0.3">
      <c r="A417" t="s">
        <v>1431</v>
      </c>
      <c r="B417">
        <v>2022</v>
      </c>
      <c r="C417">
        <v>8.6997776208768762</v>
      </c>
      <c r="D417">
        <v>195990</v>
      </c>
      <c r="E417">
        <v>22097610.578125</v>
      </c>
      <c r="F417">
        <v>5289</v>
      </c>
      <c r="G417">
        <v>2726</v>
      </c>
      <c r="H417">
        <v>1.5095415420520001E-4</v>
      </c>
      <c r="I417">
        <v>40</v>
      </c>
      <c r="J417">
        <v>1.53846153846153E-2</v>
      </c>
      <c r="K417">
        <v>1</v>
      </c>
      <c r="L417">
        <v>0</v>
      </c>
      <c r="M417">
        <v>46</v>
      </c>
      <c r="N417">
        <v>0.4236677538866721</v>
      </c>
      <c r="O417">
        <v>-0.16070521319676009</v>
      </c>
      <c r="P417">
        <v>255522650.7786729</v>
      </c>
      <c r="Q417">
        <v>1854.5817741233</v>
      </c>
      <c r="R417" t="s">
        <v>590</v>
      </c>
      <c r="S417" t="s">
        <v>601</v>
      </c>
      <c r="T417" t="s">
        <v>601</v>
      </c>
      <c r="U417">
        <v>186215</v>
      </c>
      <c r="V417">
        <v>95171</v>
      </c>
      <c r="W417">
        <v>91044</v>
      </c>
    </row>
    <row r="418" spans="1:23" x14ac:dyDescent="0.3">
      <c r="A418" t="s">
        <v>1432</v>
      </c>
      <c r="B418">
        <v>2022</v>
      </c>
      <c r="C418">
        <v>0.65626527486372355</v>
      </c>
      <c r="D418">
        <v>8500</v>
      </c>
      <c r="E418">
        <v>1240692.328125</v>
      </c>
      <c r="F418">
        <v>526</v>
      </c>
      <c r="G418">
        <v>240</v>
      </c>
      <c r="H418">
        <v>1.7548268365439999E-4</v>
      </c>
      <c r="I418">
        <v>6</v>
      </c>
      <c r="J418">
        <v>0</v>
      </c>
      <c r="K418">
        <v>0</v>
      </c>
      <c r="L418">
        <v>0</v>
      </c>
      <c r="M418">
        <v>0</v>
      </c>
      <c r="N418">
        <v>0.38802322509608389</v>
      </c>
      <c r="O418">
        <v>-0.34651350204162029</v>
      </c>
      <c r="P418">
        <v>580991657.03418493</v>
      </c>
      <c r="Q418">
        <v>1821.1212071980899</v>
      </c>
      <c r="R418" t="s">
        <v>236</v>
      </c>
      <c r="S418" t="s">
        <v>248</v>
      </c>
      <c r="T418" t="s">
        <v>249</v>
      </c>
      <c r="U418">
        <v>8111</v>
      </c>
      <c r="V418">
        <v>497</v>
      </c>
      <c r="W418">
        <v>7614</v>
      </c>
    </row>
    <row r="419" spans="1:23" x14ac:dyDescent="0.3">
      <c r="A419" t="s">
        <v>1433</v>
      </c>
      <c r="B419">
        <v>2022</v>
      </c>
      <c r="C419">
        <v>0.76903795542761055</v>
      </c>
      <c r="D419">
        <v>6095</v>
      </c>
      <c r="E419">
        <v>993122.9375</v>
      </c>
      <c r="F419">
        <v>700</v>
      </c>
      <c r="G419">
        <v>302</v>
      </c>
      <c r="H419">
        <v>2.8465500579000002E-4</v>
      </c>
      <c r="I419">
        <v>30</v>
      </c>
      <c r="J419">
        <v>0</v>
      </c>
      <c r="K419">
        <v>0</v>
      </c>
      <c r="L419">
        <v>0</v>
      </c>
      <c r="M419">
        <v>8</v>
      </c>
      <c r="N419">
        <v>0.34043547862679641</v>
      </c>
      <c r="O419">
        <v>-0.18225014211028401</v>
      </c>
      <c r="P419">
        <v>160814804.53751159</v>
      </c>
      <c r="Q419">
        <v>1790.107191710448</v>
      </c>
      <c r="R419" t="s">
        <v>616</v>
      </c>
      <c r="S419" t="s">
        <v>39</v>
      </c>
      <c r="T419" t="s">
        <v>146</v>
      </c>
      <c r="U419">
        <v>5794</v>
      </c>
      <c r="V419">
        <v>756</v>
      </c>
      <c r="W419">
        <v>5038</v>
      </c>
    </row>
    <row r="420" spans="1:23" x14ac:dyDescent="0.3">
      <c r="A420" t="s">
        <v>1434</v>
      </c>
      <c r="B420">
        <v>2022</v>
      </c>
      <c r="C420">
        <v>2.1182447261066608</v>
      </c>
      <c r="D420">
        <v>88170</v>
      </c>
      <c r="E420">
        <v>5479676.8614583332</v>
      </c>
      <c r="F420">
        <v>826</v>
      </c>
      <c r="G420">
        <v>1493</v>
      </c>
      <c r="H420">
        <v>7.0622747866389438E-5</v>
      </c>
      <c r="I420">
        <v>36</v>
      </c>
      <c r="J420">
        <v>1</v>
      </c>
      <c r="K420">
        <v>1</v>
      </c>
      <c r="L420">
        <v>0</v>
      </c>
      <c r="M420">
        <v>41</v>
      </c>
      <c r="N420">
        <v>0.47185335734033362</v>
      </c>
      <c r="O420">
        <v>-0.2375623489586407</v>
      </c>
      <c r="P420">
        <v>754816762.66881049</v>
      </c>
      <c r="Q420">
        <v>1593.7866855484181</v>
      </c>
      <c r="R420" t="s">
        <v>616</v>
      </c>
      <c r="S420" t="s">
        <v>631</v>
      </c>
      <c r="T420" t="s">
        <v>631</v>
      </c>
      <c r="U420">
        <v>84123</v>
      </c>
      <c r="V420">
        <v>32247</v>
      </c>
      <c r="W420">
        <v>51876</v>
      </c>
    </row>
    <row r="421" spans="1:23" x14ac:dyDescent="0.3">
      <c r="A421" t="s">
        <v>1435</v>
      </c>
      <c r="B421">
        <v>2022</v>
      </c>
      <c r="C421">
        <v>37.0922059122774</v>
      </c>
      <c r="D421">
        <v>274076</v>
      </c>
      <c r="E421">
        <v>54330153.365379907</v>
      </c>
      <c r="F421">
        <v>48708</v>
      </c>
      <c r="G421">
        <v>6289</v>
      </c>
      <c r="H421">
        <v>1.063063055005E-4</v>
      </c>
      <c r="I421">
        <v>56</v>
      </c>
      <c r="J421">
        <v>2.2948938611589201E-2</v>
      </c>
      <c r="K421">
        <v>4</v>
      </c>
      <c r="L421">
        <v>0</v>
      </c>
      <c r="M421">
        <v>52</v>
      </c>
      <c r="N421">
        <v>8.1538643603403196E-2</v>
      </c>
      <c r="O421">
        <v>-0.19189616538199919</v>
      </c>
      <c r="P421">
        <v>96215067.576395318</v>
      </c>
      <c r="Q421">
        <v>1509.5666349041121</v>
      </c>
      <c r="R421" t="s">
        <v>616</v>
      </c>
      <c r="S421" t="s">
        <v>647</v>
      </c>
      <c r="T421" t="s">
        <v>647</v>
      </c>
      <c r="U421">
        <v>261692</v>
      </c>
      <c r="V421">
        <v>181931</v>
      </c>
      <c r="W421">
        <v>79761</v>
      </c>
    </row>
    <row r="422" spans="1:23" x14ac:dyDescent="0.3">
      <c r="A422" t="s">
        <v>1436</v>
      </c>
      <c r="B422">
        <v>2022</v>
      </c>
      <c r="C422">
        <v>0.61822957644374565</v>
      </c>
      <c r="D422">
        <v>1733</v>
      </c>
      <c r="E422">
        <v>77905.843137254895</v>
      </c>
      <c r="F422">
        <v>189</v>
      </c>
      <c r="G422">
        <v>84</v>
      </c>
      <c r="H422">
        <v>4.575539287432E-4</v>
      </c>
      <c r="I422">
        <v>4</v>
      </c>
      <c r="J422">
        <v>1.6722054060919001E-3</v>
      </c>
      <c r="K422">
        <v>6</v>
      </c>
      <c r="L422">
        <v>0</v>
      </c>
      <c r="M422">
        <v>0</v>
      </c>
      <c r="N422">
        <v>0.63675908441852658</v>
      </c>
      <c r="O422">
        <v>-0.28787303894951882</v>
      </c>
      <c r="P422">
        <v>307949316.47968978</v>
      </c>
      <c r="Q422">
        <v>1470.481087792768</v>
      </c>
      <c r="R422" t="s">
        <v>734</v>
      </c>
      <c r="S422" t="s">
        <v>747</v>
      </c>
      <c r="T422" t="s">
        <v>334</v>
      </c>
      <c r="U422">
        <v>1646</v>
      </c>
      <c r="V422">
        <v>892</v>
      </c>
      <c r="W422">
        <v>754</v>
      </c>
    </row>
    <row r="423" spans="1:23" x14ac:dyDescent="0.3">
      <c r="A423" t="s">
        <v>1437</v>
      </c>
      <c r="B423">
        <v>2022</v>
      </c>
      <c r="C423">
        <v>0.89191431456403725</v>
      </c>
      <c r="D423">
        <v>5780</v>
      </c>
      <c r="E423">
        <v>1238288.515625</v>
      </c>
      <c r="F423">
        <v>1487</v>
      </c>
      <c r="G423">
        <v>319</v>
      </c>
      <c r="H423">
        <v>3.2841620853560002E-4</v>
      </c>
      <c r="I423">
        <v>14</v>
      </c>
      <c r="J423">
        <v>1</v>
      </c>
      <c r="K423">
        <v>1</v>
      </c>
      <c r="L423">
        <v>0</v>
      </c>
      <c r="M423">
        <v>4</v>
      </c>
      <c r="N423">
        <v>0.46904782853579358</v>
      </c>
      <c r="O423">
        <v>-0.36243833065734032</v>
      </c>
      <c r="P423">
        <v>159768511.02759969</v>
      </c>
      <c r="Q423">
        <v>1285.0090084610929</v>
      </c>
      <c r="R423" t="s">
        <v>503</v>
      </c>
      <c r="S423" t="s">
        <v>503</v>
      </c>
      <c r="T423" t="s">
        <v>513</v>
      </c>
      <c r="U423">
        <v>5487</v>
      </c>
      <c r="V423">
        <v>3624</v>
      </c>
      <c r="W423">
        <v>1863</v>
      </c>
    </row>
    <row r="424" spans="1:23" x14ac:dyDescent="0.3">
      <c r="A424" t="s">
        <v>1438</v>
      </c>
      <c r="B424">
        <v>2022</v>
      </c>
      <c r="C424">
        <v>2.8448787292289062</v>
      </c>
      <c r="D424">
        <v>15078</v>
      </c>
      <c r="E424">
        <v>1738283.09375</v>
      </c>
      <c r="F424">
        <v>2751</v>
      </c>
      <c r="G424">
        <v>437</v>
      </c>
      <c r="H424">
        <v>2.6906445735659998E-4</v>
      </c>
      <c r="I424">
        <v>13</v>
      </c>
      <c r="J424">
        <v>0</v>
      </c>
      <c r="K424">
        <v>0</v>
      </c>
      <c r="L424">
        <v>0</v>
      </c>
      <c r="M424">
        <v>4</v>
      </c>
      <c r="N424">
        <v>0.48068344232598431</v>
      </c>
      <c r="O424">
        <v>-0.30809179978294221</v>
      </c>
      <c r="P424">
        <v>130795071.9694521</v>
      </c>
      <c r="Q424">
        <v>1192.202244388212</v>
      </c>
      <c r="R424" t="s">
        <v>656</v>
      </c>
      <c r="S424" t="s">
        <v>807</v>
      </c>
      <c r="T424" t="s">
        <v>812</v>
      </c>
      <c r="U424">
        <v>14388</v>
      </c>
      <c r="V424">
        <v>9005</v>
      </c>
      <c r="W424">
        <v>5383</v>
      </c>
    </row>
    <row r="425" spans="1:23" x14ac:dyDescent="0.3">
      <c r="A425" t="s">
        <v>1439</v>
      </c>
      <c r="B425">
        <v>2022</v>
      </c>
      <c r="C425">
        <v>1.7420905347949189</v>
      </c>
      <c r="D425">
        <v>36356</v>
      </c>
      <c r="E425">
        <v>3020460.8047794122</v>
      </c>
      <c r="F425">
        <v>1359</v>
      </c>
      <c r="G425">
        <v>674</v>
      </c>
      <c r="H425">
        <v>1.5941256929799999E-4</v>
      </c>
      <c r="I425">
        <v>92</v>
      </c>
      <c r="J425">
        <v>0</v>
      </c>
      <c r="K425">
        <v>0</v>
      </c>
      <c r="L425">
        <v>0</v>
      </c>
      <c r="M425">
        <v>64</v>
      </c>
      <c r="N425">
        <v>0.32725532444650068</v>
      </c>
      <c r="O425">
        <v>-0.22324912249824419</v>
      </c>
      <c r="P425">
        <v>304517906.77206689</v>
      </c>
      <c r="Q425">
        <v>1064.9969747138041</v>
      </c>
      <c r="R425" t="s">
        <v>616</v>
      </c>
      <c r="S425" t="s">
        <v>101</v>
      </c>
      <c r="T425" t="s">
        <v>624</v>
      </c>
      <c r="U425">
        <v>34688</v>
      </c>
      <c r="V425">
        <v>8429</v>
      </c>
      <c r="W425">
        <v>26259</v>
      </c>
    </row>
    <row r="426" spans="1:23" x14ac:dyDescent="0.3">
      <c r="A426" t="s">
        <v>1440</v>
      </c>
      <c r="B426">
        <v>2022</v>
      </c>
      <c r="C426">
        <v>8.8108912297405091</v>
      </c>
      <c r="D426">
        <v>58986</v>
      </c>
      <c r="E426">
        <v>13361309.084436269</v>
      </c>
      <c r="F426">
        <v>19137</v>
      </c>
      <c r="G426">
        <v>1256</v>
      </c>
      <c r="H426">
        <v>3.2947659571369998E-4</v>
      </c>
      <c r="I426">
        <v>17</v>
      </c>
      <c r="J426">
        <v>0.4</v>
      </c>
      <c r="K426">
        <v>1</v>
      </c>
      <c r="L426">
        <v>0</v>
      </c>
      <c r="M426">
        <v>54</v>
      </c>
      <c r="N426">
        <v>0.17075936391467611</v>
      </c>
      <c r="O426">
        <v>1.5748718757568302E-2</v>
      </c>
      <c r="P426">
        <v>98476770.138014376</v>
      </c>
      <c r="Q426">
        <v>1042.9081158388681</v>
      </c>
      <c r="R426" t="s">
        <v>291</v>
      </c>
      <c r="S426" t="s">
        <v>313</v>
      </c>
      <c r="T426" t="s">
        <v>313</v>
      </c>
      <c r="U426">
        <v>56267</v>
      </c>
      <c r="V426">
        <v>33009</v>
      </c>
      <c r="W426">
        <v>23258</v>
      </c>
    </row>
    <row r="427" spans="1:23" x14ac:dyDescent="0.3">
      <c r="A427" t="s">
        <v>1441</v>
      </c>
      <c r="B427">
        <v>2022</v>
      </c>
      <c r="C427">
        <v>8.4638424524671976</v>
      </c>
      <c r="D427">
        <v>61947</v>
      </c>
      <c r="E427">
        <v>12415936.640625</v>
      </c>
      <c r="F427">
        <v>16413</v>
      </c>
      <c r="G427">
        <v>1230</v>
      </c>
      <c r="H427">
        <v>5.3501220719369999E-4</v>
      </c>
      <c r="I427">
        <v>24</v>
      </c>
      <c r="J427">
        <v>9.3567251461988299E-2</v>
      </c>
      <c r="K427">
        <v>4</v>
      </c>
      <c r="L427">
        <v>0</v>
      </c>
      <c r="M427">
        <v>12</v>
      </c>
      <c r="N427">
        <v>0.48503601281498099</v>
      </c>
      <c r="O427">
        <v>-0.1822868082801295</v>
      </c>
      <c r="P427">
        <v>147560059.4418143</v>
      </c>
      <c r="Q427">
        <v>1033.567417239741</v>
      </c>
      <c r="R427" t="s">
        <v>963</v>
      </c>
      <c r="S427" t="s">
        <v>964</v>
      </c>
      <c r="T427" t="s">
        <v>965</v>
      </c>
      <c r="U427">
        <v>59016</v>
      </c>
      <c r="V427">
        <v>35312</v>
      </c>
      <c r="W427">
        <v>23704</v>
      </c>
    </row>
    <row r="428" spans="1:23" x14ac:dyDescent="0.3">
      <c r="A428" t="s">
        <v>1442</v>
      </c>
      <c r="B428">
        <v>2022</v>
      </c>
      <c r="C428">
        <v>1.018702134512508</v>
      </c>
      <c r="D428">
        <v>20479</v>
      </c>
      <c r="E428">
        <v>2476371.265625</v>
      </c>
      <c r="F428">
        <v>1232</v>
      </c>
      <c r="G428">
        <v>1286</v>
      </c>
      <c r="H428">
        <v>7.399316304126916E-5</v>
      </c>
      <c r="I428">
        <v>12</v>
      </c>
      <c r="J428">
        <v>0</v>
      </c>
      <c r="K428">
        <v>0</v>
      </c>
      <c r="L428">
        <v>0</v>
      </c>
      <c r="M428">
        <v>23</v>
      </c>
      <c r="N428">
        <v>0.46980223164924029</v>
      </c>
      <c r="O428">
        <v>-0.39711908461248818</v>
      </c>
      <c r="P428">
        <v>349330560.48472393</v>
      </c>
      <c r="Q428">
        <v>999.86995473729962</v>
      </c>
      <c r="R428" t="s">
        <v>503</v>
      </c>
      <c r="S428" t="s">
        <v>516</v>
      </c>
      <c r="T428" t="s">
        <v>517</v>
      </c>
      <c r="U428">
        <v>19361</v>
      </c>
      <c r="V428">
        <v>11887</v>
      </c>
      <c r="W428">
        <v>7474</v>
      </c>
    </row>
    <row r="429" spans="1:23" x14ac:dyDescent="0.3">
      <c r="A429" t="s">
        <v>1443</v>
      </c>
      <c r="B429">
        <v>2022</v>
      </c>
      <c r="C429">
        <v>1.159063783443752</v>
      </c>
      <c r="D429">
        <v>10581</v>
      </c>
      <c r="E429">
        <v>993019.234375</v>
      </c>
      <c r="F429">
        <v>1150</v>
      </c>
      <c r="G429">
        <v>170</v>
      </c>
      <c r="H429">
        <v>4.1092662107320002E-4</v>
      </c>
      <c r="I429">
        <v>21</v>
      </c>
      <c r="J429">
        <v>0</v>
      </c>
      <c r="K429">
        <v>0</v>
      </c>
      <c r="L429">
        <v>0</v>
      </c>
      <c r="M429">
        <v>13</v>
      </c>
      <c r="N429">
        <v>0.37118529513885179</v>
      </c>
      <c r="O429">
        <v>-0.26719665126149411</v>
      </c>
      <c r="P429">
        <v>256787710.57124299</v>
      </c>
      <c r="Q429">
        <v>945.88958126511079</v>
      </c>
      <c r="R429" t="s">
        <v>616</v>
      </c>
      <c r="S429" t="s">
        <v>588</v>
      </c>
      <c r="T429" t="s">
        <v>588</v>
      </c>
      <c r="U429">
        <v>10085</v>
      </c>
      <c r="V429">
        <v>645</v>
      </c>
      <c r="W429">
        <v>9440</v>
      </c>
    </row>
    <row r="430" spans="1:23" x14ac:dyDescent="0.3">
      <c r="A430" t="s">
        <v>1113</v>
      </c>
      <c r="B430">
        <v>2022</v>
      </c>
      <c r="C430">
        <v>6.9269461305052458</v>
      </c>
      <c r="D430">
        <v>5402</v>
      </c>
      <c r="E430">
        <v>2161899.6732230391</v>
      </c>
      <c r="F430">
        <v>24</v>
      </c>
      <c r="G430">
        <v>191</v>
      </c>
      <c r="H430">
        <v>2.739271465142E-4</v>
      </c>
      <c r="I430">
        <v>5</v>
      </c>
      <c r="J430">
        <v>0</v>
      </c>
      <c r="K430">
        <v>0</v>
      </c>
      <c r="L430">
        <v>0</v>
      </c>
      <c r="M430">
        <v>6</v>
      </c>
      <c r="P430">
        <v>72666203.249821156</v>
      </c>
      <c r="Q430">
        <v>1155078.5647270209</v>
      </c>
      <c r="R430" t="s">
        <v>656</v>
      </c>
      <c r="S430" t="s">
        <v>776</v>
      </c>
      <c r="T430" t="s">
        <v>800</v>
      </c>
      <c r="U430">
        <v>5152</v>
      </c>
      <c r="V430">
        <v>3246</v>
      </c>
      <c r="W430">
        <v>1906</v>
      </c>
    </row>
    <row r="431" spans="1:23" x14ac:dyDescent="0.3">
      <c r="A431" t="s">
        <v>1445</v>
      </c>
      <c r="B431">
        <v>2022</v>
      </c>
      <c r="C431">
        <v>8.389404387650659</v>
      </c>
      <c r="D431">
        <v>9347</v>
      </c>
      <c r="E431">
        <v>235638.03541666671</v>
      </c>
      <c r="F431">
        <v>2293</v>
      </c>
      <c r="G431">
        <v>529</v>
      </c>
      <c r="H431">
        <v>3.6849130434400001E-4</v>
      </c>
      <c r="I431">
        <v>78</v>
      </c>
      <c r="J431">
        <v>6.2365591397849397E-2</v>
      </c>
      <c r="K431">
        <v>2</v>
      </c>
      <c r="L431">
        <v>0</v>
      </c>
      <c r="M431">
        <v>5</v>
      </c>
      <c r="N431">
        <v>0.25500607686621268</v>
      </c>
      <c r="O431">
        <v>-8.8507438911655106E-2</v>
      </c>
      <c r="P431">
        <v>77228122.569014952</v>
      </c>
      <c r="Q431">
        <v>922.35949883333001</v>
      </c>
      <c r="R431" t="s">
        <v>352</v>
      </c>
      <c r="S431" t="s">
        <v>352</v>
      </c>
      <c r="T431" t="s">
        <v>360</v>
      </c>
      <c r="U431">
        <v>8930</v>
      </c>
      <c r="V431">
        <v>3713</v>
      </c>
      <c r="W431">
        <v>5217</v>
      </c>
    </row>
    <row r="432" spans="1:23" x14ac:dyDescent="0.3">
      <c r="A432" t="s">
        <v>1446</v>
      </c>
      <c r="B432">
        <v>2022</v>
      </c>
      <c r="C432">
        <v>34.769514979344542</v>
      </c>
      <c r="D432">
        <v>178473</v>
      </c>
      <c r="E432">
        <v>19478856.363664221</v>
      </c>
      <c r="F432">
        <v>42399</v>
      </c>
      <c r="G432">
        <v>2801</v>
      </c>
      <c r="H432">
        <v>1.441708908064E-4</v>
      </c>
      <c r="I432">
        <v>36</v>
      </c>
      <c r="J432">
        <v>7.8033172260676001E-3</v>
      </c>
      <c r="K432">
        <v>9</v>
      </c>
      <c r="L432">
        <v>0</v>
      </c>
      <c r="M432">
        <v>92</v>
      </c>
      <c r="N432">
        <v>0.21501836502959251</v>
      </c>
      <c r="O432">
        <v>-7.6765222154999299E-2</v>
      </c>
      <c r="P432">
        <v>70817049.983287379</v>
      </c>
      <c r="Q432">
        <v>895.02249356130233</v>
      </c>
      <c r="R432" t="s">
        <v>352</v>
      </c>
      <c r="S432" t="s">
        <v>352</v>
      </c>
      <c r="T432" t="s">
        <v>352</v>
      </c>
      <c r="U432">
        <v>168676</v>
      </c>
      <c r="V432">
        <v>119664</v>
      </c>
      <c r="W432">
        <v>49012</v>
      </c>
    </row>
    <row r="433" spans="1:23" x14ac:dyDescent="0.3">
      <c r="A433" t="s">
        <v>1447</v>
      </c>
      <c r="B433">
        <v>2022</v>
      </c>
      <c r="C433">
        <v>15.30751365900349</v>
      </c>
      <c r="D433">
        <v>2792588</v>
      </c>
      <c r="E433">
        <v>213587821.21654409</v>
      </c>
      <c r="F433">
        <v>13190</v>
      </c>
      <c r="G433">
        <v>31354</v>
      </c>
      <c r="H433">
        <v>2.1399320792392751E-5</v>
      </c>
      <c r="I433">
        <v>85</v>
      </c>
      <c r="J433">
        <v>1.9002330474492E-3</v>
      </c>
      <c r="K433">
        <v>23</v>
      </c>
      <c r="L433">
        <v>0</v>
      </c>
      <c r="M433">
        <v>441</v>
      </c>
      <c r="N433">
        <v>0.2723531593417462</v>
      </c>
      <c r="O433">
        <v>-0.13248575832976239</v>
      </c>
      <c r="P433">
        <v>1768389286.4875529</v>
      </c>
      <c r="Q433">
        <v>887.62490296324927</v>
      </c>
      <c r="R433" t="s">
        <v>410</v>
      </c>
      <c r="S433" t="s">
        <v>411</v>
      </c>
      <c r="T433" t="s">
        <v>411</v>
      </c>
      <c r="U433">
        <v>2651280</v>
      </c>
      <c r="V433">
        <v>1910806</v>
      </c>
      <c r="W433">
        <v>740474</v>
      </c>
    </row>
    <row r="434" spans="1:23" x14ac:dyDescent="0.3">
      <c r="A434" t="s">
        <v>1448</v>
      </c>
      <c r="B434">
        <v>2022</v>
      </c>
      <c r="C434">
        <v>2.2874671731043721</v>
      </c>
      <c r="D434">
        <v>24474</v>
      </c>
      <c r="E434">
        <v>6455803.984375</v>
      </c>
      <c r="F434">
        <v>7491</v>
      </c>
      <c r="G434">
        <v>2015</v>
      </c>
      <c r="H434">
        <v>8.6635940144367345E-5</v>
      </c>
      <c r="I434">
        <v>71</v>
      </c>
      <c r="J434">
        <v>0</v>
      </c>
      <c r="K434">
        <v>0</v>
      </c>
      <c r="L434">
        <v>0</v>
      </c>
      <c r="M434">
        <v>26</v>
      </c>
      <c r="N434">
        <v>0.1191691413979676</v>
      </c>
      <c r="O434">
        <v>-0.211144840309899</v>
      </c>
      <c r="P434">
        <v>248319342.95368329</v>
      </c>
      <c r="Q434">
        <v>805.49055642965197</v>
      </c>
      <c r="R434" t="s">
        <v>616</v>
      </c>
      <c r="S434" t="s">
        <v>660</v>
      </c>
      <c r="T434" t="s">
        <v>662</v>
      </c>
      <c r="U434">
        <v>23270</v>
      </c>
      <c r="V434">
        <v>3611</v>
      </c>
      <c r="W434">
        <v>19659</v>
      </c>
    </row>
    <row r="435" spans="1:23" x14ac:dyDescent="0.3">
      <c r="A435" t="s">
        <v>1449</v>
      </c>
      <c r="B435">
        <v>2022</v>
      </c>
      <c r="C435">
        <v>3.211736584143261</v>
      </c>
      <c r="D435">
        <v>28570</v>
      </c>
      <c r="E435">
        <v>5702405.5128676472</v>
      </c>
      <c r="F435">
        <v>8264</v>
      </c>
      <c r="G435">
        <v>1873</v>
      </c>
      <c r="H435">
        <v>1.0277315171500001E-4</v>
      </c>
      <c r="I435">
        <v>69</v>
      </c>
      <c r="J435">
        <v>7.69230769230769E-2</v>
      </c>
      <c r="K435">
        <v>7</v>
      </c>
      <c r="L435">
        <v>0</v>
      </c>
      <c r="M435">
        <v>32</v>
      </c>
      <c r="N435">
        <v>0.10773746431222379</v>
      </c>
      <c r="O435">
        <v>-0.14456209012947649</v>
      </c>
      <c r="P435">
        <v>168504208.790838</v>
      </c>
      <c r="Q435">
        <v>775.7065662036772</v>
      </c>
      <c r="R435" t="s">
        <v>616</v>
      </c>
      <c r="S435" t="s">
        <v>660</v>
      </c>
      <c r="T435" t="s">
        <v>661</v>
      </c>
      <c r="U435">
        <v>26948</v>
      </c>
      <c r="V435">
        <v>14933</v>
      </c>
      <c r="W435">
        <v>12015</v>
      </c>
    </row>
    <row r="436" spans="1:23" x14ac:dyDescent="0.3">
      <c r="A436" t="s">
        <v>1450</v>
      </c>
      <c r="B436">
        <v>2022</v>
      </c>
      <c r="C436">
        <v>5.9134239351128581</v>
      </c>
      <c r="D436">
        <v>22840</v>
      </c>
      <c r="E436">
        <v>1458631.9277573531</v>
      </c>
      <c r="F436">
        <v>5126</v>
      </c>
      <c r="G436">
        <v>904</v>
      </c>
      <c r="H436">
        <v>2.82962615029E-4</v>
      </c>
      <c r="I436">
        <v>39</v>
      </c>
      <c r="J436">
        <v>0</v>
      </c>
      <c r="K436">
        <v>0</v>
      </c>
      <c r="L436">
        <v>0</v>
      </c>
      <c r="M436">
        <v>6</v>
      </c>
      <c r="N436">
        <v>0.28866634981207212</v>
      </c>
      <c r="O436">
        <v>-0.1153687532733642</v>
      </c>
      <c r="P436">
        <v>104068120.41231801</v>
      </c>
      <c r="Q436">
        <v>736.7328398030013</v>
      </c>
      <c r="R436" t="s">
        <v>352</v>
      </c>
      <c r="S436" t="s">
        <v>400</v>
      </c>
      <c r="T436" t="s">
        <v>400</v>
      </c>
      <c r="U436">
        <v>21645</v>
      </c>
      <c r="V436">
        <v>6907</v>
      </c>
      <c r="W436">
        <v>14738</v>
      </c>
    </row>
    <row r="437" spans="1:23" x14ac:dyDescent="0.3">
      <c r="A437" t="s">
        <v>1451</v>
      </c>
      <c r="B437">
        <v>2022</v>
      </c>
      <c r="C437">
        <v>0.82165576702524268</v>
      </c>
      <c r="D437">
        <v>5246</v>
      </c>
      <c r="E437">
        <v>491752.10477941169</v>
      </c>
      <c r="F437">
        <v>1218</v>
      </c>
      <c r="G437">
        <v>240</v>
      </c>
      <c r="H437">
        <v>4.4393442420149999E-4</v>
      </c>
      <c r="I437">
        <v>56</v>
      </c>
      <c r="J437">
        <v>0</v>
      </c>
      <c r="K437">
        <v>0</v>
      </c>
      <c r="L437">
        <v>0</v>
      </c>
      <c r="M437">
        <v>7</v>
      </c>
      <c r="N437">
        <v>0.24769713990668071</v>
      </c>
      <c r="O437">
        <v>-2.4461698076561601E-2</v>
      </c>
      <c r="P437">
        <v>191192605.27642411</v>
      </c>
      <c r="Q437">
        <v>632.35442319772778</v>
      </c>
      <c r="R437" t="s">
        <v>352</v>
      </c>
      <c r="S437" t="s">
        <v>376</v>
      </c>
      <c r="T437" t="s">
        <v>381</v>
      </c>
      <c r="U437">
        <v>4992</v>
      </c>
      <c r="V437">
        <v>309</v>
      </c>
      <c r="W437">
        <v>4683</v>
      </c>
    </row>
    <row r="438" spans="1:23" x14ac:dyDescent="0.3">
      <c r="A438" t="s">
        <v>1452</v>
      </c>
      <c r="B438">
        <v>2022</v>
      </c>
      <c r="C438">
        <v>3.9955812214478108</v>
      </c>
      <c r="D438">
        <v>101463</v>
      </c>
      <c r="E438">
        <v>34165311.471139707</v>
      </c>
      <c r="F438">
        <v>22001</v>
      </c>
      <c r="G438">
        <v>4403</v>
      </c>
      <c r="H438">
        <v>5.4022104712526822E-5</v>
      </c>
      <c r="I438">
        <v>122</v>
      </c>
      <c r="J438">
        <v>2.2988505747126398E-2</v>
      </c>
      <c r="K438">
        <v>1</v>
      </c>
      <c r="L438">
        <v>0</v>
      </c>
      <c r="M438">
        <v>27</v>
      </c>
      <c r="N438">
        <v>0.21551785280642061</v>
      </c>
      <c r="O438">
        <v>-0.2530815818787901</v>
      </c>
      <c r="P438">
        <v>598650570.34879041</v>
      </c>
      <c r="Q438">
        <v>611.52642391111851</v>
      </c>
      <c r="R438" t="s">
        <v>616</v>
      </c>
      <c r="S438" t="s">
        <v>649</v>
      </c>
      <c r="T438" t="s">
        <v>649</v>
      </c>
      <c r="U438">
        <v>96831</v>
      </c>
      <c r="V438">
        <v>21148</v>
      </c>
      <c r="W438">
        <v>75683</v>
      </c>
    </row>
    <row r="439" spans="1:23" x14ac:dyDescent="0.3">
      <c r="A439" t="s">
        <v>1453</v>
      </c>
      <c r="B439">
        <v>2022</v>
      </c>
      <c r="C439">
        <v>0.7608616964339936</v>
      </c>
      <c r="D439">
        <v>21141</v>
      </c>
      <c r="E439">
        <v>1489926.234375</v>
      </c>
      <c r="F439">
        <v>1083</v>
      </c>
      <c r="G439">
        <v>885</v>
      </c>
      <c r="H439">
        <v>5.7616546652005887E-5</v>
      </c>
      <c r="I439">
        <v>113</v>
      </c>
      <c r="J439">
        <v>0</v>
      </c>
      <c r="K439">
        <v>0</v>
      </c>
      <c r="L439">
        <v>0</v>
      </c>
      <c r="M439">
        <v>21</v>
      </c>
      <c r="N439">
        <v>0.4076625337483531</v>
      </c>
      <c r="O439">
        <v>-0.19767087616936829</v>
      </c>
      <c r="P439">
        <v>986421810.18037856</v>
      </c>
      <c r="Q439">
        <v>495.12688134016872</v>
      </c>
      <c r="R439" t="s">
        <v>616</v>
      </c>
      <c r="S439" t="s">
        <v>636</v>
      </c>
      <c r="T439" t="s">
        <v>636</v>
      </c>
      <c r="U439">
        <v>20170</v>
      </c>
      <c r="V439">
        <v>3332</v>
      </c>
      <c r="W439">
        <v>16838</v>
      </c>
    </row>
    <row r="440" spans="1:23" x14ac:dyDescent="0.3">
      <c r="A440" t="s">
        <v>1454</v>
      </c>
      <c r="B440">
        <v>2022</v>
      </c>
      <c r="C440">
        <v>1.5082426213611519</v>
      </c>
      <c r="D440">
        <v>9172</v>
      </c>
      <c r="E440">
        <v>496625.328125</v>
      </c>
      <c r="F440">
        <v>2118</v>
      </c>
      <c r="G440">
        <v>199</v>
      </c>
      <c r="H440">
        <v>1.3646166558663E-3</v>
      </c>
      <c r="I440">
        <v>34</v>
      </c>
      <c r="J440">
        <v>9.8901098901098897E-2</v>
      </c>
      <c r="K440">
        <v>5</v>
      </c>
      <c r="L440">
        <v>0</v>
      </c>
      <c r="M440">
        <v>5</v>
      </c>
      <c r="N440">
        <v>0.16860256120954201</v>
      </c>
      <c r="O440">
        <v>1.8433148578374199E-2</v>
      </c>
      <c r="P440">
        <v>142533824.0558745</v>
      </c>
      <c r="Q440">
        <v>385.57607004731727</v>
      </c>
      <c r="R440" t="s">
        <v>352</v>
      </c>
      <c r="S440" t="s">
        <v>376</v>
      </c>
      <c r="T440" t="s">
        <v>376</v>
      </c>
      <c r="U440">
        <v>8747</v>
      </c>
      <c r="V440">
        <v>1233</v>
      </c>
      <c r="W440">
        <v>7514</v>
      </c>
    </row>
    <row r="441" spans="1:23" x14ac:dyDescent="0.3">
      <c r="A441" t="s">
        <v>1455</v>
      </c>
      <c r="B441">
        <v>2022</v>
      </c>
      <c r="C441">
        <v>3.6385017436700848</v>
      </c>
      <c r="D441">
        <v>44748</v>
      </c>
      <c r="E441">
        <v>5263854.6624999996</v>
      </c>
      <c r="F441">
        <v>12019</v>
      </c>
      <c r="G441">
        <v>3259</v>
      </c>
      <c r="H441">
        <v>6.6865342567574897E-5</v>
      </c>
      <c r="I441">
        <v>226</v>
      </c>
      <c r="J441">
        <v>8.3003952569169898E-2</v>
      </c>
      <c r="K441">
        <v>2</v>
      </c>
      <c r="L441">
        <v>0</v>
      </c>
      <c r="M441">
        <v>52</v>
      </c>
      <c r="N441">
        <v>0.1920908888816017</v>
      </c>
      <c r="O441">
        <v>-0.22845774309523861</v>
      </c>
      <c r="P441">
        <v>278587073.38175052</v>
      </c>
      <c r="Q441">
        <v>356.11028136226571</v>
      </c>
      <c r="R441" t="s">
        <v>616</v>
      </c>
      <c r="S441" t="s">
        <v>409</v>
      </c>
      <c r="T441" t="s">
        <v>409</v>
      </c>
      <c r="U441">
        <v>42684</v>
      </c>
      <c r="V441">
        <v>20555</v>
      </c>
      <c r="W441">
        <v>22129</v>
      </c>
    </row>
    <row r="442" spans="1:23" x14ac:dyDescent="0.3">
      <c r="A442" t="s">
        <v>1456</v>
      </c>
      <c r="B442">
        <v>2022</v>
      </c>
      <c r="C442">
        <v>0.93935701496553159</v>
      </c>
      <c r="D442">
        <v>8928</v>
      </c>
      <c r="E442">
        <v>1946.39068627451</v>
      </c>
      <c r="F442">
        <v>6</v>
      </c>
      <c r="G442">
        <v>216</v>
      </c>
      <c r="H442">
        <v>2.0849916542360001E-4</v>
      </c>
      <c r="I442">
        <v>12</v>
      </c>
      <c r="J442">
        <v>0</v>
      </c>
      <c r="K442">
        <v>0</v>
      </c>
      <c r="L442">
        <v>0</v>
      </c>
      <c r="M442">
        <v>2</v>
      </c>
      <c r="N442">
        <v>0.36361917133115651</v>
      </c>
      <c r="O442">
        <v>-0.3215772669179896</v>
      </c>
      <c r="P442">
        <v>180906927.25762519</v>
      </c>
      <c r="Q442">
        <v>341.31491655755968</v>
      </c>
      <c r="R442" t="s">
        <v>236</v>
      </c>
      <c r="S442" t="s">
        <v>248</v>
      </c>
      <c r="T442" t="s">
        <v>257</v>
      </c>
      <c r="U442">
        <v>8530</v>
      </c>
      <c r="V442">
        <v>773</v>
      </c>
      <c r="W442">
        <v>7757</v>
      </c>
    </row>
    <row r="443" spans="1:23" x14ac:dyDescent="0.3">
      <c r="A443" t="s">
        <v>1457</v>
      </c>
      <c r="B443">
        <v>2022</v>
      </c>
      <c r="C443">
        <v>10.303970663473191</v>
      </c>
      <c r="D443">
        <v>264192</v>
      </c>
      <c r="E443">
        <v>43895892.055024512</v>
      </c>
      <c r="F443">
        <v>51099</v>
      </c>
      <c r="G443">
        <v>6689</v>
      </c>
      <c r="H443">
        <v>4.6960328127408177E-5</v>
      </c>
      <c r="I443">
        <v>132</v>
      </c>
      <c r="J443">
        <v>0.1111111111111111</v>
      </c>
      <c r="K443">
        <v>3</v>
      </c>
      <c r="L443">
        <v>0</v>
      </c>
      <c r="M443">
        <v>149</v>
      </c>
      <c r="N443">
        <v>0.2310238205776807</v>
      </c>
      <c r="O443">
        <v>-0.2579888785410574</v>
      </c>
      <c r="P443">
        <v>415361757.8346622</v>
      </c>
      <c r="Q443">
        <v>335.03982179628298</v>
      </c>
      <c r="R443" t="s">
        <v>616</v>
      </c>
      <c r="S443" t="s">
        <v>617</v>
      </c>
      <c r="T443" t="s">
        <v>617</v>
      </c>
      <c r="U443">
        <v>252044</v>
      </c>
      <c r="V443">
        <v>174246</v>
      </c>
      <c r="W443">
        <v>77798</v>
      </c>
    </row>
    <row r="444" spans="1:23" x14ac:dyDescent="0.3">
      <c r="A444" t="s">
        <v>1458</v>
      </c>
      <c r="B444">
        <v>2022</v>
      </c>
      <c r="C444">
        <v>3.062199922562975</v>
      </c>
      <c r="D444">
        <v>17660</v>
      </c>
      <c r="E444">
        <v>993148.828125</v>
      </c>
      <c r="F444">
        <v>5141</v>
      </c>
      <c r="G444">
        <v>581</v>
      </c>
      <c r="H444">
        <v>3.574322862474E-4</v>
      </c>
      <c r="I444">
        <v>64</v>
      </c>
      <c r="J444">
        <v>0</v>
      </c>
      <c r="K444">
        <v>0</v>
      </c>
      <c r="L444">
        <v>0</v>
      </c>
      <c r="M444">
        <v>19</v>
      </c>
      <c r="N444">
        <v>0.3367020870661202</v>
      </c>
      <c r="O444">
        <v>-0.220683660838422</v>
      </c>
      <c r="P444">
        <v>120865842.4380302</v>
      </c>
      <c r="Q444">
        <v>334.97282241887319</v>
      </c>
      <c r="R444" t="s">
        <v>616</v>
      </c>
      <c r="S444" t="s">
        <v>617</v>
      </c>
      <c r="T444" t="s">
        <v>76</v>
      </c>
      <c r="U444">
        <v>16848</v>
      </c>
      <c r="V444">
        <v>1955</v>
      </c>
      <c r="W444">
        <v>14893</v>
      </c>
    </row>
    <row r="445" spans="1:23" x14ac:dyDescent="0.3">
      <c r="A445" t="s">
        <v>1459</v>
      </c>
      <c r="B445">
        <v>2022</v>
      </c>
      <c r="C445">
        <v>1.202354706970103</v>
      </c>
      <c r="D445">
        <v>8574</v>
      </c>
      <c r="E445">
        <v>496570.09375</v>
      </c>
      <c r="F445">
        <v>2311</v>
      </c>
      <c r="G445">
        <v>300</v>
      </c>
      <c r="H445">
        <v>3.9493818663059998E-4</v>
      </c>
      <c r="I445">
        <v>43</v>
      </c>
      <c r="J445">
        <v>0</v>
      </c>
      <c r="K445">
        <v>0</v>
      </c>
      <c r="L445">
        <v>0</v>
      </c>
      <c r="M445">
        <v>12</v>
      </c>
      <c r="N445">
        <v>0.3341494250628132</v>
      </c>
      <c r="O445">
        <v>-0.17343771237473221</v>
      </c>
      <c r="P445">
        <v>139082614.8431758</v>
      </c>
      <c r="Q445">
        <v>301.32123834119682</v>
      </c>
      <c r="R445" t="s">
        <v>616</v>
      </c>
      <c r="S445" t="s">
        <v>617</v>
      </c>
      <c r="T445" t="s">
        <v>622</v>
      </c>
      <c r="U445">
        <v>8180</v>
      </c>
      <c r="V445">
        <v>505</v>
      </c>
      <c r="W445">
        <v>7675</v>
      </c>
    </row>
    <row r="446" spans="1:23" x14ac:dyDescent="0.3">
      <c r="A446" t="s">
        <v>1460</v>
      </c>
      <c r="B446">
        <v>2022</v>
      </c>
      <c r="C446">
        <v>4.2656221073792544</v>
      </c>
      <c r="D446">
        <v>2585</v>
      </c>
      <c r="E446">
        <v>4868.6222426470586</v>
      </c>
      <c r="F446">
        <v>286</v>
      </c>
      <c r="G446">
        <v>213</v>
      </c>
      <c r="H446">
        <v>1.1640837098405999E-3</v>
      </c>
      <c r="I446">
        <v>15</v>
      </c>
      <c r="J446">
        <v>0</v>
      </c>
      <c r="K446">
        <v>0</v>
      </c>
      <c r="L446">
        <v>0</v>
      </c>
      <c r="M446">
        <v>1</v>
      </c>
      <c r="P446">
        <v>18407692.516123399</v>
      </c>
      <c r="Q446">
        <v>280.90655706961428</v>
      </c>
      <c r="R446" t="s">
        <v>195</v>
      </c>
      <c r="S446" t="s">
        <v>196</v>
      </c>
      <c r="T446" t="s">
        <v>200</v>
      </c>
      <c r="U446">
        <v>2467</v>
      </c>
      <c r="V446">
        <v>1481</v>
      </c>
      <c r="W446">
        <v>986</v>
      </c>
    </row>
    <row r="447" spans="1:23" x14ac:dyDescent="0.3">
      <c r="A447" t="s">
        <v>1461</v>
      </c>
      <c r="B447">
        <v>2022</v>
      </c>
      <c r="C447">
        <v>1.0046101769521381</v>
      </c>
      <c r="D447">
        <v>26279</v>
      </c>
      <c r="E447">
        <v>18502.46078431372</v>
      </c>
      <c r="F447">
        <v>30</v>
      </c>
      <c r="G447">
        <v>910</v>
      </c>
      <c r="H447">
        <v>7.3338342493053485E-5</v>
      </c>
      <c r="I447">
        <v>9</v>
      </c>
      <c r="J447">
        <v>8.1632653061223994E-3</v>
      </c>
      <c r="K447">
        <v>1</v>
      </c>
      <c r="L447">
        <v>0</v>
      </c>
      <c r="M447">
        <v>8</v>
      </c>
      <c r="N447">
        <v>0.48695999231545101</v>
      </c>
      <c r="O447">
        <v>-0.21940821107218109</v>
      </c>
      <c r="P447">
        <v>695708834.03387284</v>
      </c>
      <c r="Q447">
        <v>235.77457795932631</v>
      </c>
      <c r="R447" t="s">
        <v>656</v>
      </c>
      <c r="S447" t="s">
        <v>833</v>
      </c>
      <c r="T447" t="s">
        <v>833</v>
      </c>
      <c r="U447">
        <v>25043</v>
      </c>
      <c r="V447">
        <v>8237</v>
      </c>
      <c r="W447">
        <v>16806</v>
      </c>
    </row>
    <row r="448" spans="1:23" x14ac:dyDescent="0.3">
      <c r="A448" t="s">
        <v>1462</v>
      </c>
      <c r="B448">
        <v>2022</v>
      </c>
      <c r="C448">
        <v>0.99033179907850444</v>
      </c>
      <c r="D448">
        <v>17274</v>
      </c>
      <c r="E448">
        <v>1489949.28125</v>
      </c>
      <c r="F448">
        <v>4872</v>
      </c>
      <c r="G448">
        <v>1904</v>
      </c>
      <c r="H448">
        <v>6.4031141018292676E-5</v>
      </c>
      <c r="I448">
        <v>116</v>
      </c>
      <c r="J448">
        <v>0</v>
      </c>
      <c r="K448">
        <v>0</v>
      </c>
      <c r="L448">
        <v>0</v>
      </c>
      <c r="M448">
        <v>41</v>
      </c>
      <c r="N448">
        <v>0.22705526677367091</v>
      </c>
      <c r="O448">
        <v>-0.1916345278005907</v>
      </c>
      <c r="P448">
        <v>568072935.45889437</v>
      </c>
      <c r="Q448">
        <v>175.32829698544131</v>
      </c>
      <c r="R448" t="s">
        <v>616</v>
      </c>
      <c r="S448" t="s">
        <v>675</v>
      </c>
      <c r="T448" t="s">
        <v>675</v>
      </c>
      <c r="U448">
        <v>16568</v>
      </c>
      <c r="V448">
        <v>5414</v>
      </c>
      <c r="W448">
        <v>11154</v>
      </c>
    </row>
    <row r="449" spans="1:23" x14ac:dyDescent="0.3">
      <c r="A449" t="s">
        <v>1463</v>
      </c>
      <c r="B449">
        <v>2022</v>
      </c>
      <c r="C449">
        <v>0.99404056306395405</v>
      </c>
      <c r="D449">
        <v>11672</v>
      </c>
      <c r="E449">
        <v>744907.984375</v>
      </c>
      <c r="F449">
        <v>3641</v>
      </c>
      <c r="G449">
        <v>1278</v>
      </c>
      <c r="H449">
        <v>1.0711960846949999E-4</v>
      </c>
      <c r="I449">
        <v>114</v>
      </c>
      <c r="J449">
        <v>0</v>
      </c>
      <c r="K449">
        <v>0</v>
      </c>
      <c r="L449">
        <v>0</v>
      </c>
      <c r="M449">
        <v>32</v>
      </c>
      <c r="N449">
        <v>0.37518908694362391</v>
      </c>
      <c r="O449">
        <v>-0.29182247289940189</v>
      </c>
      <c r="P449">
        <v>206220877.80385321</v>
      </c>
      <c r="Q449">
        <v>174.23715781930301</v>
      </c>
      <c r="R449" t="s">
        <v>616</v>
      </c>
      <c r="S449" t="s">
        <v>626</v>
      </c>
      <c r="T449" t="s">
        <v>628</v>
      </c>
      <c r="U449">
        <v>11132</v>
      </c>
      <c r="V449">
        <v>776</v>
      </c>
      <c r="W449">
        <v>10356</v>
      </c>
    </row>
    <row r="450" spans="1:23" x14ac:dyDescent="0.3">
      <c r="A450" t="s">
        <v>1464</v>
      </c>
      <c r="B450">
        <v>2022</v>
      </c>
      <c r="C450">
        <v>0.69433415758294281</v>
      </c>
      <c r="D450">
        <v>6434</v>
      </c>
      <c r="E450">
        <v>248325.625</v>
      </c>
      <c r="F450">
        <v>1668</v>
      </c>
      <c r="G450">
        <v>611</v>
      </c>
      <c r="H450">
        <v>1.6697250340080001E-4</v>
      </c>
      <c r="I450">
        <v>87</v>
      </c>
      <c r="J450">
        <v>0</v>
      </c>
      <c r="K450">
        <v>0</v>
      </c>
      <c r="L450">
        <v>0</v>
      </c>
      <c r="M450">
        <v>34</v>
      </c>
      <c r="N450">
        <v>0.34450698138181762</v>
      </c>
      <c r="O450">
        <v>-0.24795127841476891</v>
      </c>
      <c r="P450">
        <v>231323090.891729</v>
      </c>
      <c r="Q450">
        <v>160.6619245858825</v>
      </c>
      <c r="R450" t="s">
        <v>616</v>
      </c>
      <c r="S450" t="s">
        <v>669</v>
      </c>
      <c r="T450" t="s">
        <v>671</v>
      </c>
      <c r="U450">
        <v>6135</v>
      </c>
      <c r="V450">
        <v>209</v>
      </c>
      <c r="W450">
        <v>5926</v>
      </c>
    </row>
    <row r="451" spans="1:23" x14ac:dyDescent="0.3">
      <c r="A451" t="s">
        <v>1465</v>
      </c>
      <c r="B451">
        <v>2022</v>
      </c>
      <c r="C451">
        <v>1.996044867653386</v>
      </c>
      <c r="D451">
        <v>32815</v>
      </c>
      <c r="E451">
        <v>2483036.09375</v>
      </c>
      <c r="F451">
        <v>9688</v>
      </c>
      <c r="G451">
        <v>2457</v>
      </c>
      <c r="H451">
        <v>6.8080640062677107E-5</v>
      </c>
      <c r="I451">
        <v>163</v>
      </c>
      <c r="J451">
        <v>8.9743589743589702E-2</v>
      </c>
      <c r="K451">
        <v>6</v>
      </c>
      <c r="L451">
        <v>0</v>
      </c>
      <c r="M451">
        <v>57</v>
      </c>
      <c r="N451">
        <v>0.1100744791313787</v>
      </c>
      <c r="O451">
        <v>-0.18376665602080369</v>
      </c>
      <c r="P451">
        <v>248055289.69217429</v>
      </c>
      <c r="Q451">
        <v>155.9002433483044</v>
      </c>
      <c r="R451" t="s">
        <v>616</v>
      </c>
      <c r="S451" t="s">
        <v>663</v>
      </c>
      <c r="T451" t="s">
        <v>663</v>
      </c>
      <c r="U451">
        <v>31306</v>
      </c>
      <c r="V451">
        <v>12525</v>
      </c>
      <c r="W451">
        <v>18781</v>
      </c>
    </row>
    <row r="452" spans="1:23" x14ac:dyDescent="0.3">
      <c r="A452" t="s">
        <v>1466</v>
      </c>
      <c r="B452">
        <v>2022</v>
      </c>
      <c r="C452">
        <v>0.53747005077454224</v>
      </c>
      <c r="D452">
        <v>8192</v>
      </c>
      <c r="E452">
        <v>496233.28125</v>
      </c>
      <c r="F452">
        <v>2325</v>
      </c>
      <c r="G452">
        <v>353</v>
      </c>
      <c r="H452">
        <v>3.930771947269E-4</v>
      </c>
      <c r="I452">
        <v>25</v>
      </c>
      <c r="J452">
        <v>0</v>
      </c>
      <c r="K452">
        <v>0</v>
      </c>
      <c r="L452">
        <v>0</v>
      </c>
      <c r="M452">
        <v>4</v>
      </c>
      <c r="N452">
        <v>0.60858717217612179</v>
      </c>
      <c r="O452">
        <v>-0.25345862570576472</v>
      </c>
      <c r="P452">
        <v>1326085100.118645</v>
      </c>
      <c r="Q452">
        <v>140.03198865373781</v>
      </c>
      <c r="R452" t="s">
        <v>678</v>
      </c>
      <c r="S452" t="s">
        <v>723</v>
      </c>
      <c r="T452" t="s">
        <v>723</v>
      </c>
      <c r="U452">
        <v>7812</v>
      </c>
      <c r="V452">
        <v>796</v>
      </c>
      <c r="W452">
        <v>7016</v>
      </c>
    </row>
    <row r="453" spans="1:23" x14ac:dyDescent="0.3">
      <c r="A453" t="s">
        <v>1467</v>
      </c>
      <c r="B453">
        <v>2022</v>
      </c>
      <c r="C453">
        <v>0.87138714119240246</v>
      </c>
      <c r="D453">
        <v>12783</v>
      </c>
      <c r="E453">
        <v>993281.453125</v>
      </c>
      <c r="F453">
        <v>5003</v>
      </c>
      <c r="G453">
        <v>1301</v>
      </c>
      <c r="H453">
        <v>9.1330597671794998E-5</v>
      </c>
      <c r="I453">
        <v>118</v>
      </c>
      <c r="J453">
        <v>0</v>
      </c>
      <c r="K453">
        <v>0</v>
      </c>
      <c r="L453">
        <v>0</v>
      </c>
      <c r="M453">
        <v>40</v>
      </c>
      <c r="N453">
        <v>0.20948667966879739</v>
      </c>
      <c r="O453">
        <v>-0.23285108618725081</v>
      </c>
      <c r="P453">
        <v>276164275.21635699</v>
      </c>
      <c r="Q453">
        <v>135.33813308792151</v>
      </c>
      <c r="R453" t="s">
        <v>616</v>
      </c>
      <c r="S453" t="s">
        <v>660</v>
      </c>
      <c r="T453" t="s">
        <v>180</v>
      </c>
      <c r="U453">
        <v>12196</v>
      </c>
      <c r="V453">
        <v>2697</v>
      </c>
      <c r="W453">
        <v>9499</v>
      </c>
    </row>
    <row r="454" spans="1:23" x14ac:dyDescent="0.3">
      <c r="A454" t="s">
        <v>1468</v>
      </c>
      <c r="B454">
        <v>2022</v>
      </c>
      <c r="C454">
        <v>1.274496663477785</v>
      </c>
      <c r="D454">
        <v>23406</v>
      </c>
      <c r="E454">
        <v>993178.34375</v>
      </c>
      <c r="F454">
        <v>4069</v>
      </c>
      <c r="G454">
        <v>745</v>
      </c>
      <c r="H454">
        <v>2.0306895778629999E-4</v>
      </c>
      <c r="I454">
        <v>72</v>
      </c>
      <c r="J454">
        <v>0</v>
      </c>
      <c r="K454">
        <v>0</v>
      </c>
      <c r="L454">
        <v>0</v>
      </c>
      <c r="M454">
        <v>48</v>
      </c>
      <c r="N454">
        <v>0.2895511482742294</v>
      </c>
      <c r="O454">
        <v>-0.21943060274778689</v>
      </c>
      <c r="P454">
        <v>266969524.63654509</v>
      </c>
      <c r="Q454">
        <v>132.9079787982441</v>
      </c>
      <c r="R454" t="s">
        <v>616</v>
      </c>
      <c r="S454" t="s">
        <v>646</v>
      </c>
      <c r="T454" t="s">
        <v>646</v>
      </c>
      <c r="U454">
        <v>22323</v>
      </c>
      <c r="V454">
        <v>5487</v>
      </c>
      <c r="W454">
        <v>16836</v>
      </c>
    </row>
    <row r="455" spans="1:23" x14ac:dyDescent="0.3">
      <c r="A455" t="s">
        <v>1469</v>
      </c>
      <c r="B455">
        <v>2022</v>
      </c>
      <c r="C455">
        <v>1.23063515622635</v>
      </c>
      <c r="D455">
        <v>54026</v>
      </c>
      <c r="E455">
        <v>252192.4244485294</v>
      </c>
      <c r="F455">
        <v>464</v>
      </c>
      <c r="G455">
        <v>917</v>
      </c>
      <c r="H455">
        <v>9.9131310382077838E-5</v>
      </c>
      <c r="I455">
        <v>22</v>
      </c>
      <c r="J455">
        <v>0</v>
      </c>
      <c r="K455">
        <v>0</v>
      </c>
      <c r="L455">
        <v>0</v>
      </c>
      <c r="M455">
        <v>22</v>
      </c>
      <c r="N455">
        <v>0.57910734499844796</v>
      </c>
      <c r="O455">
        <v>-0.27473659570265868</v>
      </c>
      <c r="P455">
        <v>969553202.89237964</v>
      </c>
      <c r="Q455">
        <v>123.8056770799365</v>
      </c>
      <c r="R455" t="s">
        <v>590</v>
      </c>
      <c r="S455" t="s">
        <v>613</v>
      </c>
      <c r="T455" t="s">
        <v>613</v>
      </c>
      <c r="U455">
        <v>51496</v>
      </c>
      <c r="V455">
        <v>9130</v>
      </c>
      <c r="W455">
        <v>42366</v>
      </c>
    </row>
    <row r="456" spans="1:23" x14ac:dyDescent="0.3">
      <c r="A456" t="s">
        <v>1470</v>
      </c>
      <c r="B456">
        <v>2022</v>
      </c>
      <c r="C456">
        <v>0.6638483458178237</v>
      </c>
      <c r="D456">
        <v>6882</v>
      </c>
      <c r="E456">
        <v>496641.046875</v>
      </c>
      <c r="F456">
        <v>4104</v>
      </c>
      <c r="G456">
        <v>1361</v>
      </c>
      <c r="H456">
        <v>9.2626851236916083E-5</v>
      </c>
      <c r="I456">
        <v>164</v>
      </c>
      <c r="J456">
        <v>0</v>
      </c>
      <c r="K456">
        <v>0</v>
      </c>
      <c r="L456">
        <v>0</v>
      </c>
      <c r="M456">
        <v>33</v>
      </c>
      <c r="N456">
        <v>0.30252439511138529</v>
      </c>
      <c r="O456">
        <v>-0.28249601809067121</v>
      </c>
      <c r="P456">
        <v>335733536.44926882</v>
      </c>
      <c r="Q456">
        <v>116.73187669602289</v>
      </c>
      <c r="R456" t="s">
        <v>616</v>
      </c>
      <c r="S456" t="s">
        <v>626</v>
      </c>
      <c r="T456" t="s">
        <v>361</v>
      </c>
      <c r="U456">
        <v>6566</v>
      </c>
      <c r="V456">
        <v>314</v>
      </c>
      <c r="W456">
        <v>6252</v>
      </c>
    </row>
    <row r="457" spans="1:23" x14ac:dyDescent="0.3">
      <c r="A457" t="s">
        <v>1471</v>
      </c>
      <c r="B457">
        <v>2022</v>
      </c>
      <c r="C457">
        <v>1.472909187058866</v>
      </c>
      <c r="D457">
        <v>79846</v>
      </c>
      <c r="E457">
        <v>10925573.53125</v>
      </c>
      <c r="F457">
        <v>18931</v>
      </c>
      <c r="G457">
        <v>4185</v>
      </c>
      <c r="H457">
        <v>2.9285951202797851E-5</v>
      </c>
      <c r="I457">
        <v>482</v>
      </c>
      <c r="J457">
        <v>0.2</v>
      </c>
      <c r="K457">
        <v>3</v>
      </c>
      <c r="L457">
        <v>0</v>
      </c>
      <c r="M457">
        <v>89</v>
      </c>
      <c r="N457">
        <v>0.39114882527062639</v>
      </c>
      <c r="O457">
        <v>-0.20951237912787621</v>
      </c>
      <c r="P457">
        <v>805939691.99742532</v>
      </c>
      <c r="Q457">
        <v>106.4617241715294</v>
      </c>
      <c r="R457" t="s">
        <v>616</v>
      </c>
      <c r="S457" t="s">
        <v>626</v>
      </c>
      <c r="T457" t="s">
        <v>626</v>
      </c>
      <c r="U457">
        <v>76186</v>
      </c>
      <c r="V457">
        <v>34704</v>
      </c>
      <c r="W457">
        <v>41482</v>
      </c>
    </row>
    <row r="458" spans="1:23" x14ac:dyDescent="0.3">
      <c r="A458" t="s">
        <v>1472</v>
      </c>
      <c r="B458">
        <v>2022</v>
      </c>
      <c r="C458">
        <v>1.5004689620968961</v>
      </c>
      <c r="D458">
        <v>17632</v>
      </c>
      <c r="E458">
        <v>541420.49595588236</v>
      </c>
      <c r="F458">
        <v>5847</v>
      </c>
      <c r="G458">
        <v>1660</v>
      </c>
      <c r="H458">
        <v>1.098771738294E-4</v>
      </c>
      <c r="I458">
        <v>73</v>
      </c>
      <c r="J458">
        <v>1</v>
      </c>
      <c r="K458">
        <v>1</v>
      </c>
      <c r="L458">
        <v>0</v>
      </c>
      <c r="M458">
        <v>33</v>
      </c>
      <c r="N458">
        <v>0.14980297508755619</v>
      </c>
      <c r="O458">
        <v>-0.19451917922458309</v>
      </c>
      <c r="P458">
        <v>337808720.50793481</v>
      </c>
      <c r="Q458">
        <v>78.800148805981507</v>
      </c>
      <c r="R458" t="s">
        <v>616</v>
      </c>
      <c r="S458" t="s">
        <v>95</v>
      </c>
      <c r="T458" t="s">
        <v>95</v>
      </c>
      <c r="U458">
        <v>16849</v>
      </c>
      <c r="V458">
        <v>5923</v>
      </c>
      <c r="W458">
        <v>10926</v>
      </c>
    </row>
    <row r="459" spans="1:23" x14ac:dyDescent="0.3">
      <c r="A459" t="s">
        <v>1473</v>
      </c>
      <c r="B459">
        <v>2022</v>
      </c>
      <c r="C459">
        <v>1.301271010498418</v>
      </c>
      <c r="D459">
        <v>44989</v>
      </c>
      <c r="E459">
        <v>2249543.1831495101</v>
      </c>
      <c r="F459">
        <v>8861</v>
      </c>
      <c r="G459">
        <v>1560</v>
      </c>
      <c r="H459">
        <v>1.003714286854E-4</v>
      </c>
      <c r="I459">
        <v>92</v>
      </c>
      <c r="J459">
        <v>0</v>
      </c>
      <c r="K459">
        <v>0</v>
      </c>
      <c r="L459">
        <v>0</v>
      </c>
      <c r="M459">
        <v>26</v>
      </c>
      <c r="N459">
        <v>0.3594191099992583</v>
      </c>
      <c r="O459">
        <v>-0.1343282676422744</v>
      </c>
      <c r="P459">
        <v>696198926.3387481</v>
      </c>
      <c r="Q459">
        <v>73.429912846563511</v>
      </c>
      <c r="R459" t="s">
        <v>616</v>
      </c>
      <c r="S459" t="s">
        <v>669</v>
      </c>
      <c r="T459" t="s">
        <v>669</v>
      </c>
      <c r="U459">
        <v>43002</v>
      </c>
      <c r="V459">
        <v>12239</v>
      </c>
      <c r="W459">
        <v>30763</v>
      </c>
    </row>
    <row r="460" spans="1:23" x14ac:dyDescent="0.3">
      <c r="A460" t="s">
        <v>1474</v>
      </c>
      <c r="B460">
        <v>2022</v>
      </c>
      <c r="C460">
        <v>4.1175950060035724</v>
      </c>
      <c r="D460">
        <v>391033</v>
      </c>
      <c r="E460">
        <v>727443.44448529417</v>
      </c>
      <c r="F460">
        <v>3071</v>
      </c>
      <c r="G460">
        <v>7193</v>
      </c>
      <c r="H460">
        <v>4.3615855894067522E-5</v>
      </c>
      <c r="I460">
        <v>49</v>
      </c>
      <c r="J460">
        <v>4.6291229836503004E-3</v>
      </c>
      <c r="K460">
        <v>6</v>
      </c>
      <c r="L460">
        <v>0</v>
      </c>
      <c r="M460">
        <v>195</v>
      </c>
      <c r="N460">
        <v>0.49847134607180588</v>
      </c>
      <c r="O460">
        <v>-0.24755369511196629</v>
      </c>
      <c r="P460">
        <v>1072857311.765041</v>
      </c>
      <c r="Q460">
        <v>24.943054560939661</v>
      </c>
      <c r="R460" t="s">
        <v>994</v>
      </c>
      <c r="S460" t="s">
        <v>995</v>
      </c>
      <c r="T460" t="s">
        <v>996</v>
      </c>
      <c r="U460">
        <v>371880</v>
      </c>
      <c r="V460">
        <v>228236</v>
      </c>
      <c r="W460">
        <v>143644</v>
      </c>
    </row>
    <row r="461" spans="1:23" x14ac:dyDescent="0.3">
      <c r="A461" t="s">
        <v>1475</v>
      </c>
      <c r="B461">
        <v>2022</v>
      </c>
      <c r="C461">
        <v>1.673393915534173</v>
      </c>
      <c r="D461">
        <v>15590</v>
      </c>
      <c r="E461">
        <v>8763.7433823529409</v>
      </c>
      <c r="F461">
        <v>537</v>
      </c>
      <c r="G461">
        <v>536</v>
      </c>
      <c r="H461">
        <v>2.3669789872169999E-4</v>
      </c>
      <c r="I461">
        <v>25</v>
      </c>
      <c r="J461">
        <v>3.38983050847457E-2</v>
      </c>
      <c r="K461">
        <v>1</v>
      </c>
      <c r="L461">
        <v>0</v>
      </c>
      <c r="M461">
        <v>7</v>
      </c>
      <c r="P461">
        <v>139670837.62026519</v>
      </c>
      <c r="Q461">
        <v>17.517310854774021</v>
      </c>
      <c r="R461" t="s">
        <v>195</v>
      </c>
      <c r="S461" t="s">
        <v>196</v>
      </c>
      <c r="T461" t="s">
        <v>204</v>
      </c>
      <c r="U461">
        <v>14881</v>
      </c>
      <c r="V461">
        <v>5990</v>
      </c>
      <c r="W461">
        <v>8891</v>
      </c>
    </row>
    <row r="462" spans="1:23" x14ac:dyDescent="0.3">
      <c r="A462" t="s">
        <v>1476</v>
      </c>
      <c r="B462">
        <v>2022</v>
      </c>
      <c r="C462">
        <v>0.68648751345152881</v>
      </c>
      <c r="D462">
        <v>3717</v>
      </c>
      <c r="E462">
        <v>973.8287990196078</v>
      </c>
      <c r="F462">
        <v>807</v>
      </c>
      <c r="G462">
        <v>117</v>
      </c>
      <c r="H462">
        <v>1.4624890081916999E-3</v>
      </c>
      <c r="I462">
        <v>15</v>
      </c>
      <c r="J462">
        <v>5.4054054054054002E-2</v>
      </c>
      <c r="K462">
        <v>1</v>
      </c>
      <c r="L462">
        <v>0</v>
      </c>
      <c r="M462">
        <v>0</v>
      </c>
      <c r="N462">
        <v>0.67836690274583844</v>
      </c>
      <c r="O462">
        <v>-0.30203662988838959</v>
      </c>
      <c r="P462">
        <v>243119461.47969231</v>
      </c>
      <c r="Q462">
        <v>2.228687412522921</v>
      </c>
      <c r="R462" t="s">
        <v>926</v>
      </c>
      <c r="S462" t="s">
        <v>935</v>
      </c>
      <c r="T462" t="s">
        <v>935</v>
      </c>
      <c r="U462">
        <v>3542</v>
      </c>
      <c r="V462">
        <v>1005</v>
      </c>
      <c r="W462">
        <v>2537</v>
      </c>
    </row>
    <row r="463" spans="1:23" x14ac:dyDescent="0.3">
      <c r="A463" t="s">
        <v>1477</v>
      </c>
      <c r="B463">
        <v>2022</v>
      </c>
      <c r="C463">
        <v>3.0602513022400242</v>
      </c>
      <c r="D463">
        <v>6749</v>
      </c>
      <c r="E463">
        <v>0</v>
      </c>
      <c r="F463">
        <v>17</v>
      </c>
      <c r="G463">
        <v>233</v>
      </c>
      <c r="H463">
        <v>3.5389608849319999E-4</v>
      </c>
      <c r="I463">
        <v>14</v>
      </c>
      <c r="J463">
        <v>0</v>
      </c>
      <c r="K463">
        <v>0</v>
      </c>
      <c r="L463">
        <v>0</v>
      </c>
      <c r="M463">
        <v>1</v>
      </c>
      <c r="N463">
        <v>0.5651846430296994</v>
      </c>
      <c r="O463">
        <v>-0.36512546521271549</v>
      </c>
      <c r="P463">
        <v>75087530.547706649</v>
      </c>
      <c r="Q463">
        <v>0</v>
      </c>
      <c r="R463" t="s">
        <v>23</v>
      </c>
      <c r="S463" t="s">
        <v>24</v>
      </c>
      <c r="T463" t="s">
        <v>26</v>
      </c>
      <c r="U463">
        <v>6455</v>
      </c>
      <c r="V463">
        <v>2832</v>
      </c>
      <c r="W463">
        <v>3623</v>
      </c>
    </row>
    <row r="464" spans="1:23" x14ac:dyDescent="0.3">
      <c r="A464" t="s">
        <v>1478</v>
      </c>
      <c r="B464">
        <v>2022</v>
      </c>
      <c r="C464">
        <v>1.570451253403343</v>
      </c>
      <c r="D464">
        <v>7656</v>
      </c>
      <c r="E464">
        <v>0</v>
      </c>
      <c r="F464">
        <v>1</v>
      </c>
      <c r="G464">
        <v>214</v>
      </c>
      <c r="H464">
        <v>2.6972325810530002E-4</v>
      </c>
      <c r="I464">
        <v>34</v>
      </c>
      <c r="J464">
        <v>0</v>
      </c>
      <c r="K464">
        <v>0</v>
      </c>
      <c r="L464">
        <v>0</v>
      </c>
      <c r="M464">
        <v>1</v>
      </c>
      <c r="N464">
        <v>0.54521137773070427</v>
      </c>
      <c r="O464">
        <v>-0.35670436348821899</v>
      </c>
      <c r="P464">
        <v>116932262.59844039</v>
      </c>
      <c r="Q464">
        <v>0</v>
      </c>
      <c r="R464" t="s">
        <v>23</v>
      </c>
      <c r="S464" t="s">
        <v>24</v>
      </c>
      <c r="T464" t="s">
        <v>36</v>
      </c>
      <c r="U464">
        <v>7318</v>
      </c>
      <c r="V464">
        <v>1607</v>
      </c>
      <c r="W464">
        <v>5711</v>
      </c>
    </row>
    <row r="465" spans="1:23" x14ac:dyDescent="0.3">
      <c r="A465" t="s">
        <v>1479</v>
      </c>
      <c r="B465">
        <v>2022</v>
      </c>
      <c r="C465">
        <v>3.099877089127216</v>
      </c>
      <c r="D465">
        <v>14801</v>
      </c>
      <c r="E465">
        <v>0</v>
      </c>
      <c r="F465">
        <v>370</v>
      </c>
      <c r="G465">
        <v>508</v>
      </c>
      <c r="H465">
        <v>1.3976087433469999E-4</v>
      </c>
      <c r="I465">
        <v>31</v>
      </c>
      <c r="J465">
        <v>0</v>
      </c>
      <c r="K465">
        <v>0</v>
      </c>
      <c r="L465">
        <v>0</v>
      </c>
      <c r="M465">
        <v>4</v>
      </c>
      <c r="N465">
        <v>0.5899385878350204</v>
      </c>
      <c r="O465">
        <v>-0.37874209814042459</v>
      </c>
      <c r="P465">
        <v>150843833.19003391</v>
      </c>
      <c r="Q465">
        <v>0</v>
      </c>
      <c r="R465" t="s">
        <v>23</v>
      </c>
      <c r="S465" t="s">
        <v>24</v>
      </c>
      <c r="T465" t="s">
        <v>43</v>
      </c>
      <c r="U465">
        <v>14144</v>
      </c>
      <c r="V465">
        <v>7382</v>
      </c>
      <c r="W465">
        <v>6762</v>
      </c>
    </row>
    <row r="466" spans="1:23" x14ac:dyDescent="0.3">
      <c r="A466" t="s">
        <v>1480</v>
      </c>
      <c r="B466">
        <v>2022</v>
      </c>
      <c r="C466">
        <v>1.453943046269041</v>
      </c>
      <c r="D466">
        <v>6960</v>
      </c>
      <c r="E466">
        <v>0</v>
      </c>
      <c r="F466">
        <v>117</v>
      </c>
      <c r="G466">
        <v>323</v>
      </c>
      <c r="H466">
        <v>1.862539855214E-4</v>
      </c>
      <c r="I466">
        <v>18</v>
      </c>
      <c r="J466">
        <v>0</v>
      </c>
      <c r="K466">
        <v>0</v>
      </c>
      <c r="L466">
        <v>0</v>
      </c>
      <c r="M466">
        <v>1</v>
      </c>
      <c r="N466">
        <v>0.59324862729522954</v>
      </c>
      <c r="O466">
        <v>-0.39138768774924959</v>
      </c>
      <c r="P466">
        <v>196096488.2647514</v>
      </c>
      <c r="Q466">
        <v>0</v>
      </c>
      <c r="R466" t="s">
        <v>23</v>
      </c>
      <c r="S466" t="s">
        <v>24</v>
      </c>
      <c r="T466" t="s">
        <v>46</v>
      </c>
      <c r="U466">
        <v>6654</v>
      </c>
      <c r="V466">
        <v>2457</v>
      </c>
      <c r="W466">
        <v>4197</v>
      </c>
    </row>
    <row r="467" spans="1:23" x14ac:dyDescent="0.3">
      <c r="A467" t="s">
        <v>1481</v>
      </c>
      <c r="B467">
        <v>2022</v>
      </c>
      <c r="C467">
        <v>1.4272838985623779</v>
      </c>
      <c r="D467">
        <v>1106</v>
      </c>
      <c r="E467">
        <v>0</v>
      </c>
      <c r="F467">
        <v>222</v>
      </c>
      <c r="G467">
        <v>63</v>
      </c>
      <c r="H467">
        <v>1.1012096666359E-3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0.59008196679938907</v>
      </c>
      <c r="O467">
        <v>-0.37675519694019738</v>
      </c>
      <c r="P467">
        <v>49493657.08358369</v>
      </c>
      <c r="Q467">
        <v>0</v>
      </c>
      <c r="R467" t="s">
        <v>23</v>
      </c>
      <c r="S467" t="s">
        <v>47</v>
      </c>
      <c r="T467" t="s">
        <v>49</v>
      </c>
      <c r="U467">
        <v>1058</v>
      </c>
      <c r="V467">
        <v>716</v>
      </c>
      <c r="W467">
        <v>342</v>
      </c>
    </row>
    <row r="468" spans="1:23" x14ac:dyDescent="0.3">
      <c r="A468" t="s">
        <v>1482</v>
      </c>
      <c r="B468">
        <v>2022</v>
      </c>
      <c r="C468">
        <v>2.3588871591661449</v>
      </c>
      <c r="D468">
        <v>4790</v>
      </c>
      <c r="E468">
        <v>0</v>
      </c>
      <c r="F468">
        <v>1</v>
      </c>
      <c r="G468">
        <v>149</v>
      </c>
      <c r="H468">
        <v>5.1109007531300005E-4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0.54354910079075847</v>
      </c>
      <c r="O468">
        <v>-0.33159596232960359</v>
      </c>
      <c r="P468">
        <v>52563529.797149137</v>
      </c>
      <c r="Q468">
        <v>0</v>
      </c>
      <c r="R468" t="s">
        <v>23</v>
      </c>
      <c r="S468" t="s">
        <v>50</v>
      </c>
      <c r="T468" t="s">
        <v>52</v>
      </c>
      <c r="U468">
        <v>4580</v>
      </c>
      <c r="V468">
        <v>1732</v>
      </c>
      <c r="W468">
        <v>2848</v>
      </c>
    </row>
    <row r="469" spans="1:23" x14ac:dyDescent="0.3">
      <c r="A469" t="s">
        <v>1483</v>
      </c>
      <c r="B469">
        <v>2022</v>
      </c>
      <c r="C469">
        <v>1.0330303812747961</v>
      </c>
      <c r="D469">
        <v>1371</v>
      </c>
      <c r="E469">
        <v>0</v>
      </c>
      <c r="F469">
        <v>4</v>
      </c>
      <c r="G469">
        <v>127</v>
      </c>
      <c r="H469">
        <v>2.8901654699860002E-4</v>
      </c>
      <c r="I469">
        <v>14</v>
      </c>
      <c r="J469">
        <v>0</v>
      </c>
      <c r="K469">
        <v>0</v>
      </c>
      <c r="L469">
        <v>0</v>
      </c>
      <c r="M469">
        <v>2</v>
      </c>
      <c r="N469">
        <v>0.51968482875769462</v>
      </c>
      <c r="O469">
        <v>-0.35124497706591251</v>
      </c>
      <c r="P469">
        <v>123826751.09540311</v>
      </c>
      <c r="Q469">
        <v>0</v>
      </c>
      <c r="R469" t="s">
        <v>23</v>
      </c>
      <c r="S469" t="s">
        <v>59</v>
      </c>
      <c r="T469" t="s">
        <v>62</v>
      </c>
      <c r="U469">
        <v>1310</v>
      </c>
      <c r="V469">
        <v>604</v>
      </c>
      <c r="W469">
        <v>706</v>
      </c>
    </row>
    <row r="470" spans="1:23" x14ac:dyDescent="0.3">
      <c r="A470" t="s">
        <v>1484</v>
      </c>
      <c r="B470">
        <v>2022</v>
      </c>
      <c r="C470">
        <v>1.876107921597165</v>
      </c>
      <c r="D470">
        <v>2000</v>
      </c>
      <c r="E470">
        <v>0</v>
      </c>
      <c r="F470">
        <v>1</v>
      </c>
      <c r="G470">
        <v>130</v>
      </c>
      <c r="H470">
        <v>3.1308634561569998E-4</v>
      </c>
      <c r="I470">
        <v>15</v>
      </c>
      <c r="J470">
        <v>0</v>
      </c>
      <c r="K470">
        <v>0</v>
      </c>
      <c r="L470">
        <v>0</v>
      </c>
      <c r="M470">
        <v>1</v>
      </c>
      <c r="N470">
        <v>0.58941179419792289</v>
      </c>
      <c r="O470">
        <v>-0.34516442484216348</v>
      </c>
      <c r="P470">
        <v>38730847.728334107</v>
      </c>
      <c r="Q470">
        <v>0</v>
      </c>
      <c r="R470" t="s">
        <v>23</v>
      </c>
      <c r="S470" t="s">
        <v>63</v>
      </c>
      <c r="T470" t="s">
        <v>64</v>
      </c>
      <c r="U470">
        <v>1911</v>
      </c>
      <c r="V470">
        <v>1039</v>
      </c>
      <c r="W470">
        <v>872</v>
      </c>
    </row>
    <row r="471" spans="1:23" x14ac:dyDescent="0.3">
      <c r="A471" t="s">
        <v>1485</v>
      </c>
      <c r="B471">
        <v>2022</v>
      </c>
      <c r="C471">
        <v>0.90181085944711936</v>
      </c>
      <c r="D471">
        <v>8377</v>
      </c>
      <c r="E471">
        <v>0</v>
      </c>
      <c r="F471">
        <v>75</v>
      </c>
      <c r="G471">
        <v>409</v>
      </c>
      <c r="H471">
        <v>9.6384241748702197E-5</v>
      </c>
      <c r="I471">
        <v>32</v>
      </c>
      <c r="J471">
        <v>0</v>
      </c>
      <c r="K471">
        <v>0</v>
      </c>
      <c r="L471">
        <v>0</v>
      </c>
      <c r="M471">
        <v>2</v>
      </c>
      <c r="N471">
        <v>0.54118364141426956</v>
      </c>
      <c r="O471">
        <v>-0.30444265339138948</v>
      </c>
      <c r="P471">
        <v>569922043.81420422</v>
      </c>
      <c r="Q471">
        <v>0</v>
      </c>
      <c r="R471" t="s">
        <v>23</v>
      </c>
      <c r="S471" t="s">
        <v>71</v>
      </c>
      <c r="T471" t="s">
        <v>71</v>
      </c>
      <c r="U471">
        <v>7976</v>
      </c>
      <c r="V471">
        <v>2677</v>
      </c>
      <c r="W471">
        <v>5299</v>
      </c>
    </row>
    <row r="472" spans="1:23" x14ac:dyDescent="0.3">
      <c r="A472" t="s">
        <v>1486</v>
      </c>
      <c r="B472">
        <v>2022</v>
      </c>
      <c r="C472">
        <v>0.92411024115740559</v>
      </c>
      <c r="D472">
        <v>1766</v>
      </c>
      <c r="E472">
        <v>0</v>
      </c>
      <c r="F472">
        <v>4</v>
      </c>
      <c r="G472">
        <v>87</v>
      </c>
      <c r="H472">
        <v>5.2217982069890001E-4</v>
      </c>
      <c r="I472">
        <v>7</v>
      </c>
      <c r="J472">
        <v>0.66666666666666663</v>
      </c>
      <c r="K472">
        <v>1</v>
      </c>
      <c r="L472">
        <v>0</v>
      </c>
      <c r="M472">
        <v>1</v>
      </c>
      <c r="N472">
        <v>0.60165638072021876</v>
      </c>
      <c r="O472">
        <v>-0.32138739952350592</v>
      </c>
      <c r="P472">
        <v>68583013.997363567</v>
      </c>
      <c r="Q472">
        <v>0</v>
      </c>
      <c r="R472" t="s">
        <v>23</v>
      </c>
      <c r="S472" t="s">
        <v>71</v>
      </c>
      <c r="T472" t="s">
        <v>72</v>
      </c>
      <c r="U472">
        <v>1692</v>
      </c>
      <c r="V472">
        <v>754</v>
      </c>
      <c r="W472">
        <v>938</v>
      </c>
    </row>
    <row r="473" spans="1:23" x14ac:dyDescent="0.3">
      <c r="A473" t="s">
        <v>1487</v>
      </c>
      <c r="B473">
        <v>2022</v>
      </c>
      <c r="C473">
        <v>0.7574741417535602</v>
      </c>
      <c r="D473">
        <v>1936</v>
      </c>
      <c r="E473">
        <v>0</v>
      </c>
      <c r="F473">
        <v>3</v>
      </c>
      <c r="G473">
        <v>152</v>
      </c>
      <c r="H473">
        <v>2.5749771697440002E-4</v>
      </c>
      <c r="I473">
        <v>10</v>
      </c>
      <c r="J473">
        <v>0</v>
      </c>
      <c r="K473">
        <v>0</v>
      </c>
      <c r="L473">
        <v>0</v>
      </c>
      <c r="M473">
        <v>1</v>
      </c>
      <c r="N473">
        <v>0.52032745917983514</v>
      </c>
      <c r="O473">
        <v>-0.35177847019106839</v>
      </c>
      <c r="P473">
        <v>279257662.78823411</v>
      </c>
      <c r="Q473">
        <v>0</v>
      </c>
      <c r="R473" t="s">
        <v>23</v>
      </c>
      <c r="S473" t="s">
        <v>75</v>
      </c>
      <c r="T473" t="s">
        <v>78</v>
      </c>
      <c r="U473">
        <v>1849</v>
      </c>
      <c r="V473">
        <v>372</v>
      </c>
      <c r="W473">
        <v>1477</v>
      </c>
    </row>
    <row r="474" spans="1:23" x14ac:dyDescent="0.3">
      <c r="A474" t="s">
        <v>1488</v>
      </c>
      <c r="B474">
        <v>2022</v>
      </c>
      <c r="C474">
        <v>0.8877778838993885</v>
      </c>
      <c r="D474">
        <v>1694</v>
      </c>
      <c r="E474">
        <v>0</v>
      </c>
      <c r="F474">
        <v>1</v>
      </c>
      <c r="G474">
        <v>108</v>
      </c>
      <c r="H474">
        <v>4.476131639673E-4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0.58083021191269502</v>
      </c>
      <c r="O474">
        <v>-0.40772355546417938</v>
      </c>
      <c r="P474">
        <v>102407527.6951884</v>
      </c>
      <c r="Q474">
        <v>0</v>
      </c>
      <c r="R474" t="s">
        <v>23</v>
      </c>
      <c r="S474" t="s">
        <v>75</v>
      </c>
      <c r="T474" t="s">
        <v>79</v>
      </c>
      <c r="U474">
        <v>1618</v>
      </c>
      <c r="V474">
        <v>631</v>
      </c>
      <c r="W474">
        <v>987</v>
      </c>
    </row>
    <row r="475" spans="1:23" x14ac:dyDescent="0.3">
      <c r="A475" t="s">
        <v>1489</v>
      </c>
      <c r="B475">
        <v>2022</v>
      </c>
      <c r="C475">
        <v>0.89032854753413582</v>
      </c>
      <c r="D475">
        <v>2904</v>
      </c>
      <c r="E475">
        <v>0</v>
      </c>
      <c r="F475">
        <v>3</v>
      </c>
      <c r="G475">
        <v>212</v>
      </c>
      <c r="H475">
        <v>1.9532165335170001E-4</v>
      </c>
      <c r="I475">
        <v>8</v>
      </c>
      <c r="J475">
        <v>0</v>
      </c>
      <c r="K475">
        <v>0</v>
      </c>
      <c r="L475">
        <v>0</v>
      </c>
      <c r="M475">
        <v>0</v>
      </c>
      <c r="N475">
        <v>0.51852967420000884</v>
      </c>
      <c r="O475">
        <v>-0.3629590026580895</v>
      </c>
      <c r="P475">
        <v>232764146.46192491</v>
      </c>
      <c r="Q475">
        <v>0</v>
      </c>
      <c r="R475" t="s">
        <v>23</v>
      </c>
      <c r="S475" t="s">
        <v>80</v>
      </c>
      <c r="T475" t="s">
        <v>81</v>
      </c>
      <c r="U475">
        <v>2778</v>
      </c>
      <c r="V475">
        <v>1301</v>
      </c>
      <c r="W475">
        <v>1477</v>
      </c>
    </row>
    <row r="476" spans="1:23" x14ac:dyDescent="0.3">
      <c r="A476" t="s">
        <v>1490</v>
      </c>
      <c r="B476">
        <v>2022</v>
      </c>
      <c r="C476">
        <v>3.263583287141596</v>
      </c>
      <c r="D476">
        <v>3522</v>
      </c>
      <c r="E476">
        <v>0</v>
      </c>
      <c r="F476">
        <v>8</v>
      </c>
      <c r="G476">
        <v>165</v>
      </c>
      <c r="H476">
        <v>4.2767628054589998E-4</v>
      </c>
      <c r="I476">
        <v>5</v>
      </c>
      <c r="J476">
        <v>0</v>
      </c>
      <c r="K476">
        <v>0</v>
      </c>
      <c r="L476">
        <v>0</v>
      </c>
      <c r="M476">
        <v>0</v>
      </c>
      <c r="N476">
        <v>0.51517297942050033</v>
      </c>
      <c r="O476">
        <v>-0.35477730227720272</v>
      </c>
      <c r="P476">
        <v>35870937.380586907</v>
      </c>
      <c r="Q476">
        <v>0</v>
      </c>
      <c r="R476" t="s">
        <v>23</v>
      </c>
      <c r="S476" t="s">
        <v>80</v>
      </c>
      <c r="T476" t="s">
        <v>84</v>
      </c>
      <c r="U476">
        <v>3367</v>
      </c>
      <c r="V476">
        <v>1317</v>
      </c>
      <c r="W476">
        <v>2050</v>
      </c>
    </row>
    <row r="477" spans="1:23" x14ac:dyDescent="0.3">
      <c r="A477" t="s">
        <v>1491</v>
      </c>
      <c r="B477">
        <v>2022</v>
      </c>
      <c r="C477">
        <v>1.315776250047946</v>
      </c>
      <c r="D477">
        <v>1293</v>
      </c>
      <c r="E477">
        <v>0</v>
      </c>
      <c r="F477">
        <v>1</v>
      </c>
      <c r="G477">
        <v>28</v>
      </c>
      <c r="H477">
        <v>3.4112409571507999E-3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0.46825281357430198</v>
      </c>
      <c r="O477">
        <v>-0.31474302180975011</v>
      </c>
      <c r="P477">
        <v>29698857.679852571</v>
      </c>
      <c r="Q477">
        <v>0</v>
      </c>
      <c r="R477" t="s">
        <v>23</v>
      </c>
      <c r="S477" t="s">
        <v>89</v>
      </c>
      <c r="T477" t="s">
        <v>92</v>
      </c>
      <c r="U477">
        <v>1237</v>
      </c>
      <c r="V477">
        <v>686</v>
      </c>
      <c r="W477">
        <v>551</v>
      </c>
    </row>
    <row r="478" spans="1:23" x14ac:dyDescent="0.3">
      <c r="A478" t="s">
        <v>1492</v>
      </c>
      <c r="B478">
        <v>2022</v>
      </c>
      <c r="C478">
        <v>1.006223018117482</v>
      </c>
      <c r="D478">
        <v>937</v>
      </c>
      <c r="E478">
        <v>0</v>
      </c>
      <c r="F478">
        <v>4</v>
      </c>
      <c r="G478">
        <v>126</v>
      </c>
      <c r="H478">
        <v>4.5829466177370001E-4</v>
      </c>
      <c r="I478">
        <v>4</v>
      </c>
      <c r="J478">
        <v>0.26666666666666661</v>
      </c>
      <c r="K478">
        <v>2</v>
      </c>
      <c r="L478">
        <v>0</v>
      </c>
      <c r="M478">
        <v>0</v>
      </c>
      <c r="N478">
        <v>0.51460587279986647</v>
      </c>
      <c r="O478">
        <v>-0.1801707710840616</v>
      </c>
      <c r="P478">
        <v>179825394.06310409</v>
      </c>
      <c r="Q478">
        <v>0</v>
      </c>
      <c r="R478" t="s">
        <v>23</v>
      </c>
      <c r="S478" t="s">
        <v>96</v>
      </c>
      <c r="T478" t="s">
        <v>97</v>
      </c>
      <c r="U478">
        <v>892</v>
      </c>
      <c r="V478">
        <v>491</v>
      </c>
      <c r="W478">
        <v>401</v>
      </c>
    </row>
    <row r="479" spans="1:23" x14ac:dyDescent="0.3">
      <c r="A479" t="s">
        <v>1493</v>
      </c>
      <c r="B479">
        <v>2022</v>
      </c>
      <c r="C479">
        <v>2.0525740091966571</v>
      </c>
      <c r="D479">
        <v>23905</v>
      </c>
      <c r="E479">
        <v>0</v>
      </c>
      <c r="F479">
        <v>57</v>
      </c>
      <c r="G479">
        <v>481</v>
      </c>
      <c r="H479">
        <v>1.5894281872809999E-4</v>
      </c>
      <c r="I479">
        <v>11</v>
      </c>
      <c r="J479">
        <v>0</v>
      </c>
      <c r="K479">
        <v>0</v>
      </c>
      <c r="L479">
        <v>0</v>
      </c>
      <c r="M479">
        <v>3</v>
      </c>
      <c r="N479">
        <v>0.28033168140092879</v>
      </c>
      <c r="O479">
        <v>-0.1105217055302516</v>
      </c>
      <c r="P479">
        <v>214573362.90626651</v>
      </c>
      <c r="Q479">
        <v>0</v>
      </c>
      <c r="R479" t="s">
        <v>23</v>
      </c>
      <c r="S479" t="s">
        <v>100</v>
      </c>
      <c r="T479" t="s">
        <v>100</v>
      </c>
      <c r="U479">
        <v>22763</v>
      </c>
      <c r="V479">
        <v>13835</v>
      </c>
      <c r="W479">
        <v>8928</v>
      </c>
    </row>
    <row r="480" spans="1:23" x14ac:dyDescent="0.3">
      <c r="A480" t="s">
        <v>1494</v>
      </c>
      <c r="B480">
        <v>2022</v>
      </c>
      <c r="C480">
        <v>0.62849420540334289</v>
      </c>
      <c r="D480">
        <v>6159</v>
      </c>
      <c r="E480">
        <v>0</v>
      </c>
      <c r="F480">
        <v>391</v>
      </c>
      <c r="G480">
        <v>337</v>
      </c>
      <c r="H480">
        <v>1.2817658209129999E-4</v>
      </c>
      <c r="I480">
        <v>7</v>
      </c>
      <c r="J480">
        <v>0</v>
      </c>
      <c r="K480">
        <v>0</v>
      </c>
      <c r="L480">
        <v>0</v>
      </c>
      <c r="M480">
        <v>7</v>
      </c>
      <c r="N480">
        <v>0.39327292915588757</v>
      </c>
      <c r="O480">
        <v>-0.2080407583418126</v>
      </c>
      <c r="P480">
        <v>465787450.62656701</v>
      </c>
      <c r="Q480">
        <v>0</v>
      </c>
      <c r="R480" t="s">
        <v>101</v>
      </c>
      <c r="S480" t="s">
        <v>102</v>
      </c>
      <c r="T480" t="s">
        <v>105</v>
      </c>
      <c r="U480">
        <v>5877</v>
      </c>
      <c r="V480">
        <v>1156</v>
      </c>
      <c r="W480">
        <v>4721</v>
      </c>
    </row>
    <row r="481" spans="1:23" x14ac:dyDescent="0.3">
      <c r="A481" t="s">
        <v>1495</v>
      </c>
      <c r="B481">
        <v>2022</v>
      </c>
      <c r="C481">
        <v>1.038829488549996</v>
      </c>
      <c r="D481">
        <v>1854</v>
      </c>
      <c r="E481">
        <v>0</v>
      </c>
      <c r="F481">
        <v>41</v>
      </c>
      <c r="G481">
        <v>80</v>
      </c>
      <c r="H481">
        <v>6.3523128623400003E-4</v>
      </c>
      <c r="I481">
        <v>6</v>
      </c>
      <c r="J481">
        <v>0</v>
      </c>
      <c r="K481">
        <v>0</v>
      </c>
      <c r="L481">
        <v>0</v>
      </c>
      <c r="M481">
        <v>6</v>
      </c>
      <c r="N481">
        <v>0.41180338745534328</v>
      </c>
      <c r="O481">
        <v>-0.31283145870996032</v>
      </c>
      <c r="P481">
        <v>91682777.950775996</v>
      </c>
      <c r="Q481">
        <v>0</v>
      </c>
      <c r="R481" t="s">
        <v>101</v>
      </c>
      <c r="S481" t="s">
        <v>102</v>
      </c>
      <c r="T481" t="s">
        <v>106</v>
      </c>
      <c r="U481">
        <v>1769</v>
      </c>
      <c r="V481">
        <v>521</v>
      </c>
      <c r="W481">
        <v>1248</v>
      </c>
    </row>
    <row r="482" spans="1:23" x14ac:dyDescent="0.3">
      <c r="A482" t="s">
        <v>1496</v>
      </c>
      <c r="B482">
        <v>2022</v>
      </c>
      <c r="C482">
        <v>1.19713474788395</v>
      </c>
      <c r="D482">
        <v>4490</v>
      </c>
      <c r="E482">
        <v>0</v>
      </c>
      <c r="F482">
        <v>21</v>
      </c>
      <c r="G482">
        <v>105</v>
      </c>
      <c r="H482">
        <v>4.0674364903639997E-4</v>
      </c>
      <c r="I482">
        <v>9</v>
      </c>
      <c r="J482">
        <v>0</v>
      </c>
      <c r="K482">
        <v>0</v>
      </c>
      <c r="L482">
        <v>0</v>
      </c>
      <c r="M482">
        <v>12</v>
      </c>
      <c r="N482">
        <v>0.43216444592015008</v>
      </c>
      <c r="O482">
        <v>-0.33612247045203508</v>
      </c>
      <c r="P482">
        <v>83135499.040242612</v>
      </c>
      <c r="Q482">
        <v>0</v>
      </c>
      <c r="R482" t="s">
        <v>101</v>
      </c>
      <c r="S482" t="s">
        <v>102</v>
      </c>
      <c r="T482" t="s">
        <v>107</v>
      </c>
      <c r="U482">
        <v>4288</v>
      </c>
      <c r="V482">
        <v>745</v>
      </c>
      <c r="W482">
        <v>3543</v>
      </c>
    </row>
    <row r="483" spans="1:23" x14ac:dyDescent="0.3">
      <c r="A483" t="s">
        <v>1497</v>
      </c>
      <c r="B483">
        <v>2022</v>
      </c>
      <c r="C483">
        <v>0.94586691222098762</v>
      </c>
      <c r="D483">
        <v>8267</v>
      </c>
      <c r="E483">
        <v>0</v>
      </c>
      <c r="F483">
        <v>7</v>
      </c>
      <c r="G483">
        <v>168</v>
      </c>
      <c r="H483">
        <v>2.2714221498009999E-4</v>
      </c>
      <c r="I483">
        <v>4</v>
      </c>
      <c r="J483">
        <v>0</v>
      </c>
      <c r="K483">
        <v>0</v>
      </c>
      <c r="L483">
        <v>0</v>
      </c>
      <c r="M483">
        <v>14</v>
      </c>
      <c r="N483">
        <v>5.7246518609453297E-2</v>
      </c>
      <c r="O483">
        <v>3.46090052840538E-2</v>
      </c>
      <c r="P483">
        <v>187921348.9765386</v>
      </c>
      <c r="Q483">
        <v>0</v>
      </c>
      <c r="R483" t="s">
        <v>101</v>
      </c>
      <c r="S483" t="s">
        <v>102</v>
      </c>
      <c r="T483" t="s">
        <v>110</v>
      </c>
      <c r="U483">
        <v>7880</v>
      </c>
      <c r="V483">
        <v>4123</v>
      </c>
      <c r="W483">
        <v>3757</v>
      </c>
    </row>
    <row r="484" spans="1:23" x14ac:dyDescent="0.3">
      <c r="A484" t="s">
        <v>1498</v>
      </c>
      <c r="B484">
        <v>2022</v>
      </c>
      <c r="C484">
        <v>0.94487437279464515</v>
      </c>
      <c r="D484">
        <v>14526</v>
      </c>
      <c r="E484">
        <v>0</v>
      </c>
      <c r="F484">
        <v>14</v>
      </c>
      <c r="G484">
        <v>367</v>
      </c>
      <c r="H484">
        <v>1.045898817682E-4</v>
      </c>
      <c r="I484">
        <v>8</v>
      </c>
      <c r="J484">
        <v>0</v>
      </c>
      <c r="K484">
        <v>0</v>
      </c>
      <c r="L484">
        <v>0</v>
      </c>
      <c r="M484">
        <v>15</v>
      </c>
      <c r="N484">
        <v>0.44690126729541407</v>
      </c>
      <c r="O484">
        <v>-0.26114009524453241</v>
      </c>
      <c r="P484">
        <v>420616303.39218241</v>
      </c>
      <c r="Q484">
        <v>0</v>
      </c>
      <c r="R484" t="s">
        <v>101</v>
      </c>
      <c r="S484" t="s">
        <v>111</v>
      </c>
      <c r="T484" t="s">
        <v>111</v>
      </c>
      <c r="U484">
        <v>13827</v>
      </c>
      <c r="V484">
        <v>3919</v>
      </c>
      <c r="W484">
        <v>9908</v>
      </c>
    </row>
    <row r="485" spans="1:23" x14ac:dyDescent="0.3">
      <c r="A485" t="s">
        <v>1499</v>
      </c>
      <c r="B485">
        <v>2022</v>
      </c>
      <c r="C485">
        <v>0.75490118964504904</v>
      </c>
      <c r="D485">
        <v>6232</v>
      </c>
      <c r="E485">
        <v>0</v>
      </c>
      <c r="F485">
        <v>129</v>
      </c>
      <c r="G485">
        <v>213</v>
      </c>
      <c r="H485">
        <v>2.2150338106100001E-4</v>
      </c>
      <c r="I485">
        <v>15</v>
      </c>
      <c r="J485">
        <v>3.02884615384615E-2</v>
      </c>
      <c r="K485">
        <v>2</v>
      </c>
      <c r="L485">
        <v>0</v>
      </c>
      <c r="M485">
        <v>8</v>
      </c>
      <c r="N485">
        <v>0.39037813095504448</v>
      </c>
      <c r="O485">
        <v>-0.18711499838047219</v>
      </c>
      <c r="P485">
        <v>249445864.86163729</v>
      </c>
      <c r="Q485">
        <v>0</v>
      </c>
      <c r="R485" t="s">
        <v>101</v>
      </c>
      <c r="S485" t="s">
        <v>111</v>
      </c>
      <c r="T485" t="s">
        <v>112</v>
      </c>
      <c r="U485">
        <v>5947</v>
      </c>
      <c r="V485">
        <v>1650</v>
      </c>
      <c r="W485">
        <v>4297</v>
      </c>
    </row>
    <row r="486" spans="1:23" x14ac:dyDescent="0.3">
      <c r="A486" t="s">
        <v>1500</v>
      </c>
      <c r="B486">
        <v>2022</v>
      </c>
      <c r="C486">
        <v>1.568597099093004</v>
      </c>
      <c r="D486">
        <v>2673</v>
      </c>
      <c r="E486">
        <v>0</v>
      </c>
      <c r="F486">
        <v>7</v>
      </c>
      <c r="G486">
        <v>137</v>
      </c>
      <c r="H486">
        <v>3.7654608094059999E-4</v>
      </c>
      <c r="I486">
        <v>7</v>
      </c>
      <c r="J486">
        <v>0</v>
      </c>
      <c r="K486">
        <v>0</v>
      </c>
      <c r="L486">
        <v>0</v>
      </c>
      <c r="M486">
        <v>12</v>
      </c>
      <c r="N486">
        <v>0.3930311021509118</v>
      </c>
      <c r="O486">
        <v>-0.32163586913776732</v>
      </c>
      <c r="P486">
        <v>43560677.468997233</v>
      </c>
      <c r="Q486">
        <v>0</v>
      </c>
      <c r="R486" t="s">
        <v>101</v>
      </c>
      <c r="S486" t="s">
        <v>113</v>
      </c>
      <c r="T486" t="s">
        <v>116</v>
      </c>
      <c r="U486">
        <v>2552</v>
      </c>
      <c r="V486">
        <v>874</v>
      </c>
      <c r="W486">
        <v>1678</v>
      </c>
    </row>
    <row r="487" spans="1:23" x14ac:dyDescent="0.3">
      <c r="A487" t="s">
        <v>1501</v>
      </c>
      <c r="B487">
        <v>2022</v>
      </c>
      <c r="C487">
        <v>0.76353567246536103</v>
      </c>
      <c r="D487">
        <v>3177</v>
      </c>
      <c r="E487">
        <v>0</v>
      </c>
      <c r="F487">
        <v>1</v>
      </c>
      <c r="G487">
        <v>91</v>
      </c>
      <c r="H487">
        <v>2.231893761856E-4</v>
      </c>
      <c r="I487">
        <v>11</v>
      </c>
      <c r="J487">
        <v>0</v>
      </c>
      <c r="K487">
        <v>0</v>
      </c>
      <c r="L487">
        <v>0</v>
      </c>
      <c r="M487">
        <v>4</v>
      </c>
      <c r="N487">
        <v>0.4223252419472347</v>
      </c>
      <c r="O487">
        <v>-0.23883353473226951</v>
      </c>
      <c r="P487">
        <v>166148906.11874551</v>
      </c>
      <c r="Q487">
        <v>0</v>
      </c>
      <c r="R487" t="s">
        <v>101</v>
      </c>
      <c r="S487" t="s">
        <v>113</v>
      </c>
      <c r="T487" t="s">
        <v>118</v>
      </c>
      <c r="U487">
        <v>3031</v>
      </c>
      <c r="V487">
        <v>165</v>
      </c>
      <c r="W487">
        <v>2866</v>
      </c>
    </row>
    <row r="488" spans="1:23" x14ac:dyDescent="0.3">
      <c r="A488" t="s">
        <v>1502</v>
      </c>
      <c r="B488">
        <v>2022</v>
      </c>
      <c r="C488">
        <v>1.2097418849402559</v>
      </c>
      <c r="D488">
        <v>15355</v>
      </c>
      <c r="E488">
        <v>0</v>
      </c>
      <c r="F488">
        <v>151</v>
      </c>
      <c r="G488">
        <v>469</v>
      </c>
      <c r="H488">
        <v>1.8700408426719999E-4</v>
      </c>
      <c r="I488">
        <v>26</v>
      </c>
      <c r="J488">
        <v>0.66666666666666663</v>
      </c>
      <c r="K488">
        <v>1</v>
      </c>
      <c r="L488">
        <v>0</v>
      </c>
      <c r="M488">
        <v>39</v>
      </c>
      <c r="N488">
        <v>0.33613932768793481</v>
      </c>
      <c r="O488">
        <v>-0.16556835646761689</v>
      </c>
      <c r="P488">
        <v>244964876.26672199</v>
      </c>
      <c r="Q488">
        <v>0</v>
      </c>
      <c r="R488" t="s">
        <v>101</v>
      </c>
      <c r="S488" t="s">
        <v>119</v>
      </c>
      <c r="T488" t="s">
        <v>119</v>
      </c>
      <c r="U488">
        <v>14648</v>
      </c>
      <c r="V488">
        <v>8256</v>
      </c>
      <c r="W488">
        <v>6392</v>
      </c>
    </row>
    <row r="489" spans="1:23" x14ac:dyDescent="0.3">
      <c r="A489" t="s">
        <v>1503</v>
      </c>
      <c r="B489">
        <v>2022</v>
      </c>
      <c r="C489">
        <v>0.98612605468608605</v>
      </c>
      <c r="D489">
        <v>2586</v>
      </c>
      <c r="E489">
        <v>0</v>
      </c>
      <c r="F489">
        <v>9</v>
      </c>
      <c r="G489">
        <v>89</v>
      </c>
      <c r="H489">
        <v>3.4328850383570002E-4</v>
      </c>
      <c r="I489">
        <v>6</v>
      </c>
      <c r="J489">
        <v>0</v>
      </c>
      <c r="K489">
        <v>0</v>
      </c>
      <c r="L489">
        <v>0</v>
      </c>
      <c r="M489">
        <v>3</v>
      </c>
      <c r="N489">
        <v>0.44372581790663401</v>
      </c>
      <c r="O489">
        <v>-0.233382177718648</v>
      </c>
      <c r="P489">
        <v>113979768.5845288</v>
      </c>
      <c r="Q489">
        <v>0</v>
      </c>
      <c r="R489" t="s">
        <v>101</v>
      </c>
      <c r="S489" t="s">
        <v>120</v>
      </c>
      <c r="T489" t="s">
        <v>121</v>
      </c>
      <c r="U489">
        <v>2469</v>
      </c>
      <c r="V489">
        <v>780</v>
      </c>
      <c r="W489">
        <v>1689</v>
      </c>
    </row>
    <row r="490" spans="1:23" x14ac:dyDescent="0.3">
      <c r="A490" t="s">
        <v>1504</v>
      </c>
      <c r="B490">
        <v>2022</v>
      </c>
      <c r="C490">
        <v>0.82537103158896663</v>
      </c>
      <c r="D490">
        <v>3107</v>
      </c>
      <c r="E490">
        <v>0</v>
      </c>
      <c r="F490">
        <v>12</v>
      </c>
      <c r="G490">
        <v>111</v>
      </c>
      <c r="H490">
        <v>2.5018742189839997E-4</v>
      </c>
      <c r="I490">
        <v>5</v>
      </c>
      <c r="J490">
        <v>0</v>
      </c>
      <c r="K490">
        <v>0</v>
      </c>
      <c r="L490">
        <v>0</v>
      </c>
      <c r="M490">
        <v>12</v>
      </c>
      <c r="N490">
        <v>0.47851702842553051</v>
      </c>
      <c r="O490">
        <v>-0.28859228327066527</v>
      </c>
      <c r="P490">
        <v>138982892.7834312</v>
      </c>
      <c r="Q490">
        <v>0</v>
      </c>
      <c r="R490" t="s">
        <v>101</v>
      </c>
      <c r="S490" t="s">
        <v>120</v>
      </c>
      <c r="T490" t="s">
        <v>122</v>
      </c>
      <c r="U490">
        <v>2966</v>
      </c>
      <c r="V490">
        <v>472</v>
      </c>
      <c r="W490">
        <v>2494</v>
      </c>
    </row>
    <row r="491" spans="1:23" x14ac:dyDescent="0.3">
      <c r="A491" t="s">
        <v>1505</v>
      </c>
      <c r="B491">
        <v>2022</v>
      </c>
      <c r="C491">
        <v>0.65474920311892937</v>
      </c>
      <c r="D491">
        <v>1053</v>
      </c>
      <c r="E491">
        <v>0</v>
      </c>
      <c r="F491">
        <v>11</v>
      </c>
      <c r="G491">
        <v>36</v>
      </c>
      <c r="H491">
        <v>5.4809512127649998E-4</v>
      </c>
      <c r="I491">
        <v>7</v>
      </c>
      <c r="J491">
        <v>0</v>
      </c>
      <c r="K491">
        <v>0</v>
      </c>
      <c r="L491">
        <v>0</v>
      </c>
      <c r="M491">
        <v>3</v>
      </c>
      <c r="N491">
        <v>0.51337115040828751</v>
      </c>
      <c r="O491">
        <v>-0.2761384989768127</v>
      </c>
      <c r="P491">
        <v>84710239.412660152</v>
      </c>
      <c r="Q491">
        <v>0</v>
      </c>
      <c r="R491" t="s">
        <v>101</v>
      </c>
      <c r="S491" t="s">
        <v>120</v>
      </c>
      <c r="T491" t="s">
        <v>123</v>
      </c>
      <c r="U491">
        <v>1005</v>
      </c>
      <c r="V491">
        <v>49</v>
      </c>
      <c r="W491">
        <v>956</v>
      </c>
    </row>
    <row r="492" spans="1:23" x14ac:dyDescent="0.3">
      <c r="A492" t="s">
        <v>1506</v>
      </c>
      <c r="B492">
        <v>2022</v>
      </c>
      <c r="C492">
        <v>1.0366782720314089</v>
      </c>
      <c r="D492">
        <v>5428</v>
      </c>
      <c r="E492">
        <v>0</v>
      </c>
      <c r="F492">
        <v>15</v>
      </c>
      <c r="G492">
        <v>134</v>
      </c>
      <c r="H492">
        <v>2.1972761576050001E-4</v>
      </c>
      <c r="I492">
        <v>7</v>
      </c>
      <c r="J492">
        <v>0</v>
      </c>
      <c r="K492">
        <v>0</v>
      </c>
      <c r="L492">
        <v>0</v>
      </c>
      <c r="M492">
        <v>3</v>
      </c>
      <c r="N492">
        <v>0.50812259617622824</v>
      </c>
      <c r="O492">
        <v>-0.33830381554781291</v>
      </c>
      <c r="P492">
        <v>76123715.19922632</v>
      </c>
      <c r="Q492">
        <v>0</v>
      </c>
      <c r="R492" t="s">
        <v>101</v>
      </c>
      <c r="S492" t="s">
        <v>120</v>
      </c>
      <c r="T492" t="s">
        <v>124</v>
      </c>
      <c r="U492">
        <v>5179</v>
      </c>
      <c r="V492">
        <v>1234</v>
      </c>
      <c r="W492">
        <v>3945</v>
      </c>
    </row>
    <row r="493" spans="1:23" x14ac:dyDescent="0.3">
      <c r="A493" t="s">
        <v>1507</v>
      </c>
      <c r="B493">
        <v>2022</v>
      </c>
      <c r="C493">
        <v>1.3870703702746789</v>
      </c>
      <c r="D493">
        <v>1711</v>
      </c>
      <c r="E493">
        <v>0</v>
      </c>
      <c r="F493">
        <v>50</v>
      </c>
      <c r="G493">
        <v>78</v>
      </c>
      <c r="H493">
        <v>9.7364805445329997E-4</v>
      </c>
      <c r="I493">
        <v>10</v>
      </c>
      <c r="J493">
        <v>0</v>
      </c>
      <c r="K493">
        <v>0</v>
      </c>
      <c r="L493">
        <v>0</v>
      </c>
      <c r="M493">
        <v>6</v>
      </c>
      <c r="N493">
        <v>0.44014664019375033</v>
      </c>
      <c r="O493">
        <v>-0.30250047469835972</v>
      </c>
      <c r="P493">
        <v>50006701.250077277</v>
      </c>
      <c r="Q493">
        <v>0</v>
      </c>
      <c r="R493" t="s">
        <v>101</v>
      </c>
      <c r="S493" t="s">
        <v>120</v>
      </c>
      <c r="T493" t="s">
        <v>125</v>
      </c>
      <c r="U493">
        <v>1633</v>
      </c>
      <c r="V493">
        <v>488</v>
      </c>
      <c r="W493">
        <v>1145</v>
      </c>
    </row>
    <row r="494" spans="1:23" x14ac:dyDescent="0.3">
      <c r="A494" t="s">
        <v>1508</v>
      </c>
      <c r="B494">
        <v>2022</v>
      </c>
      <c r="C494">
        <v>1.1123669680829</v>
      </c>
      <c r="D494">
        <v>1106</v>
      </c>
      <c r="E494">
        <v>0</v>
      </c>
      <c r="F494">
        <v>18</v>
      </c>
      <c r="G494">
        <v>67</v>
      </c>
      <c r="H494">
        <v>1.0432115095302E-3</v>
      </c>
      <c r="I494">
        <v>3</v>
      </c>
      <c r="J494">
        <v>0</v>
      </c>
      <c r="K494">
        <v>0</v>
      </c>
      <c r="L494">
        <v>0</v>
      </c>
      <c r="M494">
        <v>3</v>
      </c>
      <c r="N494">
        <v>0.55217753976427075</v>
      </c>
      <c r="O494">
        <v>-0.32394746292083909</v>
      </c>
      <c r="P494">
        <v>28416990.036451519</v>
      </c>
      <c r="Q494">
        <v>0</v>
      </c>
      <c r="R494" t="s">
        <v>101</v>
      </c>
      <c r="S494" t="s">
        <v>120</v>
      </c>
      <c r="T494" t="s">
        <v>95</v>
      </c>
      <c r="U494">
        <v>1055</v>
      </c>
      <c r="V494">
        <v>168</v>
      </c>
      <c r="W494">
        <v>887</v>
      </c>
    </row>
    <row r="495" spans="1:23" x14ac:dyDescent="0.3">
      <c r="A495" t="s">
        <v>1509</v>
      </c>
      <c r="B495">
        <v>2022</v>
      </c>
      <c r="C495">
        <v>1.2883201576792691</v>
      </c>
      <c r="D495">
        <v>16349</v>
      </c>
      <c r="E495">
        <v>0</v>
      </c>
      <c r="F495">
        <v>171</v>
      </c>
      <c r="G495">
        <v>347</v>
      </c>
      <c r="H495">
        <v>2.5165590583709998E-4</v>
      </c>
      <c r="I495">
        <v>7</v>
      </c>
      <c r="J495">
        <v>0</v>
      </c>
      <c r="K495">
        <v>0</v>
      </c>
      <c r="L495">
        <v>0</v>
      </c>
      <c r="M495">
        <v>77</v>
      </c>
      <c r="N495">
        <v>0.41900937882150341</v>
      </c>
      <c r="O495">
        <v>-0.234795156468637</v>
      </c>
      <c r="P495">
        <v>175547611.87050009</v>
      </c>
      <c r="Q495">
        <v>0</v>
      </c>
      <c r="R495" t="s">
        <v>101</v>
      </c>
      <c r="S495" t="s">
        <v>126</v>
      </c>
      <c r="T495" t="s">
        <v>126</v>
      </c>
      <c r="U495">
        <v>15576</v>
      </c>
      <c r="V495">
        <v>9282</v>
      </c>
      <c r="W495">
        <v>6294</v>
      </c>
    </row>
    <row r="496" spans="1:23" x14ac:dyDescent="0.3">
      <c r="A496" t="s">
        <v>1510</v>
      </c>
      <c r="B496">
        <v>2022</v>
      </c>
      <c r="C496">
        <v>1.1885325734085901</v>
      </c>
      <c r="D496">
        <v>7351</v>
      </c>
      <c r="E496">
        <v>0</v>
      </c>
      <c r="F496">
        <v>16</v>
      </c>
      <c r="G496">
        <v>241</v>
      </c>
      <c r="H496">
        <v>2.390437509004E-4</v>
      </c>
      <c r="I496">
        <v>5</v>
      </c>
      <c r="J496">
        <v>0</v>
      </c>
      <c r="K496">
        <v>0</v>
      </c>
      <c r="L496">
        <v>0</v>
      </c>
      <c r="M496">
        <v>31</v>
      </c>
      <c r="N496">
        <v>0.1603596233092752</v>
      </c>
      <c r="O496">
        <v>-6.8539902361992297E-2</v>
      </c>
      <c r="P496">
        <v>150222364.4962444</v>
      </c>
      <c r="Q496">
        <v>0</v>
      </c>
      <c r="R496" t="s">
        <v>101</v>
      </c>
      <c r="S496" t="s">
        <v>127</v>
      </c>
      <c r="T496" t="s">
        <v>127</v>
      </c>
      <c r="U496">
        <v>6995</v>
      </c>
      <c r="V496">
        <v>3152</v>
      </c>
      <c r="W496">
        <v>3843</v>
      </c>
    </row>
    <row r="497" spans="1:23" x14ac:dyDescent="0.3">
      <c r="A497" t="s">
        <v>1511</v>
      </c>
      <c r="B497">
        <v>2022</v>
      </c>
      <c r="C497">
        <v>1.2016963122386231</v>
      </c>
      <c r="D497">
        <v>1919</v>
      </c>
      <c r="E497">
        <v>0</v>
      </c>
      <c r="F497">
        <v>7</v>
      </c>
      <c r="G497">
        <v>176</v>
      </c>
      <c r="H497">
        <v>2.610265945876E-4</v>
      </c>
      <c r="I497">
        <v>12</v>
      </c>
      <c r="J497">
        <v>0</v>
      </c>
      <c r="K497">
        <v>0</v>
      </c>
      <c r="L497">
        <v>0</v>
      </c>
      <c r="M497">
        <v>6</v>
      </c>
      <c r="N497">
        <v>0.55098541969015347</v>
      </c>
      <c r="O497">
        <v>-0.32152771396178409</v>
      </c>
      <c r="P497">
        <v>115681413.093009</v>
      </c>
      <c r="Q497">
        <v>0</v>
      </c>
      <c r="R497" t="s">
        <v>128</v>
      </c>
      <c r="S497" t="s">
        <v>129</v>
      </c>
      <c r="T497" t="s">
        <v>134</v>
      </c>
      <c r="U497">
        <v>1837</v>
      </c>
      <c r="V497">
        <v>640</v>
      </c>
      <c r="W497">
        <v>1197</v>
      </c>
    </row>
    <row r="498" spans="1:23" x14ac:dyDescent="0.3">
      <c r="A498" t="s">
        <v>1512</v>
      </c>
      <c r="B498">
        <v>2022</v>
      </c>
      <c r="C498">
        <v>0.77286754424582882</v>
      </c>
      <c r="D498">
        <v>1642</v>
      </c>
      <c r="E498">
        <v>0</v>
      </c>
      <c r="F498">
        <v>13</v>
      </c>
      <c r="G498">
        <v>180</v>
      </c>
      <c r="H498">
        <v>2.2977886146579999E-4</v>
      </c>
      <c r="I498">
        <v>7</v>
      </c>
      <c r="J498">
        <v>1.9036740909956201E-2</v>
      </c>
      <c r="K498">
        <v>3</v>
      </c>
      <c r="L498">
        <v>0</v>
      </c>
      <c r="M498">
        <v>14</v>
      </c>
      <c r="N498">
        <v>0.46451567753536982</v>
      </c>
      <c r="O498">
        <v>-0.27258845344909333</v>
      </c>
      <c r="P498">
        <v>542555180.38455558</v>
      </c>
      <c r="Q498">
        <v>0</v>
      </c>
      <c r="R498" t="s">
        <v>128</v>
      </c>
      <c r="S498" t="s">
        <v>129</v>
      </c>
      <c r="T498" t="s">
        <v>135</v>
      </c>
      <c r="U498">
        <v>1567</v>
      </c>
      <c r="V498">
        <v>175</v>
      </c>
      <c r="W498">
        <v>1392</v>
      </c>
    </row>
    <row r="499" spans="1:23" x14ac:dyDescent="0.3">
      <c r="A499" t="s">
        <v>1513</v>
      </c>
      <c r="B499">
        <v>2022</v>
      </c>
      <c r="C499">
        <v>1.641835510345292</v>
      </c>
      <c r="D499">
        <v>1246</v>
      </c>
      <c r="E499">
        <v>0</v>
      </c>
      <c r="F499">
        <v>13</v>
      </c>
      <c r="G499">
        <v>149</v>
      </c>
      <c r="H499">
        <v>3.2509752925870001E-4</v>
      </c>
      <c r="I499">
        <v>24</v>
      </c>
      <c r="J499">
        <v>1.4084507042253501E-2</v>
      </c>
      <c r="K499">
        <v>1</v>
      </c>
      <c r="L499">
        <v>0</v>
      </c>
      <c r="M499">
        <v>8</v>
      </c>
      <c r="N499">
        <v>0.56835231095426619</v>
      </c>
      <c r="O499">
        <v>-0.37315994965778593</v>
      </c>
      <c r="P499">
        <v>60842602.287114859</v>
      </c>
      <c r="Q499">
        <v>0</v>
      </c>
      <c r="R499" t="s">
        <v>128</v>
      </c>
      <c r="S499" t="s">
        <v>129</v>
      </c>
      <c r="T499" t="s">
        <v>136</v>
      </c>
      <c r="U499">
        <v>1191</v>
      </c>
      <c r="V499">
        <v>428</v>
      </c>
      <c r="W499">
        <v>763</v>
      </c>
    </row>
    <row r="500" spans="1:23" x14ac:dyDescent="0.3">
      <c r="A500" t="s">
        <v>1514</v>
      </c>
      <c r="B500">
        <v>2022</v>
      </c>
      <c r="C500">
        <v>1.2373707052604159</v>
      </c>
      <c r="D500">
        <v>1769</v>
      </c>
      <c r="E500">
        <v>0</v>
      </c>
      <c r="F500">
        <v>16</v>
      </c>
      <c r="G500">
        <v>141</v>
      </c>
      <c r="H500">
        <v>4.6178047058010002E-4</v>
      </c>
      <c r="I500">
        <v>5</v>
      </c>
      <c r="J500">
        <v>9.0909090909090898E-2</v>
      </c>
      <c r="K500">
        <v>1</v>
      </c>
      <c r="L500">
        <v>0</v>
      </c>
      <c r="M500">
        <v>4</v>
      </c>
      <c r="N500">
        <v>0.55613587965136668</v>
      </c>
      <c r="O500">
        <v>-0.44240447295596791</v>
      </c>
      <c r="P500">
        <v>61138511.586005621</v>
      </c>
      <c r="Q500">
        <v>0</v>
      </c>
      <c r="R500" t="s">
        <v>128</v>
      </c>
      <c r="S500" t="s">
        <v>137</v>
      </c>
      <c r="T500" t="s">
        <v>141</v>
      </c>
      <c r="U500">
        <v>1692</v>
      </c>
      <c r="V500">
        <v>810</v>
      </c>
      <c r="W500">
        <v>882</v>
      </c>
    </row>
    <row r="501" spans="1:23" x14ac:dyDescent="0.3">
      <c r="A501" t="s">
        <v>1515</v>
      </c>
      <c r="B501">
        <v>2022</v>
      </c>
      <c r="C501">
        <v>0.96692674376099341</v>
      </c>
      <c r="D501">
        <v>2407</v>
      </c>
      <c r="E501">
        <v>0</v>
      </c>
      <c r="F501">
        <v>1</v>
      </c>
      <c r="G501">
        <v>97</v>
      </c>
      <c r="H501">
        <v>3.61010688996E-4</v>
      </c>
      <c r="I501">
        <v>19</v>
      </c>
      <c r="J501">
        <v>0</v>
      </c>
      <c r="K501">
        <v>0</v>
      </c>
      <c r="L501">
        <v>0</v>
      </c>
      <c r="M501">
        <v>1</v>
      </c>
      <c r="N501">
        <v>0.47820981854493078</v>
      </c>
      <c r="O501">
        <v>-0.30219625362014468</v>
      </c>
      <c r="P501">
        <v>114168677.6947584</v>
      </c>
      <c r="Q501">
        <v>0</v>
      </c>
      <c r="R501" t="s">
        <v>128</v>
      </c>
      <c r="S501" t="s">
        <v>128</v>
      </c>
      <c r="T501" t="s">
        <v>144</v>
      </c>
      <c r="U501">
        <v>2300</v>
      </c>
      <c r="V501">
        <v>478</v>
      </c>
      <c r="W501">
        <v>1822</v>
      </c>
    </row>
    <row r="502" spans="1:23" x14ac:dyDescent="0.3">
      <c r="A502" t="s">
        <v>1516</v>
      </c>
      <c r="B502">
        <v>2022</v>
      </c>
      <c r="C502">
        <v>0.86724231612968294</v>
      </c>
      <c r="D502">
        <v>7280</v>
      </c>
      <c r="E502">
        <v>0</v>
      </c>
      <c r="F502">
        <v>106</v>
      </c>
      <c r="G502">
        <v>416</v>
      </c>
      <c r="H502">
        <v>1.3697410389940001E-4</v>
      </c>
      <c r="I502">
        <v>13</v>
      </c>
      <c r="J502">
        <v>0.66666666666666663</v>
      </c>
      <c r="K502">
        <v>1</v>
      </c>
      <c r="L502">
        <v>0</v>
      </c>
      <c r="M502">
        <v>0</v>
      </c>
      <c r="N502">
        <v>0.49869736436593881</v>
      </c>
      <c r="O502">
        <v>-0.43084425218535433</v>
      </c>
      <c r="P502">
        <v>414278833.60483909</v>
      </c>
      <c r="Q502">
        <v>0</v>
      </c>
      <c r="R502" t="s">
        <v>128</v>
      </c>
      <c r="S502" t="s">
        <v>128</v>
      </c>
      <c r="T502" t="s">
        <v>147</v>
      </c>
      <c r="U502">
        <v>6955</v>
      </c>
      <c r="V502">
        <v>2313</v>
      </c>
      <c r="W502">
        <v>4642</v>
      </c>
    </row>
    <row r="503" spans="1:23" x14ac:dyDescent="0.3">
      <c r="A503" t="s">
        <v>1517</v>
      </c>
      <c r="B503">
        <v>2022</v>
      </c>
      <c r="C503">
        <v>1.2247114655211151</v>
      </c>
      <c r="D503">
        <v>1757</v>
      </c>
      <c r="E503">
        <v>0</v>
      </c>
      <c r="F503">
        <v>11</v>
      </c>
      <c r="G503">
        <v>52</v>
      </c>
      <c r="H503">
        <v>1.0904626459351001E-3</v>
      </c>
      <c r="I503">
        <v>2</v>
      </c>
      <c r="J503">
        <v>7.1428571428571397E-2</v>
      </c>
      <c r="K503">
        <v>1</v>
      </c>
      <c r="L503">
        <v>0</v>
      </c>
      <c r="M503">
        <v>0</v>
      </c>
      <c r="N503">
        <v>0.4982010907026943</v>
      </c>
      <c r="O503">
        <v>-0.4190268344800645</v>
      </c>
      <c r="P503">
        <v>63742220.438732877</v>
      </c>
      <c r="Q503">
        <v>0</v>
      </c>
      <c r="R503" t="s">
        <v>128</v>
      </c>
      <c r="S503" t="s">
        <v>128</v>
      </c>
      <c r="T503" t="s">
        <v>148</v>
      </c>
      <c r="U503">
        <v>1680</v>
      </c>
      <c r="V503">
        <v>777</v>
      </c>
      <c r="W503">
        <v>903</v>
      </c>
    </row>
    <row r="504" spans="1:23" x14ac:dyDescent="0.3">
      <c r="A504" t="s">
        <v>1518</v>
      </c>
      <c r="B504">
        <v>2022</v>
      </c>
      <c r="C504">
        <v>0.71042994496796819</v>
      </c>
      <c r="D504">
        <v>2228</v>
      </c>
      <c r="E504">
        <v>0</v>
      </c>
      <c r="F504">
        <v>27</v>
      </c>
      <c r="G504">
        <v>150</v>
      </c>
      <c r="H504">
        <v>1.940984578634E-4</v>
      </c>
      <c r="I504">
        <v>13</v>
      </c>
      <c r="J504">
        <v>0</v>
      </c>
      <c r="K504">
        <v>0</v>
      </c>
      <c r="L504">
        <v>0</v>
      </c>
      <c r="M504">
        <v>0</v>
      </c>
      <c r="N504">
        <v>0.51291134618585188</v>
      </c>
      <c r="O504">
        <v>-0.34569028549141601</v>
      </c>
      <c r="P504">
        <v>412141440.8902784</v>
      </c>
      <c r="Q504">
        <v>0</v>
      </c>
      <c r="R504" t="s">
        <v>128</v>
      </c>
      <c r="S504" t="s">
        <v>128</v>
      </c>
      <c r="T504" t="s">
        <v>149</v>
      </c>
      <c r="U504">
        <v>2127</v>
      </c>
      <c r="V504">
        <v>1158</v>
      </c>
      <c r="W504">
        <v>969</v>
      </c>
    </row>
    <row r="505" spans="1:23" x14ac:dyDescent="0.3">
      <c r="A505" t="s">
        <v>1519</v>
      </c>
      <c r="B505">
        <v>2022</v>
      </c>
      <c r="C505">
        <v>1.270025777818502</v>
      </c>
      <c r="D505">
        <v>1761</v>
      </c>
      <c r="E505">
        <v>0</v>
      </c>
      <c r="F505">
        <v>3</v>
      </c>
      <c r="G505">
        <v>88</v>
      </c>
      <c r="H505">
        <v>4.7058477756770003E-4</v>
      </c>
      <c r="I505">
        <v>16</v>
      </c>
      <c r="J505">
        <v>5.5555555555555497E-2</v>
      </c>
      <c r="K505">
        <v>1</v>
      </c>
      <c r="L505">
        <v>0</v>
      </c>
      <c r="M505">
        <v>1</v>
      </c>
      <c r="N505">
        <v>0.5424956835637893</v>
      </c>
      <c r="O505">
        <v>-0.37656219235579641</v>
      </c>
      <c r="P505">
        <v>83871235.032841027</v>
      </c>
      <c r="Q505">
        <v>0</v>
      </c>
      <c r="R505" t="s">
        <v>128</v>
      </c>
      <c r="S505" t="s">
        <v>128</v>
      </c>
      <c r="T505" t="s">
        <v>150</v>
      </c>
      <c r="U505">
        <v>1683</v>
      </c>
      <c r="V505">
        <v>475</v>
      </c>
      <c r="W505">
        <v>1208</v>
      </c>
    </row>
    <row r="506" spans="1:23" x14ac:dyDescent="0.3">
      <c r="A506" t="s">
        <v>1520</v>
      </c>
      <c r="B506">
        <v>2022</v>
      </c>
      <c r="C506">
        <v>1.8722471132743299</v>
      </c>
      <c r="D506">
        <v>3859</v>
      </c>
      <c r="E506">
        <v>0</v>
      </c>
      <c r="F506">
        <v>10</v>
      </c>
      <c r="G506">
        <v>118</v>
      </c>
      <c r="H506">
        <v>3.1036420954869999E-4</v>
      </c>
      <c r="I506">
        <v>5</v>
      </c>
      <c r="J506">
        <v>0.25</v>
      </c>
      <c r="K506">
        <v>1</v>
      </c>
      <c r="L506">
        <v>0</v>
      </c>
      <c r="M506">
        <v>0</v>
      </c>
      <c r="N506">
        <v>0.54672773285663623</v>
      </c>
      <c r="O506">
        <v>-0.33216661721798002</v>
      </c>
      <c r="P506">
        <v>99828855.751940757</v>
      </c>
      <c r="Q506">
        <v>0</v>
      </c>
      <c r="R506" t="s">
        <v>128</v>
      </c>
      <c r="S506" t="s">
        <v>128</v>
      </c>
      <c r="T506" t="s">
        <v>152</v>
      </c>
      <c r="U506">
        <v>3688</v>
      </c>
      <c r="V506">
        <v>1541</v>
      </c>
      <c r="W506">
        <v>2147</v>
      </c>
    </row>
    <row r="507" spans="1:23" x14ac:dyDescent="0.3">
      <c r="A507" t="s">
        <v>1521</v>
      </c>
      <c r="B507">
        <v>2022</v>
      </c>
      <c r="C507">
        <v>0.52495597214737011</v>
      </c>
      <c r="D507">
        <v>2096</v>
      </c>
      <c r="E507">
        <v>0</v>
      </c>
      <c r="F507">
        <v>2</v>
      </c>
      <c r="G507">
        <v>52</v>
      </c>
      <c r="H507">
        <v>3.9983717110230003E-4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0.5019060121709279</v>
      </c>
      <c r="O507">
        <v>-0.26468745198648352</v>
      </c>
      <c r="P507">
        <v>200615461.5913789</v>
      </c>
      <c r="Q507">
        <v>0</v>
      </c>
      <c r="R507" t="s">
        <v>160</v>
      </c>
      <c r="S507" t="s">
        <v>161</v>
      </c>
      <c r="T507" t="s">
        <v>164</v>
      </c>
      <c r="U507">
        <v>2069</v>
      </c>
      <c r="V507">
        <v>466</v>
      </c>
      <c r="W507">
        <v>1603</v>
      </c>
    </row>
    <row r="508" spans="1:23" x14ac:dyDescent="0.3">
      <c r="A508" t="s">
        <v>1522</v>
      </c>
      <c r="B508">
        <v>2022</v>
      </c>
      <c r="C508">
        <v>1.98820491832679</v>
      </c>
      <c r="D508">
        <v>702</v>
      </c>
      <c r="E508">
        <v>0</v>
      </c>
      <c r="F508">
        <v>1</v>
      </c>
      <c r="G508">
        <v>42</v>
      </c>
      <c r="H508">
        <v>1.1216798277099E-3</v>
      </c>
      <c r="I508">
        <v>3</v>
      </c>
      <c r="J508">
        <v>0</v>
      </c>
      <c r="K508">
        <v>0</v>
      </c>
      <c r="L508">
        <v>0</v>
      </c>
      <c r="M508">
        <v>0</v>
      </c>
      <c r="N508">
        <v>0.50586151908068766</v>
      </c>
      <c r="O508">
        <v>-0.31243454476395299</v>
      </c>
      <c r="P508">
        <v>17776810.92390871</v>
      </c>
      <c r="Q508">
        <v>0</v>
      </c>
      <c r="R508" t="s">
        <v>160</v>
      </c>
      <c r="S508" t="s">
        <v>161</v>
      </c>
      <c r="T508" t="s">
        <v>165</v>
      </c>
      <c r="U508">
        <v>670</v>
      </c>
      <c r="V508">
        <v>314</v>
      </c>
      <c r="W508">
        <v>356</v>
      </c>
    </row>
    <row r="509" spans="1:23" x14ac:dyDescent="0.3">
      <c r="A509" t="s">
        <v>1523</v>
      </c>
      <c r="B509">
        <v>2022</v>
      </c>
      <c r="C509">
        <v>0.612403470712511</v>
      </c>
      <c r="D509">
        <v>1439</v>
      </c>
      <c r="E509">
        <v>0</v>
      </c>
      <c r="F509">
        <v>4</v>
      </c>
      <c r="G509">
        <v>8</v>
      </c>
      <c r="H509">
        <v>6.7335408739766997E-3</v>
      </c>
      <c r="I509">
        <v>3</v>
      </c>
      <c r="J509">
        <v>0</v>
      </c>
      <c r="K509">
        <v>0</v>
      </c>
      <c r="L509">
        <v>0</v>
      </c>
      <c r="M509">
        <v>7</v>
      </c>
      <c r="N509">
        <v>0.37690563413611988</v>
      </c>
      <c r="O509">
        <v>-0.15877183813334411</v>
      </c>
      <c r="P509">
        <v>623727251.41813791</v>
      </c>
      <c r="Q509">
        <v>0</v>
      </c>
      <c r="R509" t="s">
        <v>160</v>
      </c>
      <c r="S509" t="s">
        <v>161</v>
      </c>
      <c r="T509" t="s">
        <v>166</v>
      </c>
      <c r="U509">
        <v>1393</v>
      </c>
      <c r="V509">
        <v>19</v>
      </c>
      <c r="W509">
        <v>1374</v>
      </c>
    </row>
    <row r="510" spans="1:23" x14ac:dyDescent="0.3">
      <c r="A510" t="s">
        <v>1524</v>
      </c>
      <c r="B510">
        <v>2022</v>
      </c>
      <c r="C510">
        <v>0.73427308981436679</v>
      </c>
      <c r="D510">
        <v>2683</v>
      </c>
      <c r="E510">
        <v>0</v>
      </c>
      <c r="F510">
        <v>6</v>
      </c>
      <c r="G510">
        <v>88</v>
      </c>
      <c r="H510">
        <v>5.609745407079E-4</v>
      </c>
      <c r="I510">
        <v>7</v>
      </c>
      <c r="J510">
        <v>0</v>
      </c>
      <c r="K510">
        <v>0</v>
      </c>
      <c r="L510">
        <v>0</v>
      </c>
      <c r="M510">
        <v>1</v>
      </c>
      <c r="N510">
        <v>0.36717596737034908</v>
      </c>
      <c r="O510">
        <v>-0.31310081567740328</v>
      </c>
      <c r="P510">
        <v>178919750.9149788</v>
      </c>
      <c r="Q510">
        <v>0</v>
      </c>
      <c r="R510" t="s">
        <v>160</v>
      </c>
      <c r="S510" t="s">
        <v>161</v>
      </c>
      <c r="T510" t="s">
        <v>167</v>
      </c>
      <c r="U510">
        <v>2683</v>
      </c>
      <c r="V510">
        <v>1374</v>
      </c>
      <c r="W510">
        <v>1309</v>
      </c>
    </row>
    <row r="511" spans="1:23" x14ac:dyDescent="0.3">
      <c r="A511" t="s">
        <v>1525</v>
      </c>
      <c r="B511">
        <v>2022</v>
      </c>
      <c r="C511">
        <v>0.56618931243979542</v>
      </c>
      <c r="D511">
        <v>4475</v>
      </c>
      <c r="E511">
        <v>0</v>
      </c>
      <c r="F511">
        <v>3</v>
      </c>
      <c r="G511">
        <v>39</v>
      </c>
      <c r="H511">
        <v>1.3440201790066999E-3</v>
      </c>
      <c r="I511">
        <v>1</v>
      </c>
      <c r="J511">
        <v>0.66666666666666663</v>
      </c>
      <c r="K511">
        <v>1</v>
      </c>
      <c r="L511">
        <v>0</v>
      </c>
      <c r="M511">
        <v>1</v>
      </c>
      <c r="N511">
        <v>0.43495359160813352</v>
      </c>
      <c r="O511">
        <v>-0.1517630701761592</v>
      </c>
      <c r="P511">
        <v>442791892.09039962</v>
      </c>
      <c r="Q511">
        <v>0</v>
      </c>
      <c r="R511" t="s">
        <v>160</v>
      </c>
      <c r="S511" t="s">
        <v>161</v>
      </c>
      <c r="T511" t="s">
        <v>169</v>
      </c>
      <c r="U511">
        <v>4349</v>
      </c>
      <c r="V511">
        <v>630</v>
      </c>
      <c r="W511">
        <v>3719</v>
      </c>
    </row>
    <row r="512" spans="1:23" x14ac:dyDescent="0.3">
      <c r="A512" t="s">
        <v>1526</v>
      </c>
      <c r="B512">
        <v>2022</v>
      </c>
      <c r="C512">
        <v>2.551701255209494</v>
      </c>
      <c r="D512">
        <v>2519</v>
      </c>
      <c r="E512">
        <v>0</v>
      </c>
      <c r="F512">
        <v>2</v>
      </c>
      <c r="G512">
        <v>52</v>
      </c>
      <c r="H512">
        <v>1.1936722977158999E-3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0.45449333161756311</v>
      </c>
      <c r="O512">
        <v>-0.2961332548052521</v>
      </c>
      <c r="P512">
        <v>16575007.430290589</v>
      </c>
      <c r="Q512">
        <v>0</v>
      </c>
      <c r="R512" t="s">
        <v>160</v>
      </c>
      <c r="S512" t="s">
        <v>161</v>
      </c>
      <c r="T512" t="s">
        <v>170</v>
      </c>
      <c r="U512">
        <v>2404</v>
      </c>
      <c r="V512">
        <v>1514</v>
      </c>
      <c r="W512">
        <v>890</v>
      </c>
    </row>
    <row r="513" spans="1:23" x14ac:dyDescent="0.3">
      <c r="A513" t="s">
        <v>1527</v>
      </c>
      <c r="B513">
        <v>2022</v>
      </c>
      <c r="C513">
        <v>1.2464382160221561</v>
      </c>
      <c r="D513">
        <v>1430</v>
      </c>
      <c r="E513">
        <v>0</v>
      </c>
      <c r="F513">
        <v>13</v>
      </c>
      <c r="G513">
        <v>144</v>
      </c>
      <c r="H513">
        <v>5.4319314661780002E-4</v>
      </c>
      <c r="I513">
        <v>4</v>
      </c>
      <c r="J513">
        <v>0</v>
      </c>
      <c r="K513">
        <v>0</v>
      </c>
      <c r="L513">
        <v>0</v>
      </c>
      <c r="M513">
        <v>3</v>
      </c>
      <c r="N513">
        <v>0.38813898158061089</v>
      </c>
      <c r="O513">
        <v>-0.33309649254257512</v>
      </c>
      <c r="P513">
        <v>58361555.472915508</v>
      </c>
      <c r="Q513">
        <v>0</v>
      </c>
      <c r="R513" t="s">
        <v>160</v>
      </c>
      <c r="S513" t="s">
        <v>101</v>
      </c>
      <c r="T513" t="s">
        <v>171</v>
      </c>
      <c r="U513">
        <v>1364</v>
      </c>
      <c r="V513">
        <v>731</v>
      </c>
      <c r="W513">
        <v>633</v>
      </c>
    </row>
    <row r="514" spans="1:23" x14ac:dyDescent="0.3">
      <c r="A514" t="s">
        <v>1528</v>
      </c>
      <c r="B514">
        <v>2022</v>
      </c>
      <c r="C514">
        <v>0.98515336169123158</v>
      </c>
      <c r="D514">
        <v>1781</v>
      </c>
      <c r="E514">
        <v>0</v>
      </c>
      <c r="F514">
        <v>1</v>
      </c>
      <c r="G514">
        <v>62</v>
      </c>
      <c r="H514">
        <v>1.0963807652042E-3</v>
      </c>
      <c r="I514">
        <v>1</v>
      </c>
      <c r="J514">
        <v>0</v>
      </c>
      <c r="K514">
        <v>0</v>
      </c>
      <c r="L514">
        <v>0</v>
      </c>
      <c r="M514">
        <v>5</v>
      </c>
      <c r="N514">
        <v>0.4425006480300423</v>
      </c>
      <c r="O514">
        <v>-0.23328458755482329</v>
      </c>
      <c r="P514">
        <v>69657210.034412861</v>
      </c>
      <c r="Q514">
        <v>0</v>
      </c>
      <c r="R514" t="s">
        <v>160</v>
      </c>
      <c r="S514" t="s">
        <v>101</v>
      </c>
      <c r="T514" t="s">
        <v>173</v>
      </c>
      <c r="U514">
        <v>1699</v>
      </c>
      <c r="V514">
        <v>894</v>
      </c>
      <c r="W514">
        <v>805</v>
      </c>
    </row>
    <row r="515" spans="1:23" x14ac:dyDescent="0.3">
      <c r="A515" t="s">
        <v>1529</v>
      </c>
      <c r="B515">
        <v>2022</v>
      </c>
      <c r="C515">
        <v>1.6789457397386149</v>
      </c>
      <c r="D515">
        <v>2046</v>
      </c>
      <c r="E515">
        <v>0</v>
      </c>
      <c r="F515">
        <v>1</v>
      </c>
      <c r="G515">
        <v>78</v>
      </c>
      <c r="H515">
        <v>8.3187525879329998E-4</v>
      </c>
      <c r="I515">
        <v>2</v>
      </c>
      <c r="J515">
        <v>0</v>
      </c>
      <c r="K515">
        <v>0</v>
      </c>
      <c r="L515">
        <v>0</v>
      </c>
      <c r="M515">
        <v>3</v>
      </c>
      <c r="N515">
        <v>0.3843450233931105</v>
      </c>
      <c r="O515">
        <v>-0.27506591084613269</v>
      </c>
      <c r="P515">
        <v>31068534.830973201</v>
      </c>
      <c r="Q515">
        <v>0</v>
      </c>
      <c r="R515" t="s">
        <v>160</v>
      </c>
      <c r="S515" t="s">
        <v>101</v>
      </c>
      <c r="T515" t="s">
        <v>175</v>
      </c>
      <c r="U515">
        <v>1951</v>
      </c>
      <c r="V515">
        <v>1025</v>
      </c>
      <c r="W515">
        <v>926</v>
      </c>
    </row>
    <row r="516" spans="1:23" x14ac:dyDescent="0.3">
      <c r="A516" t="s">
        <v>1530</v>
      </c>
      <c r="B516">
        <v>2022</v>
      </c>
      <c r="C516">
        <v>0.54647718305605542</v>
      </c>
      <c r="D516">
        <v>782</v>
      </c>
      <c r="E516">
        <v>0</v>
      </c>
      <c r="F516">
        <v>1</v>
      </c>
      <c r="G516">
        <v>34</v>
      </c>
      <c r="H516">
        <v>1.0799129761852001E-3</v>
      </c>
      <c r="I516">
        <v>3</v>
      </c>
      <c r="J516">
        <v>0</v>
      </c>
      <c r="K516">
        <v>0</v>
      </c>
      <c r="L516">
        <v>0</v>
      </c>
      <c r="M516">
        <v>1</v>
      </c>
      <c r="N516">
        <v>0.50798200508489477</v>
      </c>
      <c r="O516">
        <v>-0.2400772182530255</v>
      </c>
      <c r="P516">
        <v>255816272.67176509</v>
      </c>
      <c r="Q516">
        <v>0</v>
      </c>
      <c r="R516" t="s">
        <v>160</v>
      </c>
      <c r="S516" t="s">
        <v>176</v>
      </c>
      <c r="T516" t="s">
        <v>178</v>
      </c>
      <c r="U516">
        <v>746</v>
      </c>
      <c r="V516">
        <v>196</v>
      </c>
      <c r="W516">
        <v>550</v>
      </c>
    </row>
    <row r="517" spans="1:23" x14ac:dyDescent="0.3">
      <c r="A517" t="s">
        <v>1531</v>
      </c>
      <c r="B517">
        <v>2022</v>
      </c>
      <c r="C517">
        <v>1.042427958120747</v>
      </c>
      <c r="D517">
        <v>3896</v>
      </c>
      <c r="E517">
        <v>0</v>
      </c>
      <c r="F517">
        <v>8</v>
      </c>
      <c r="G517">
        <v>177</v>
      </c>
      <c r="H517">
        <v>4.3488592543980002E-4</v>
      </c>
      <c r="I517">
        <v>8</v>
      </c>
      <c r="J517">
        <v>0</v>
      </c>
      <c r="K517">
        <v>0</v>
      </c>
      <c r="L517">
        <v>0</v>
      </c>
      <c r="M517">
        <v>2</v>
      </c>
      <c r="N517">
        <v>0.40611411319554558</v>
      </c>
      <c r="O517">
        <v>-0.32540411313547241</v>
      </c>
      <c r="P517">
        <v>151082175.47424781</v>
      </c>
      <c r="Q517">
        <v>0</v>
      </c>
      <c r="R517" t="s">
        <v>160</v>
      </c>
      <c r="S517" t="s">
        <v>176</v>
      </c>
      <c r="T517" t="s">
        <v>179</v>
      </c>
      <c r="U517">
        <v>3718</v>
      </c>
      <c r="V517">
        <v>2002</v>
      </c>
      <c r="W517">
        <v>1716</v>
      </c>
    </row>
    <row r="518" spans="1:23" x14ac:dyDescent="0.3">
      <c r="A518" t="s">
        <v>1532</v>
      </c>
      <c r="B518">
        <v>2022</v>
      </c>
      <c r="C518">
        <v>0.70300739225984321</v>
      </c>
      <c r="D518">
        <v>2058</v>
      </c>
      <c r="E518">
        <v>0</v>
      </c>
      <c r="F518">
        <v>6</v>
      </c>
      <c r="G518">
        <v>95</v>
      </c>
      <c r="H518">
        <v>5.4083004819719999E-4</v>
      </c>
      <c r="I518">
        <v>4</v>
      </c>
      <c r="J518">
        <v>0</v>
      </c>
      <c r="K518">
        <v>0</v>
      </c>
      <c r="L518">
        <v>0</v>
      </c>
      <c r="M518">
        <v>12</v>
      </c>
      <c r="N518">
        <v>0.26870682012615688</v>
      </c>
      <c r="O518">
        <v>-9.6757814042112797E-2</v>
      </c>
      <c r="P518">
        <v>281285922.60046762</v>
      </c>
      <c r="Q518">
        <v>0</v>
      </c>
      <c r="R518" t="s">
        <v>160</v>
      </c>
      <c r="S518" t="s">
        <v>181</v>
      </c>
      <c r="T518" t="s">
        <v>183</v>
      </c>
      <c r="U518">
        <v>1961</v>
      </c>
      <c r="V518">
        <v>493</v>
      </c>
      <c r="W518">
        <v>1468</v>
      </c>
    </row>
    <row r="519" spans="1:23" x14ac:dyDescent="0.3">
      <c r="A519" t="s">
        <v>1533</v>
      </c>
      <c r="B519">
        <v>2022</v>
      </c>
      <c r="C519">
        <v>3.0941756089893562</v>
      </c>
      <c r="D519">
        <v>3039</v>
      </c>
      <c r="E519">
        <v>0</v>
      </c>
      <c r="F519">
        <v>1</v>
      </c>
      <c r="G519">
        <v>106</v>
      </c>
      <c r="H519">
        <v>1.2670553958481E-3</v>
      </c>
      <c r="I519">
        <v>11</v>
      </c>
      <c r="J519">
        <v>0</v>
      </c>
      <c r="K519">
        <v>0</v>
      </c>
      <c r="L519">
        <v>0</v>
      </c>
      <c r="M519">
        <v>3</v>
      </c>
      <c r="N519">
        <v>0.46581948174998289</v>
      </c>
      <c r="O519">
        <v>-0.32562939970319399</v>
      </c>
      <c r="P519">
        <v>32629655.035461131</v>
      </c>
      <c r="Q519">
        <v>0</v>
      </c>
      <c r="R519" t="s">
        <v>160</v>
      </c>
      <c r="S519" t="s">
        <v>185</v>
      </c>
      <c r="T519" t="s">
        <v>187</v>
      </c>
      <c r="U519">
        <v>2901</v>
      </c>
      <c r="V519">
        <v>1729</v>
      </c>
      <c r="W519">
        <v>1172</v>
      </c>
    </row>
    <row r="520" spans="1:23" x14ac:dyDescent="0.3">
      <c r="A520" t="s">
        <v>1534</v>
      </c>
      <c r="B520">
        <v>2022</v>
      </c>
      <c r="C520">
        <v>1.6320542681184149</v>
      </c>
      <c r="D520">
        <v>1200</v>
      </c>
      <c r="E520">
        <v>0</v>
      </c>
      <c r="F520">
        <v>1</v>
      </c>
      <c r="G520">
        <v>44</v>
      </c>
      <c r="H520">
        <v>1.5858380969942E-3</v>
      </c>
      <c r="I520">
        <v>4</v>
      </c>
      <c r="J520">
        <v>0</v>
      </c>
      <c r="K520">
        <v>0</v>
      </c>
      <c r="L520">
        <v>0</v>
      </c>
      <c r="M520">
        <v>1</v>
      </c>
      <c r="N520">
        <v>0.45735226119450251</v>
      </c>
      <c r="O520">
        <v>-0.25724092765431628</v>
      </c>
      <c r="P520">
        <v>32060292.932294469</v>
      </c>
      <c r="Q520">
        <v>0</v>
      </c>
      <c r="R520" t="s">
        <v>160</v>
      </c>
      <c r="S520" t="s">
        <v>185</v>
      </c>
      <c r="T520" t="s">
        <v>189</v>
      </c>
      <c r="U520">
        <v>1144</v>
      </c>
      <c r="V520">
        <v>586</v>
      </c>
      <c r="W520">
        <v>558</v>
      </c>
    </row>
    <row r="521" spans="1:23" x14ac:dyDescent="0.3">
      <c r="A521" t="s">
        <v>1535</v>
      </c>
      <c r="B521">
        <v>2022</v>
      </c>
      <c r="C521">
        <v>0.73735067526969955</v>
      </c>
      <c r="D521">
        <v>4052</v>
      </c>
      <c r="E521">
        <v>0</v>
      </c>
      <c r="F521">
        <v>4</v>
      </c>
      <c r="G521">
        <v>120</v>
      </c>
      <c r="H521">
        <v>5.2993042593659997E-4</v>
      </c>
      <c r="I521">
        <v>5</v>
      </c>
      <c r="J521">
        <v>0</v>
      </c>
      <c r="K521">
        <v>0</v>
      </c>
      <c r="L521">
        <v>0</v>
      </c>
      <c r="M521">
        <v>12</v>
      </c>
      <c r="N521">
        <v>0.5768950911354751</v>
      </c>
      <c r="O521">
        <v>-0.2530710575405139</v>
      </c>
      <c r="P521">
        <v>247982097.33019289</v>
      </c>
      <c r="Q521">
        <v>0</v>
      </c>
      <c r="R521" t="s">
        <v>195</v>
      </c>
      <c r="S521" t="s">
        <v>207</v>
      </c>
      <c r="T521" t="s">
        <v>208</v>
      </c>
      <c r="U521">
        <v>3866</v>
      </c>
      <c r="V521">
        <v>1223</v>
      </c>
      <c r="W521">
        <v>2643</v>
      </c>
    </row>
    <row r="522" spans="1:23" x14ac:dyDescent="0.3">
      <c r="A522" t="s">
        <v>1536</v>
      </c>
      <c r="B522">
        <v>2022</v>
      </c>
      <c r="C522">
        <v>0.67737122474506573</v>
      </c>
      <c r="D522">
        <v>2055</v>
      </c>
      <c r="E522">
        <v>0</v>
      </c>
      <c r="F522">
        <v>1</v>
      </c>
      <c r="G522">
        <v>56</v>
      </c>
      <c r="H522">
        <v>1.1261190216328E-3</v>
      </c>
      <c r="I522">
        <v>7</v>
      </c>
      <c r="J522">
        <v>0</v>
      </c>
      <c r="K522">
        <v>0</v>
      </c>
      <c r="L522">
        <v>0</v>
      </c>
      <c r="M522">
        <v>11</v>
      </c>
      <c r="N522">
        <v>0.6459424392146168</v>
      </c>
      <c r="O522">
        <v>-0.29269901648654678</v>
      </c>
      <c r="P522">
        <v>181411062.8097333</v>
      </c>
      <c r="Q522">
        <v>0</v>
      </c>
      <c r="R522" t="s">
        <v>195</v>
      </c>
      <c r="S522" t="s">
        <v>207</v>
      </c>
      <c r="T522" t="s">
        <v>209</v>
      </c>
      <c r="U522">
        <v>1958</v>
      </c>
      <c r="V522">
        <v>714</v>
      </c>
      <c r="W522">
        <v>1244</v>
      </c>
    </row>
    <row r="523" spans="1:23" x14ac:dyDescent="0.3">
      <c r="A523" t="s">
        <v>1537</v>
      </c>
      <c r="B523">
        <v>2022</v>
      </c>
      <c r="C523">
        <v>0.97838165183583836</v>
      </c>
      <c r="D523">
        <v>5791</v>
      </c>
      <c r="E523">
        <v>0</v>
      </c>
      <c r="F523">
        <v>110</v>
      </c>
      <c r="G523">
        <v>148</v>
      </c>
      <c r="H523">
        <v>2.4392946188839999E-4</v>
      </c>
      <c r="I523">
        <v>14</v>
      </c>
      <c r="J523">
        <v>0</v>
      </c>
      <c r="K523">
        <v>0</v>
      </c>
      <c r="L523">
        <v>0</v>
      </c>
      <c r="M523">
        <v>21</v>
      </c>
      <c r="N523">
        <v>0.41660973973283633</v>
      </c>
      <c r="O523">
        <v>-0.2240947643198461</v>
      </c>
      <c r="P523">
        <v>162289338.10519171</v>
      </c>
      <c r="Q523">
        <v>0</v>
      </c>
      <c r="R523" t="s">
        <v>195</v>
      </c>
      <c r="S523" t="s">
        <v>210</v>
      </c>
      <c r="T523" t="s">
        <v>211</v>
      </c>
      <c r="U523">
        <v>5526</v>
      </c>
      <c r="V523">
        <v>1716</v>
      </c>
      <c r="W523">
        <v>3810</v>
      </c>
    </row>
    <row r="524" spans="1:23" x14ac:dyDescent="0.3">
      <c r="A524" t="s">
        <v>1538</v>
      </c>
      <c r="B524">
        <v>2022</v>
      </c>
      <c r="C524">
        <v>0.78121902393151987</v>
      </c>
      <c r="D524">
        <v>14560</v>
      </c>
      <c r="E524">
        <v>0</v>
      </c>
      <c r="F524">
        <v>157</v>
      </c>
      <c r="G524">
        <v>363</v>
      </c>
      <c r="H524">
        <v>1.3261535307860001E-4</v>
      </c>
      <c r="I524">
        <v>6</v>
      </c>
      <c r="J524">
        <v>0</v>
      </c>
      <c r="K524">
        <v>0</v>
      </c>
      <c r="L524">
        <v>0</v>
      </c>
      <c r="M524">
        <v>30</v>
      </c>
      <c r="N524">
        <v>0.15437195241025931</v>
      </c>
      <c r="O524">
        <v>-1.12726269158318E-2</v>
      </c>
      <c r="P524">
        <v>407965363.59823447</v>
      </c>
      <c r="Q524">
        <v>0</v>
      </c>
      <c r="R524" t="s">
        <v>195</v>
      </c>
      <c r="S524" t="s">
        <v>210</v>
      </c>
      <c r="T524" t="s">
        <v>212</v>
      </c>
      <c r="U524">
        <v>13862</v>
      </c>
      <c r="V524">
        <v>4841</v>
      </c>
      <c r="W524">
        <v>9021</v>
      </c>
    </row>
    <row r="525" spans="1:23" x14ac:dyDescent="0.3">
      <c r="A525" t="s">
        <v>1539</v>
      </c>
      <c r="B525">
        <v>2022</v>
      </c>
      <c r="C525">
        <v>0.72775641506745159</v>
      </c>
      <c r="D525">
        <v>726</v>
      </c>
      <c r="E525">
        <v>0</v>
      </c>
      <c r="F525">
        <v>5</v>
      </c>
      <c r="G525">
        <v>19</v>
      </c>
      <c r="H525">
        <v>2.6736512934739999E-3</v>
      </c>
      <c r="I525">
        <v>7</v>
      </c>
      <c r="J525">
        <v>0</v>
      </c>
      <c r="K525">
        <v>0</v>
      </c>
      <c r="L525">
        <v>0</v>
      </c>
      <c r="M525">
        <v>4</v>
      </c>
      <c r="N525">
        <v>0.4447462027641268</v>
      </c>
      <c r="O525">
        <v>-0.2600108033137174</v>
      </c>
      <c r="P525">
        <v>32494962.159293659</v>
      </c>
      <c r="Q525">
        <v>0</v>
      </c>
      <c r="R525" t="s">
        <v>195</v>
      </c>
      <c r="S525" t="s">
        <v>210</v>
      </c>
      <c r="T525" t="s">
        <v>213</v>
      </c>
      <c r="U525">
        <v>692</v>
      </c>
      <c r="V525">
        <v>168</v>
      </c>
      <c r="W525">
        <v>524</v>
      </c>
    </row>
    <row r="526" spans="1:23" x14ac:dyDescent="0.3">
      <c r="A526" t="s">
        <v>1540</v>
      </c>
      <c r="B526">
        <v>2022</v>
      </c>
      <c r="C526">
        <v>0.68527224986013413</v>
      </c>
      <c r="D526">
        <v>3980</v>
      </c>
      <c r="E526">
        <v>0</v>
      </c>
      <c r="F526">
        <v>29</v>
      </c>
      <c r="G526">
        <v>139</v>
      </c>
      <c r="H526">
        <v>1.7491635454189999E-4</v>
      </c>
      <c r="I526">
        <v>9</v>
      </c>
      <c r="J526">
        <v>0</v>
      </c>
      <c r="K526">
        <v>0</v>
      </c>
      <c r="L526">
        <v>0</v>
      </c>
      <c r="M526">
        <v>24</v>
      </c>
      <c r="N526">
        <v>0.31889816406613208</v>
      </c>
      <c r="O526">
        <v>-0.20636019098698269</v>
      </c>
      <c r="P526">
        <v>282094970.83329397</v>
      </c>
      <c r="Q526">
        <v>0</v>
      </c>
      <c r="R526" t="s">
        <v>195</v>
      </c>
      <c r="S526" t="s">
        <v>215</v>
      </c>
      <c r="T526" t="s">
        <v>216</v>
      </c>
      <c r="U526">
        <v>3798</v>
      </c>
      <c r="V526">
        <v>178</v>
      </c>
      <c r="W526">
        <v>3620</v>
      </c>
    </row>
    <row r="527" spans="1:23" x14ac:dyDescent="0.3">
      <c r="A527" t="s">
        <v>1541</v>
      </c>
      <c r="B527">
        <v>2022</v>
      </c>
      <c r="C527">
        <v>0.65598112832830036</v>
      </c>
      <c r="D527">
        <v>2007</v>
      </c>
      <c r="E527">
        <v>0</v>
      </c>
      <c r="F527">
        <v>33</v>
      </c>
      <c r="G527">
        <v>106</v>
      </c>
      <c r="H527">
        <v>4.439392154369E-4</v>
      </c>
      <c r="I527">
        <v>8</v>
      </c>
      <c r="J527">
        <v>0</v>
      </c>
      <c r="K527">
        <v>0</v>
      </c>
      <c r="L527">
        <v>0</v>
      </c>
      <c r="M527">
        <v>8</v>
      </c>
      <c r="N527">
        <v>0.46381421312907228</v>
      </c>
      <c r="O527">
        <v>-0.2102740838310504</v>
      </c>
      <c r="P527">
        <v>205989575.65747541</v>
      </c>
      <c r="Q527">
        <v>0</v>
      </c>
      <c r="R527" t="s">
        <v>195</v>
      </c>
      <c r="S527" t="s">
        <v>215</v>
      </c>
      <c r="T527" t="s">
        <v>219</v>
      </c>
      <c r="U527">
        <v>1916</v>
      </c>
      <c r="V527">
        <v>65</v>
      </c>
      <c r="W527">
        <v>1851</v>
      </c>
    </row>
    <row r="528" spans="1:23" x14ac:dyDescent="0.3">
      <c r="A528" t="s">
        <v>1542</v>
      </c>
      <c r="B528">
        <v>2022</v>
      </c>
      <c r="C528">
        <v>0.75021992727924103</v>
      </c>
      <c r="D528">
        <v>4220</v>
      </c>
      <c r="E528">
        <v>0</v>
      </c>
      <c r="F528">
        <v>11</v>
      </c>
      <c r="G528">
        <v>109</v>
      </c>
      <c r="H528">
        <v>9.1195861186749996E-4</v>
      </c>
      <c r="I528">
        <v>5</v>
      </c>
      <c r="J528">
        <v>0.4</v>
      </c>
      <c r="K528">
        <v>1</v>
      </c>
      <c r="L528">
        <v>0</v>
      </c>
      <c r="M528">
        <v>9</v>
      </c>
      <c r="N528">
        <v>0.38002187763555362</v>
      </c>
      <c r="O528">
        <v>-0.1091030689846927</v>
      </c>
      <c r="P528">
        <v>192915130.79261491</v>
      </c>
      <c r="Q528">
        <v>0</v>
      </c>
      <c r="R528" t="s">
        <v>195</v>
      </c>
      <c r="S528" t="s">
        <v>215</v>
      </c>
      <c r="T528" t="s">
        <v>220</v>
      </c>
      <c r="U528">
        <v>4026</v>
      </c>
      <c r="V528">
        <v>1176</v>
      </c>
      <c r="W528">
        <v>2850</v>
      </c>
    </row>
    <row r="529" spans="1:23" x14ac:dyDescent="0.3">
      <c r="A529" t="s">
        <v>1543</v>
      </c>
      <c r="B529">
        <v>2022</v>
      </c>
      <c r="C529">
        <v>0.65527798278416682</v>
      </c>
      <c r="D529">
        <v>1941</v>
      </c>
      <c r="E529">
        <v>0</v>
      </c>
      <c r="F529">
        <v>3</v>
      </c>
      <c r="G529">
        <v>39</v>
      </c>
      <c r="H529">
        <v>9.5011445796780003E-4</v>
      </c>
      <c r="I529">
        <v>11</v>
      </c>
      <c r="J529">
        <v>0</v>
      </c>
      <c r="K529">
        <v>0</v>
      </c>
      <c r="L529">
        <v>0</v>
      </c>
      <c r="M529">
        <v>7</v>
      </c>
      <c r="P529">
        <v>131649847.74023899</v>
      </c>
      <c r="Q529">
        <v>0</v>
      </c>
      <c r="R529" t="s">
        <v>195</v>
      </c>
      <c r="S529" t="s">
        <v>231</v>
      </c>
      <c r="T529" t="s">
        <v>234</v>
      </c>
      <c r="U529">
        <v>1850</v>
      </c>
      <c r="V529">
        <v>392</v>
      </c>
      <c r="W529">
        <v>1458</v>
      </c>
    </row>
    <row r="530" spans="1:23" x14ac:dyDescent="0.3">
      <c r="A530" t="s">
        <v>1544</v>
      </c>
      <c r="B530">
        <v>2022</v>
      </c>
      <c r="C530">
        <v>0.74892571136440822</v>
      </c>
      <c r="D530">
        <v>1080</v>
      </c>
      <c r="E530">
        <v>0</v>
      </c>
      <c r="F530">
        <v>2</v>
      </c>
      <c r="G530">
        <v>28</v>
      </c>
      <c r="H530">
        <v>9.7370705545180003E-4</v>
      </c>
      <c r="I530">
        <v>6</v>
      </c>
      <c r="J530">
        <v>0</v>
      </c>
      <c r="K530">
        <v>0</v>
      </c>
      <c r="L530">
        <v>0</v>
      </c>
      <c r="M530">
        <v>6</v>
      </c>
      <c r="P530">
        <v>116438367.2025093</v>
      </c>
      <c r="Q530">
        <v>0</v>
      </c>
      <c r="R530" t="s">
        <v>195</v>
      </c>
      <c r="S530" t="s">
        <v>231</v>
      </c>
      <c r="T530" t="s">
        <v>235</v>
      </c>
      <c r="U530">
        <v>1024</v>
      </c>
      <c r="V530">
        <v>134</v>
      </c>
      <c r="W530">
        <v>890</v>
      </c>
    </row>
    <row r="531" spans="1:23" x14ac:dyDescent="0.3">
      <c r="A531" t="s">
        <v>1545</v>
      </c>
      <c r="B531">
        <v>2022</v>
      </c>
      <c r="C531">
        <v>0.8089681929148973</v>
      </c>
      <c r="D531">
        <v>4108</v>
      </c>
      <c r="E531">
        <v>0</v>
      </c>
      <c r="F531">
        <v>2</v>
      </c>
      <c r="G531">
        <v>142</v>
      </c>
      <c r="H531">
        <v>3.8098022290750002E-4</v>
      </c>
      <c r="I531">
        <v>3</v>
      </c>
      <c r="J531">
        <v>0.33333333333333331</v>
      </c>
      <c r="K531">
        <v>2</v>
      </c>
      <c r="L531">
        <v>0</v>
      </c>
      <c r="M531">
        <v>0</v>
      </c>
      <c r="N531">
        <v>0.38531283846750369</v>
      </c>
      <c r="O531">
        <v>-0.26534510085993029</v>
      </c>
      <c r="P531">
        <v>279311157.58146697</v>
      </c>
      <c r="Q531">
        <v>0</v>
      </c>
      <c r="R531" t="s">
        <v>236</v>
      </c>
      <c r="S531" t="s">
        <v>237</v>
      </c>
      <c r="T531" t="s">
        <v>244</v>
      </c>
      <c r="U531">
        <v>3925</v>
      </c>
      <c r="V531">
        <v>482</v>
      </c>
      <c r="W531">
        <v>3443</v>
      </c>
    </row>
    <row r="532" spans="1:23" x14ac:dyDescent="0.3">
      <c r="A532" t="s">
        <v>1546</v>
      </c>
      <c r="B532">
        <v>2022</v>
      </c>
      <c r="C532">
        <v>0.91278479505365018</v>
      </c>
      <c r="D532">
        <v>1831</v>
      </c>
      <c r="E532">
        <v>0</v>
      </c>
      <c r="F532">
        <v>2</v>
      </c>
      <c r="G532">
        <v>87</v>
      </c>
      <c r="H532">
        <v>5.3319107317500005E-4</v>
      </c>
      <c r="I532">
        <v>9</v>
      </c>
      <c r="J532">
        <v>0</v>
      </c>
      <c r="K532">
        <v>0</v>
      </c>
      <c r="L532">
        <v>0</v>
      </c>
      <c r="M532">
        <v>0</v>
      </c>
      <c r="N532">
        <v>0.4316265500480102</v>
      </c>
      <c r="O532">
        <v>-0.30711801833369978</v>
      </c>
      <c r="P532">
        <v>129549312.9215893</v>
      </c>
      <c r="Q532">
        <v>0</v>
      </c>
      <c r="R532" t="s">
        <v>236</v>
      </c>
      <c r="S532" t="s">
        <v>248</v>
      </c>
      <c r="T532" t="s">
        <v>251</v>
      </c>
      <c r="U532">
        <v>1743</v>
      </c>
      <c r="V532">
        <v>559</v>
      </c>
      <c r="W532">
        <v>1184</v>
      </c>
    </row>
    <row r="533" spans="1:23" x14ac:dyDescent="0.3">
      <c r="A533" t="s">
        <v>1547</v>
      </c>
      <c r="B533">
        <v>2022</v>
      </c>
      <c r="C533">
        <v>0.82207099575209408</v>
      </c>
      <c r="D533">
        <v>1957</v>
      </c>
      <c r="E533">
        <v>0</v>
      </c>
      <c r="F533">
        <v>2</v>
      </c>
      <c r="G533">
        <v>106</v>
      </c>
      <c r="H533">
        <v>3.5580552981190003E-4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0.43337887254668872</v>
      </c>
      <c r="O533">
        <v>-0.24158205623864201</v>
      </c>
      <c r="P533">
        <v>102883885.3586278</v>
      </c>
      <c r="Q533">
        <v>0</v>
      </c>
      <c r="R533" t="s">
        <v>236</v>
      </c>
      <c r="S533" t="s">
        <v>248</v>
      </c>
      <c r="T533" t="s">
        <v>252</v>
      </c>
      <c r="U533">
        <v>1864</v>
      </c>
      <c r="V533">
        <v>355</v>
      </c>
      <c r="W533">
        <v>1509</v>
      </c>
    </row>
    <row r="534" spans="1:23" x14ac:dyDescent="0.3">
      <c r="A534" t="s">
        <v>1548</v>
      </c>
      <c r="B534">
        <v>2022</v>
      </c>
      <c r="C534">
        <v>1.4247856863664079</v>
      </c>
      <c r="D534">
        <v>269</v>
      </c>
      <c r="E534">
        <v>0</v>
      </c>
      <c r="F534">
        <v>8</v>
      </c>
      <c r="G534">
        <v>29</v>
      </c>
      <c r="H534">
        <v>2.0040039798108998E-3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0.31022654390263449</v>
      </c>
      <c r="O534">
        <v>-0.27643281246418488</v>
      </c>
      <c r="P534">
        <v>10936374.77909318</v>
      </c>
      <c r="Q534">
        <v>0</v>
      </c>
      <c r="R534" t="s">
        <v>236</v>
      </c>
      <c r="S534" t="s">
        <v>248</v>
      </c>
      <c r="T534" t="s">
        <v>253</v>
      </c>
      <c r="U534">
        <v>257</v>
      </c>
      <c r="V534">
        <v>193</v>
      </c>
      <c r="W534">
        <v>64</v>
      </c>
    </row>
    <row r="535" spans="1:23" x14ac:dyDescent="0.3">
      <c r="A535" t="s">
        <v>1549</v>
      </c>
      <c r="B535">
        <v>2022</v>
      </c>
      <c r="C535">
        <v>0.6545405067969664</v>
      </c>
      <c r="D535">
        <v>745</v>
      </c>
      <c r="E535">
        <v>0</v>
      </c>
      <c r="F535">
        <v>2</v>
      </c>
      <c r="G535">
        <v>34</v>
      </c>
      <c r="H535">
        <v>9.004916361286E-4</v>
      </c>
      <c r="I535">
        <v>2</v>
      </c>
      <c r="J535">
        <v>0</v>
      </c>
      <c r="K535">
        <v>0</v>
      </c>
      <c r="L535">
        <v>0</v>
      </c>
      <c r="M535">
        <v>2</v>
      </c>
      <c r="N535">
        <v>0.49727671811522828</v>
      </c>
      <c r="O535">
        <v>-0.28286581158563429</v>
      </c>
      <c r="P535">
        <v>110462026.5237771</v>
      </c>
      <c r="Q535">
        <v>0</v>
      </c>
      <c r="R535" t="s">
        <v>236</v>
      </c>
      <c r="S535" t="s">
        <v>258</v>
      </c>
      <c r="T535" t="s">
        <v>260</v>
      </c>
      <c r="U535">
        <v>710</v>
      </c>
      <c r="V535">
        <v>55</v>
      </c>
      <c r="W535">
        <v>655</v>
      </c>
    </row>
    <row r="536" spans="1:23" x14ac:dyDescent="0.3">
      <c r="A536" t="s">
        <v>1550</v>
      </c>
      <c r="B536">
        <v>2022</v>
      </c>
      <c r="C536">
        <v>0.74242553143728407</v>
      </c>
      <c r="D536">
        <v>3192</v>
      </c>
      <c r="E536">
        <v>0</v>
      </c>
      <c r="F536">
        <v>6</v>
      </c>
      <c r="G536">
        <v>106</v>
      </c>
      <c r="H536">
        <v>2.730742641169E-4</v>
      </c>
      <c r="I536">
        <v>5</v>
      </c>
      <c r="J536">
        <v>0</v>
      </c>
      <c r="K536">
        <v>0</v>
      </c>
      <c r="L536">
        <v>0</v>
      </c>
      <c r="M536">
        <v>3</v>
      </c>
      <c r="N536">
        <v>0.54415260053022863</v>
      </c>
      <c r="O536">
        <v>-0.32672682551368648</v>
      </c>
      <c r="P536">
        <v>266049407.6911833</v>
      </c>
      <c r="Q536">
        <v>0</v>
      </c>
      <c r="R536" t="s">
        <v>236</v>
      </c>
      <c r="S536" t="s">
        <v>258</v>
      </c>
      <c r="T536" t="s">
        <v>262</v>
      </c>
      <c r="U536">
        <v>3045</v>
      </c>
      <c r="V536">
        <v>205</v>
      </c>
      <c r="W536">
        <v>2840</v>
      </c>
    </row>
    <row r="537" spans="1:23" x14ac:dyDescent="0.3">
      <c r="A537" t="s">
        <v>1551</v>
      </c>
      <c r="B537">
        <v>2022</v>
      </c>
      <c r="C537">
        <v>1.6250552456580289</v>
      </c>
      <c r="D537">
        <v>1133</v>
      </c>
      <c r="E537">
        <v>0</v>
      </c>
      <c r="F537">
        <v>3</v>
      </c>
      <c r="G537">
        <v>75</v>
      </c>
      <c r="H537">
        <v>9.279373440567E-4</v>
      </c>
      <c r="I537">
        <v>5</v>
      </c>
      <c r="J537">
        <v>0</v>
      </c>
      <c r="K537">
        <v>0</v>
      </c>
      <c r="L537">
        <v>0</v>
      </c>
      <c r="M537">
        <v>0</v>
      </c>
      <c r="N537">
        <v>0.36905627076831649</v>
      </c>
      <c r="O537">
        <v>-0.29255602374735068</v>
      </c>
      <c r="P537">
        <v>24928897.401075792</v>
      </c>
      <c r="Q537">
        <v>0</v>
      </c>
      <c r="R537" t="s">
        <v>236</v>
      </c>
      <c r="S537" t="s">
        <v>265</v>
      </c>
      <c r="T537" t="s">
        <v>268</v>
      </c>
      <c r="U537">
        <v>1083</v>
      </c>
      <c r="V537">
        <v>292</v>
      </c>
      <c r="W537">
        <v>791</v>
      </c>
    </row>
    <row r="538" spans="1:23" x14ac:dyDescent="0.3">
      <c r="A538" t="s">
        <v>1552</v>
      </c>
      <c r="B538">
        <v>2022</v>
      </c>
      <c r="C538">
        <v>0.75040194140962913</v>
      </c>
      <c r="D538">
        <v>6714</v>
      </c>
      <c r="E538">
        <v>0</v>
      </c>
      <c r="F538">
        <v>2</v>
      </c>
      <c r="G538">
        <v>170</v>
      </c>
      <c r="H538">
        <v>2.2783776150690001E-4</v>
      </c>
      <c r="I538">
        <v>4</v>
      </c>
      <c r="J538">
        <v>0</v>
      </c>
      <c r="K538">
        <v>0</v>
      </c>
      <c r="L538">
        <v>0</v>
      </c>
      <c r="M538">
        <v>1</v>
      </c>
      <c r="N538">
        <v>0.36325470980316649</v>
      </c>
      <c r="O538">
        <v>-0.25472492830410581</v>
      </c>
      <c r="P538">
        <v>566550758.9182924</v>
      </c>
      <c r="Q538">
        <v>0</v>
      </c>
      <c r="R538" t="s">
        <v>236</v>
      </c>
      <c r="S538" t="s">
        <v>270</v>
      </c>
      <c r="T538" t="s">
        <v>271</v>
      </c>
      <c r="U538">
        <v>6410</v>
      </c>
      <c r="V538">
        <v>616</v>
      </c>
      <c r="W538">
        <v>5794</v>
      </c>
    </row>
    <row r="539" spans="1:23" x14ac:dyDescent="0.3">
      <c r="A539" t="s">
        <v>1553</v>
      </c>
      <c r="B539">
        <v>2022</v>
      </c>
      <c r="C539">
        <v>1.1093602055063509</v>
      </c>
      <c r="D539">
        <v>235</v>
      </c>
      <c r="E539">
        <v>0</v>
      </c>
      <c r="F539">
        <v>2</v>
      </c>
      <c r="G539">
        <v>34</v>
      </c>
      <c r="H539">
        <v>3.9292429300486998E-3</v>
      </c>
      <c r="I539">
        <v>4</v>
      </c>
      <c r="J539">
        <v>0</v>
      </c>
      <c r="K539">
        <v>0</v>
      </c>
      <c r="L539">
        <v>0</v>
      </c>
      <c r="M539">
        <v>0</v>
      </c>
      <c r="N539">
        <v>0.37964238837595887</v>
      </c>
      <c r="O539">
        <v>-0.2009607572319955</v>
      </c>
      <c r="P539">
        <v>14831516.253676429</v>
      </c>
      <c r="Q539">
        <v>0</v>
      </c>
      <c r="R539" t="s">
        <v>236</v>
      </c>
      <c r="S539" t="s">
        <v>273</v>
      </c>
      <c r="T539" t="s">
        <v>274</v>
      </c>
      <c r="U539">
        <v>224</v>
      </c>
      <c r="V539">
        <v>46</v>
      </c>
      <c r="W539">
        <v>178</v>
      </c>
    </row>
    <row r="540" spans="1:23" x14ac:dyDescent="0.3">
      <c r="A540" t="s">
        <v>1554</v>
      </c>
      <c r="B540">
        <v>2022</v>
      </c>
      <c r="C540">
        <v>1.2742858374846311</v>
      </c>
      <c r="D540">
        <v>1211</v>
      </c>
      <c r="E540">
        <v>0</v>
      </c>
      <c r="F540">
        <v>187</v>
      </c>
      <c r="G540">
        <v>103</v>
      </c>
      <c r="H540">
        <v>8.171312670876E-4</v>
      </c>
      <c r="I540">
        <v>6</v>
      </c>
      <c r="J540">
        <v>0</v>
      </c>
      <c r="K540">
        <v>0</v>
      </c>
      <c r="L540">
        <v>0</v>
      </c>
      <c r="M540">
        <v>1</v>
      </c>
      <c r="N540">
        <v>0.27543393204204508</v>
      </c>
      <c r="O540">
        <v>-0.16016358756941579</v>
      </c>
      <c r="P540">
        <v>33072385.00980176</v>
      </c>
      <c r="Q540">
        <v>0</v>
      </c>
      <c r="R540" t="s">
        <v>236</v>
      </c>
      <c r="S540" t="s">
        <v>273</v>
      </c>
      <c r="T540" t="s">
        <v>275</v>
      </c>
      <c r="U540">
        <v>1156</v>
      </c>
      <c r="V540">
        <v>211</v>
      </c>
      <c r="W540">
        <v>945</v>
      </c>
    </row>
    <row r="541" spans="1:23" x14ac:dyDescent="0.3">
      <c r="A541" t="s">
        <v>1555</v>
      </c>
      <c r="B541">
        <v>2022</v>
      </c>
      <c r="C541">
        <v>1.041956682258699</v>
      </c>
      <c r="D541">
        <v>288</v>
      </c>
      <c r="E541">
        <v>0</v>
      </c>
      <c r="F541">
        <v>215</v>
      </c>
      <c r="G541">
        <v>78</v>
      </c>
      <c r="H541">
        <v>1.3854350409876E-3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0.2797697154913571</v>
      </c>
      <c r="O541">
        <v>-0.221135106860084</v>
      </c>
      <c r="P541">
        <v>21194919.701007821</v>
      </c>
      <c r="Q541">
        <v>0</v>
      </c>
      <c r="R541" t="s">
        <v>236</v>
      </c>
      <c r="S541" t="s">
        <v>273</v>
      </c>
      <c r="T541" t="s">
        <v>281</v>
      </c>
      <c r="U541">
        <v>274</v>
      </c>
      <c r="V541">
        <v>35</v>
      </c>
      <c r="W541">
        <v>239</v>
      </c>
    </row>
    <row r="542" spans="1:23" x14ac:dyDescent="0.3">
      <c r="A542" t="s">
        <v>1556</v>
      </c>
      <c r="B542">
        <v>2022</v>
      </c>
      <c r="C542">
        <v>2.6885374222425198</v>
      </c>
      <c r="D542">
        <v>2513</v>
      </c>
      <c r="E542">
        <v>0</v>
      </c>
      <c r="F542">
        <v>153</v>
      </c>
      <c r="G542">
        <v>127</v>
      </c>
      <c r="H542">
        <v>9.8725571852590005E-4</v>
      </c>
      <c r="I542">
        <v>1</v>
      </c>
      <c r="J542">
        <v>0</v>
      </c>
      <c r="K542">
        <v>0</v>
      </c>
      <c r="L542">
        <v>0</v>
      </c>
      <c r="M542">
        <v>2</v>
      </c>
      <c r="N542">
        <v>0.35709581842283938</v>
      </c>
      <c r="O542">
        <v>-0.2139302721657291</v>
      </c>
      <c r="P542">
        <v>31741179.317875359</v>
      </c>
      <c r="Q542">
        <v>0</v>
      </c>
      <c r="R542" t="s">
        <v>236</v>
      </c>
      <c r="S542" t="s">
        <v>283</v>
      </c>
      <c r="T542" t="s">
        <v>283</v>
      </c>
      <c r="U542">
        <v>2243</v>
      </c>
      <c r="V542">
        <v>1426</v>
      </c>
      <c r="W542">
        <v>817</v>
      </c>
    </row>
    <row r="543" spans="1:23" x14ac:dyDescent="0.3">
      <c r="A543" t="s">
        <v>1557</v>
      </c>
      <c r="B543">
        <v>2022</v>
      </c>
      <c r="C543">
        <v>0.79783914327616767</v>
      </c>
      <c r="D543">
        <v>1356</v>
      </c>
      <c r="E543">
        <v>0</v>
      </c>
      <c r="F543">
        <v>14</v>
      </c>
      <c r="G543">
        <v>74</v>
      </c>
      <c r="H543">
        <v>1.3118308938244001E-3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0.44034811905064108</v>
      </c>
      <c r="O543">
        <v>-0.22404969143453171</v>
      </c>
      <c r="P543">
        <v>74222642.894390225</v>
      </c>
      <c r="Q543">
        <v>0</v>
      </c>
      <c r="R543" t="s">
        <v>236</v>
      </c>
      <c r="S543" t="s">
        <v>283</v>
      </c>
      <c r="T543" t="s">
        <v>284</v>
      </c>
      <c r="U543">
        <v>1294</v>
      </c>
      <c r="V543">
        <v>644</v>
      </c>
      <c r="W543">
        <v>650</v>
      </c>
    </row>
    <row r="544" spans="1:23" x14ac:dyDescent="0.3">
      <c r="A544" t="s">
        <v>1558</v>
      </c>
      <c r="B544">
        <v>2022</v>
      </c>
      <c r="C544">
        <v>0.68903569604494563</v>
      </c>
      <c r="D544">
        <v>558</v>
      </c>
      <c r="E544">
        <v>0</v>
      </c>
      <c r="F544">
        <v>795</v>
      </c>
      <c r="G544">
        <v>50</v>
      </c>
      <c r="H544">
        <v>1.0029761090791999E-3</v>
      </c>
      <c r="I544">
        <v>3</v>
      </c>
      <c r="J544">
        <v>0</v>
      </c>
      <c r="K544">
        <v>0</v>
      </c>
      <c r="L544">
        <v>0</v>
      </c>
      <c r="M544">
        <v>0</v>
      </c>
      <c r="N544">
        <v>0.38767325417432269</v>
      </c>
      <c r="O544">
        <v>-0.18537612623322439</v>
      </c>
      <c r="P544">
        <v>72965311.079347253</v>
      </c>
      <c r="Q544">
        <v>0</v>
      </c>
      <c r="R544" t="s">
        <v>236</v>
      </c>
      <c r="S544" t="s">
        <v>283</v>
      </c>
      <c r="T544" t="s">
        <v>286</v>
      </c>
      <c r="U544">
        <v>533</v>
      </c>
      <c r="V544">
        <v>193</v>
      </c>
      <c r="W544">
        <v>340</v>
      </c>
    </row>
    <row r="545" spans="1:23" x14ac:dyDescent="0.3">
      <c r="A545" t="s">
        <v>1559</v>
      </c>
      <c r="B545">
        <v>2022</v>
      </c>
      <c r="C545">
        <v>4.9455863292099984</v>
      </c>
      <c r="D545">
        <v>1147</v>
      </c>
      <c r="E545">
        <v>0</v>
      </c>
      <c r="F545">
        <v>2</v>
      </c>
      <c r="G545">
        <v>38</v>
      </c>
      <c r="H545">
        <v>6.2722103766878999E-3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0.34611477580375383</v>
      </c>
      <c r="O545">
        <v>-0.22437688800935801</v>
      </c>
      <c r="P545">
        <v>3872150.4455581652</v>
      </c>
      <c r="Q545">
        <v>0</v>
      </c>
      <c r="R545" t="s">
        <v>236</v>
      </c>
      <c r="S545" t="s">
        <v>283</v>
      </c>
      <c r="T545" t="s">
        <v>287</v>
      </c>
      <c r="U545">
        <v>1093</v>
      </c>
      <c r="V545">
        <v>582</v>
      </c>
      <c r="W545">
        <v>511</v>
      </c>
    </row>
    <row r="546" spans="1:23" x14ac:dyDescent="0.3">
      <c r="A546" t="s">
        <v>1560</v>
      </c>
      <c r="B546">
        <v>2022</v>
      </c>
      <c r="C546">
        <v>1.143391539802773</v>
      </c>
      <c r="D546">
        <v>261</v>
      </c>
      <c r="E546">
        <v>0</v>
      </c>
      <c r="F546">
        <v>254</v>
      </c>
      <c r="G546">
        <v>52</v>
      </c>
      <c r="H546">
        <v>1.3245021517688E-3</v>
      </c>
      <c r="I546">
        <v>8</v>
      </c>
      <c r="J546">
        <v>0</v>
      </c>
      <c r="K546">
        <v>0</v>
      </c>
      <c r="L546">
        <v>0</v>
      </c>
      <c r="M546">
        <v>1</v>
      </c>
      <c r="N546">
        <v>0.38339666572777109</v>
      </c>
      <c r="O546">
        <v>-0.20591190060089021</v>
      </c>
      <c r="P546">
        <v>25189461.50343639</v>
      </c>
      <c r="Q546">
        <v>0</v>
      </c>
      <c r="R546" t="s">
        <v>236</v>
      </c>
      <c r="S546" t="s">
        <v>283</v>
      </c>
      <c r="T546" t="s">
        <v>289</v>
      </c>
      <c r="U546">
        <v>249</v>
      </c>
      <c r="V546">
        <v>126</v>
      </c>
      <c r="W546">
        <v>123</v>
      </c>
    </row>
    <row r="547" spans="1:23" x14ac:dyDescent="0.3">
      <c r="A547" t="s">
        <v>1561</v>
      </c>
      <c r="B547">
        <v>2022</v>
      </c>
      <c r="C547">
        <v>1.1900967337866291</v>
      </c>
      <c r="D547">
        <v>17404</v>
      </c>
      <c r="E547">
        <v>0</v>
      </c>
      <c r="F547">
        <v>2</v>
      </c>
      <c r="G547">
        <v>452</v>
      </c>
      <c r="H547">
        <v>2.3129822464930001E-4</v>
      </c>
      <c r="I547">
        <v>1</v>
      </c>
      <c r="J547">
        <v>0</v>
      </c>
      <c r="K547">
        <v>0</v>
      </c>
      <c r="L547">
        <v>0</v>
      </c>
      <c r="M547">
        <v>2</v>
      </c>
      <c r="N547">
        <v>0.280105259996561</v>
      </c>
      <c r="O547">
        <v>-0.138361568363014</v>
      </c>
      <c r="P547">
        <v>159262757.17903429</v>
      </c>
      <c r="Q547">
        <v>0</v>
      </c>
      <c r="R547" t="s">
        <v>236</v>
      </c>
      <c r="S547" t="s">
        <v>290</v>
      </c>
      <c r="T547" t="s">
        <v>290</v>
      </c>
      <c r="U547">
        <v>16593</v>
      </c>
      <c r="V547">
        <v>10587</v>
      </c>
      <c r="W547">
        <v>6006</v>
      </c>
    </row>
    <row r="548" spans="1:23" x14ac:dyDescent="0.3">
      <c r="A548" t="s">
        <v>1562</v>
      </c>
      <c r="B548">
        <v>2022</v>
      </c>
      <c r="C548">
        <v>2.7033959514972432</v>
      </c>
      <c r="D548">
        <v>2019</v>
      </c>
      <c r="E548">
        <v>0</v>
      </c>
      <c r="F548">
        <v>102</v>
      </c>
      <c r="G548">
        <v>341</v>
      </c>
      <c r="H548">
        <v>7.7037830144640002E-4</v>
      </c>
      <c r="I548">
        <v>18</v>
      </c>
      <c r="J548">
        <v>0</v>
      </c>
      <c r="K548">
        <v>0</v>
      </c>
      <c r="L548">
        <v>0</v>
      </c>
      <c r="M548">
        <v>1</v>
      </c>
      <c r="N548">
        <v>0.344415592399755</v>
      </c>
      <c r="O548">
        <v>-0.31803041095879592</v>
      </c>
      <c r="P548">
        <v>97312099.186405927</v>
      </c>
      <c r="Q548">
        <v>0</v>
      </c>
      <c r="R548" t="s">
        <v>291</v>
      </c>
      <c r="S548" t="s">
        <v>294</v>
      </c>
      <c r="T548" t="s">
        <v>295</v>
      </c>
      <c r="U548">
        <v>1924</v>
      </c>
      <c r="V548">
        <v>889</v>
      </c>
      <c r="W548">
        <v>1035</v>
      </c>
    </row>
    <row r="549" spans="1:23" x14ac:dyDescent="0.3">
      <c r="A549" t="s">
        <v>1563</v>
      </c>
      <c r="B549">
        <v>2022</v>
      </c>
      <c r="C549">
        <v>0.94214153723806104</v>
      </c>
      <c r="D549">
        <v>926</v>
      </c>
      <c r="E549">
        <v>0</v>
      </c>
      <c r="F549">
        <v>1</v>
      </c>
      <c r="G549">
        <v>94</v>
      </c>
      <c r="H549">
        <v>1.1996709393154001E-3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0.34142628414496468</v>
      </c>
      <c r="O549">
        <v>-0.32028750703375147</v>
      </c>
      <c r="P549">
        <v>78357856.658124626</v>
      </c>
      <c r="Q549">
        <v>0</v>
      </c>
      <c r="R549" t="s">
        <v>291</v>
      </c>
      <c r="S549" t="s">
        <v>294</v>
      </c>
      <c r="T549" t="s">
        <v>297</v>
      </c>
      <c r="U549">
        <v>883</v>
      </c>
      <c r="V549">
        <v>423</v>
      </c>
      <c r="W549">
        <v>460</v>
      </c>
    </row>
    <row r="550" spans="1:23" x14ac:dyDescent="0.3">
      <c r="A550" t="s">
        <v>1564</v>
      </c>
      <c r="B550">
        <v>2022</v>
      </c>
      <c r="C550">
        <v>0.7047014803348054</v>
      </c>
      <c r="D550">
        <v>317</v>
      </c>
      <c r="E550">
        <v>0</v>
      </c>
      <c r="F550">
        <v>2</v>
      </c>
      <c r="G550">
        <v>29</v>
      </c>
      <c r="H550">
        <v>1.0626986569969E-3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0.3819334810723658</v>
      </c>
      <c r="O550">
        <v>-0.16478890357551829</v>
      </c>
      <c r="P550">
        <v>96215852.769127727</v>
      </c>
      <c r="Q550">
        <v>0</v>
      </c>
      <c r="R550" t="s">
        <v>291</v>
      </c>
      <c r="S550" t="s">
        <v>299</v>
      </c>
      <c r="T550" t="s">
        <v>304</v>
      </c>
      <c r="U550">
        <v>302</v>
      </c>
      <c r="V550">
        <v>90</v>
      </c>
      <c r="W550">
        <v>212</v>
      </c>
    </row>
    <row r="551" spans="1:23" x14ac:dyDescent="0.3">
      <c r="A551" t="s">
        <v>1565</v>
      </c>
      <c r="B551">
        <v>2022</v>
      </c>
      <c r="C551">
        <v>2.0036949390854302</v>
      </c>
      <c r="D551">
        <v>1664</v>
      </c>
      <c r="E551">
        <v>0</v>
      </c>
      <c r="F551">
        <v>3</v>
      </c>
      <c r="G551">
        <v>61</v>
      </c>
      <c r="H551">
        <v>3.0124548553684002E-3</v>
      </c>
      <c r="I551">
        <v>6</v>
      </c>
      <c r="J551">
        <v>0</v>
      </c>
      <c r="K551">
        <v>0</v>
      </c>
      <c r="L551">
        <v>0</v>
      </c>
      <c r="M551">
        <v>0</v>
      </c>
      <c r="N551">
        <v>0.2742893696546756</v>
      </c>
      <c r="O551">
        <v>-0.17063301550867249</v>
      </c>
      <c r="P551">
        <v>12832705.53656273</v>
      </c>
      <c r="Q551">
        <v>0</v>
      </c>
      <c r="R551" t="s">
        <v>291</v>
      </c>
      <c r="S551" t="s">
        <v>305</v>
      </c>
      <c r="T551" t="s">
        <v>306</v>
      </c>
      <c r="U551">
        <v>1586</v>
      </c>
      <c r="V551">
        <v>990</v>
      </c>
      <c r="W551">
        <v>596</v>
      </c>
    </row>
    <row r="552" spans="1:23" x14ac:dyDescent="0.3">
      <c r="A552" t="s">
        <v>1566</v>
      </c>
      <c r="B552">
        <v>2022</v>
      </c>
      <c r="C552">
        <v>0.97947888123550997</v>
      </c>
      <c r="D552">
        <v>2359</v>
      </c>
      <c r="E552">
        <v>0</v>
      </c>
      <c r="F552">
        <v>105</v>
      </c>
      <c r="G552">
        <v>128</v>
      </c>
      <c r="H552">
        <v>3.7754939704020001E-4</v>
      </c>
      <c r="I552">
        <v>10</v>
      </c>
      <c r="J552">
        <v>0</v>
      </c>
      <c r="K552">
        <v>0</v>
      </c>
      <c r="L552">
        <v>0</v>
      </c>
      <c r="M552">
        <v>1</v>
      </c>
      <c r="N552">
        <v>0.51570568334273093</v>
      </c>
      <c r="O552">
        <v>-0.27307238713451781</v>
      </c>
      <c r="P552">
        <v>331634658.39531279</v>
      </c>
      <c r="Q552">
        <v>0</v>
      </c>
      <c r="R552" t="s">
        <v>291</v>
      </c>
      <c r="S552" t="s">
        <v>307</v>
      </c>
      <c r="T552" t="s">
        <v>307</v>
      </c>
      <c r="U552">
        <v>2251</v>
      </c>
      <c r="V552">
        <v>841</v>
      </c>
      <c r="W552">
        <v>1410</v>
      </c>
    </row>
    <row r="553" spans="1:23" x14ac:dyDescent="0.3">
      <c r="A553" t="s">
        <v>1567</v>
      </c>
      <c r="B553">
        <v>2022</v>
      </c>
      <c r="C553">
        <v>2.356649381968702</v>
      </c>
      <c r="D553">
        <v>7725</v>
      </c>
      <c r="E553">
        <v>0</v>
      </c>
      <c r="F553">
        <v>4</v>
      </c>
      <c r="G553">
        <v>79</v>
      </c>
      <c r="H553">
        <v>2.8043436845113E-3</v>
      </c>
      <c r="I553">
        <v>14</v>
      </c>
      <c r="J553">
        <v>0</v>
      </c>
      <c r="K553">
        <v>0</v>
      </c>
      <c r="L553">
        <v>0</v>
      </c>
      <c r="M553">
        <v>0</v>
      </c>
      <c r="N553">
        <v>0.28618753950083881</v>
      </c>
      <c r="O553">
        <v>2.2541300274788501E-2</v>
      </c>
      <c r="P553">
        <v>68638007.318094447</v>
      </c>
      <c r="Q553">
        <v>0</v>
      </c>
      <c r="R553" t="s">
        <v>291</v>
      </c>
      <c r="S553" t="s">
        <v>308</v>
      </c>
      <c r="T553" t="s">
        <v>309</v>
      </c>
      <c r="U553">
        <v>7337</v>
      </c>
      <c r="V553">
        <v>2486</v>
      </c>
      <c r="W553">
        <v>4851</v>
      </c>
    </row>
    <row r="554" spans="1:23" x14ac:dyDescent="0.3">
      <c r="A554" t="s">
        <v>1568</v>
      </c>
      <c r="B554">
        <v>2022</v>
      </c>
      <c r="C554">
        <v>5.0568447102834471</v>
      </c>
      <c r="D554">
        <v>4647</v>
      </c>
      <c r="E554">
        <v>0</v>
      </c>
      <c r="F554">
        <v>2</v>
      </c>
      <c r="G554">
        <v>68</v>
      </c>
      <c r="H554">
        <v>5.2753288047405001E-3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0.54232119115495381</v>
      </c>
      <c r="O554">
        <v>-0.15342595267831191</v>
      </c>
      <c r="P554">
        <v>13621122.85141393</v>
      </c>
      <c r="Q554">
        <v>0</v>
      </c>
      <c r="R554" t="s">
        <v>291</v>
      </c>
      <c r="S554" t="s">
        <v>308</v>
      </c>
      <c r="T554" t="s">
        <v>310</v>
      </c>
      <c r="U554">
        <v>4433</v>
      </c>
      <c r="V554">
        <v>1786</v>
      </c>
      <c r="W554">
        <v>2647</v>
      </c>
    </row>
    <row r="555" spans="1:23" x14ac:dyDescent="0.3">
      <c r="A555" t="s">
        <v>1569</v>
      </c>
      <c r="B555">
        <v>2022</v>
      </c>
      <c r="C555">
        <v>1.778547744400544</v>
      </c>
      <c r="D555">
        <v>5653</v>
      </c>
      <c r="E555">
        <v>0</v>
      </c>
      <c r="F555">
        <v>1</v>
      </c>
      <c r="G555">
        <v>179</v>
      </c>
      <c r="H555">
        <v>9.4074498944329995E-4</v>
      </c>
      <c r="I555">
        <v>8</v>
      </c>
      <c r="J555">
        <v>0</v>
      </c>
      <c r="K555">
        <v>0</v>
      </c>
      <c r="L555">
        <v>0</v>
      </c>
      <c r="M555">
        <v>1</v>
      </c>
      <c r="N555">
        <v>0.168053998105062</v>
      </c>
      <c r="O555">
        <v>5.9779926196695102E-2</v>
      </c>
      <c r="P555">
        <v>106274088.282993</v>
      </c>
      <c r="Q555">
        <v>0</v>
      </c>
      <c r="R555" t="s">
        <v>291</v>
      </c>
      <c r="S555" t="s">
        <v>308</v>
      </c>
      <c r="T555" t="s">
        <v>311</v>
      </c>
      <c r="U555">
        <v>5326</v>
      </c>
      <c r="V555">
        <v>1921</v>
      </c>
      <c r="W555">
        <v>3405</v>
      </c>
    </row>
    <row r="556" spans="1:23" x14ac:dyDescent="0.3">
      <c r="A556" t="s">
        <v>1570</v>
      </c>
      <c r="B556">
        <v>2022</v>
      </c>
      <c r="C556">
        <v>1.1745588310453079</v>
      </c>
      <c r="D556">
        <v>7221</v>
      </c>
      <c r="E556">
        <v>0</v>
      </c>
      <c r="F556">
        <v>1</v>
      </c>
      <c r="G556">
        <v>127</v>
      </c>
      <c r="H556">
        <v>1.9189532370773E-3</v>
      </c>
      <c r="I556">
        <v>4</v>
      </c>
      <c r="J556">
        <v>0</v>
      </c>
      <c r="K556">
        <v>0</v>
      </c>
      <c r="L556">
        <v>0</v>
      </c>
      <c r="M556">
        <v>1</v>
      </c>
      <c r="N556">
        <v>0.34238195811715211</v>
      </c>
      <c r="O556">
        <v>-0.1517152529781787</v>
      </c>
      <c r="P556">
        <v>155368035.4006398</v>
      </c>
      <c r="Q556">
        <v>0</v>
      </c>
      <c r="R556" t="s">
        <v>291</v>
      </c>
      <c r="S556" t="s">
        <v>308</v>
      </c>
      <c r="T556" t="s">
        <v>312</v>
      </c>
      <c r="U556">
        <v>6765</v>
      </c>
      <c r="V556">
        <v>4029</v>
      </c>
      <c r="W556">
        <v>2736</v>
      </c>
    </row>
    <row r="557" spans="1:23" x14ac:dyDescent="0.3">
      <c r="A557" t="s">
        <v>1571</v>
      </c>
      <c r="B557">
        <v>2022</v>
      </c>
      <c r="C557">
        <v>2.8728168332673918</v>
      </c>
      <c r="D557">
        <v>8122</v>
      </c>
      <c r="E557">
        <v>0</v>
      </c>
      <c r="F557">
        <v>221</v>
      </c>
      <c r="G557">
        <v>146</v>
      </c>
      <c r="H557">
        <v>1.648134475841E-3</v>
      </c>
      <c r="I557">
        <v>8</v>
      </c>
      <c r="J557">
        <v>0</v>
      </c>
      <c r="K557">
        <v>0</v>
      </c>
      <c r="L557">
        <v>0</v>
      </c>
      <c r="M557">
        <v>3</v>
      </c>
      <c r="N557">
        <v>0.54941031579026256</v>
      </c>
      <c r="O557">
        <v>-0.2193137623681834</v>
      </c>
      <c r="P557">
        <v>41270073.018962868</v>
      </c>
      <c r="Q557">
        <v>0</v>
      </c>
      <c r="R557" t="s">
        <v>291</v>
      </c>
      <c r="S557" t="s">
        <v>316</v>
      </c>
      <c r="T557" t="s">
        <v>317</v>
      </c>
      <c r="U557">
        <v>7708</v>
      </c>
      <c r="V557">
        <v>4426</v>
      </c>
      <c r="W557">
        <v>3282</v>
      </c>
    </row>
    <row r="558" spans="1:23" x14ac:dyDescent="0.3">
      <c r="A558" t="s">
        <v>1572</v>
      </c>
      <c r="B558">
        <v>2022</v>
      </c>
      <c r="C558">
        <v>1.415346044647394</v>
      </c>
      <c r="D558">
        <v>3026</v>
      </c>
      <c r="E558">
        <v>0</v>
      </c>
      <c r="F558">
        <v>2</v>
      </c>
      <c r="G558">
        <v>147</v>
      </c>
      <c r="H558">
        <v>6.4967845758540001E-4</v>
      </c>
      <c r="I558">
        <v>2</v>
      </c>
      <c r="J558">
        <v>0</v>
      </c>
      <c r="K558">
        <v>0</v>
      </c>
      <c r="L558">
        <v>0</v>
      </c>
      <c r="M558">
        <v>1</v>
      </c>
      <c r="N558">
        <v>0.45645341329307049</v>
      </c>
      <c r="O558">
        <v>-0.20966190852075869</v>
      </c>
      <c r="P558">
        <v>61143170.887276657</v>
      </c>
      <c r="Q558">
        <v>0</v>
      </c>
      <c r="R558" t="s">
        <v>291</v>
      </c>
      <c r="S558" t="s">
        <v>316</v>
      </c>
      <c r="T558" t="s">
        <v>318</v>
      </c>
      <c r="U558">
        <v>2887</v>
      </c>
      <c r="V558">
        <v>1672</v>
      </c>
      <c r="W558">
        <v>1215</v>
      </c>
    </row>
    <row r="559" spans="1:23" x14ac:dyDescent="0.3">
      <c r="A559" t="s">
        <v>1573</v>
      </c>
      <c r="B559">
        <v>2022</v>
      </c>
      <c r="C559">
        <v>5.465405769302885</v>
      </c>
      <c r="D559">
        <v>4219</v>
      </c>
      <c r="E559">
        <v>0</v>
      </c>
      <c r="F559">
        <v>21</v>
      </c>
      <c r="G559">
        <v>81</v>
      </c>
      <c r="H559">
        <v>4.6029919447640004E-3</v>
      </c>
      <c r="I559">
        <v>4</v>
      </c>
      <c r="J559">
        <v>0</v>
      </c>
      <c r="K559">
        <v>0</v>
      </c>
      <c r="L559">
        <v>0</v>
      </c>
      <c r="M559">
        <v>1</v>
      </c>
      <c r="N559">
        <v>0.55536384628478608</v>
      </c>
      <c r="O559">
        <v>-0.18048716376214941</v>
      </c>
      <c r="P559">
        <v>16194565.74471694</v>
      </c>
      <c r="Q559">
        <v>0</v>
      </c>
      <c r="R559" t="s">
        <v>291</v>
      </c>
      <c r="S559" t="s">
        <v>316</v>
      </c>
      <c r="T559" t="s">
        <v>319</v>
      </c>
      <c r="U559">
        <v>4025</v>
      </c>
      <c r="V559">
        <v>1648</v>
      </c>
      <c r="W559">
        <v>2377</v>
      </c>
    </row>
    <row r="560" spans="1:23" x14ac:dyDescent="0.3">
      <c r="A560" t="s">
        <v>1574</v>
      </c>
      <c r="B560">
        <v>2022</v>
      </c>
      <c r="C560">
        <v>1.069511978468856</v>
      </c>
      <c r="D560">
        <v>948</v>
      </c>
      <c r="E560">
        <v>0</v>
      </c>
      <c r="F560">
        <v>8</v>
      </c>
      <c r="G560">
        <v>27</v>
      </c>
      <c r="H560">
        <v>2.9628311497653E-3</v>
      </c>
      <c r="I560">
        <v>9</v>
      </c>
      <c r="J560">
        <v>0</v>
      </c>
      <c r="K560">
        <v>0</v>
      </c>
      <c r="L560">
        <v>0</v>
      </c>
      <c r="M560">
        <v>0</v>
      </c>
      <c r="N560">
        <v>0.49910611251004489</v>
      </c>
      <c r="O560">
        <v>-0.27478056546918289</v>
      </c>
      <c r="P560">
        <v>30183190.861776471</v>
      </c>
      <c r="Q560">
        <v>0</v>
      </c>
      <c r="R560" t="s">
        <v>291</v>
      </c>
      <c r="S560" t="s">
        <v>316</v>
      </c>
      <c r="T560" t="s">
        <v>321</v>
      </c>
      <c r="U560">
        <v>904</v>
      </c>
      <c r="V560">
        <v>365</v>
      </c>
      <c r="W560">
        <v>539</v>
      </c>
    </row>
    <row r="561" spans="1:23" x14ac:dyDescent="0.3">
      <c r="A561" t="s">
        <v>1575</v>
      </c>
      <c r="B561">
        <v>2022</v>
      </c>
      <c r="C561">
        <v>0.91870414458074323</v>
      </c>
      <c r="D561">
        <v>1327</v>
      </c>
      <c r="E561">
        <v>0</v>
      </c>
      <c r="F561">
        <v>1</v>
      </c>
      <c r="G561">
        <v>95</v>
      </c>
      <c r="H561">
        <v>3.6330156192139999E-4</v>
      </c>
      <c r="I561">
        <v>2</v>
      </c>
      <c r="J561">
        <v>0</v>
      </c>
      <c r="K561">
        <v>0</v>
      </c>
      <c r="L561">
        <v>0</v>
      </c>
      <c r="M561">
        <v>1</v>
      </c>
      <c r="N561">
        <v>0.41149861146516897</v>
      </c>
      <c r="O561">
        <v>-0.20804850435343381</v>
      </c>
      <c r="P561">
        <v>84232965.983198225</v>
      </c>
      <c r="Q561">
        <v>0</v>
      </c>
      <c r="R561" t="s">
        <v>291</v>
      </c>
      <c r="S561" t="s">
        <v>323</v>
      </c>
      <c r="T561" t="s">
        <v>326</v>
      </c>
      <c r="U561">
        <v>1264</v>
      </c>
      <c r="V561">
        <v>636</v>
      </c>
      <c r="W561">
        <v>628</v>
      </c>
    </row>
    <row r="562" spans="1:23" x14ac:dyDescent="0.3">
      <c r="A562" t="s">
        <v>1576</v>
      </c>
      <c r="B562">
        <v>2022</v>
      </c>
      <c r="C562">
        <v>0.94261008863828277</v>
      </c>
      <c r="D562">
        <v>2910</v>
      </c>
      <c r="E562">
        <v>0</v>
      </c>
      <c r="F562">
        <v>1</v>
      </c>
      <c r="G562">
        <v>91</v>
      </c>
      <c r="H562">
        <v>2.878515384333E-4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0.24257298335486241</v>
      </c>
      <c r="O562">
        <v>-9.2301713182950801E-2</v>
      </c>
      <c r="P562">
        <v>117150827.51129749</v>
      </c>
      <c r="Q562">
        <v>0</v>
      </c>
      <c r="R562" t="s">
        <v>291</v>
      </c>
      <c r="S562" t="s">
        <v>323</v>
      </c>
      <c r="T562" t="s">
        <v>329</v>
      </c>
      <c r="U562">
        <v>2775</v>
      </c>
      <c r="V562">
        <v>1128</v>
      </c>
      <c r="W562">
        <v>1647</v>
      </c>
    </row>
    <row r="563" spans="1:23" x14ac:dyDescent="0.3">
      <c r="A563" t="s">
        <v>1577</v>
      </c>
      <c r="B563">
        <v>2022</v>
      </c>
      <c r="C563">
        <v>1.636678632317863</v>
      </c>
      <c r="D563">
        <v>565</v>
      </c>
      <c r="E563">
        <v>0</v>
      </c>
      <c r="F563">
        <v>1</v>
      </c>
      <c r="G563">
        <v>21</v>
      </c>
      <c r="H563">
        <v>1.0416666666666001E-3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0.56157393115711751</v>
      </c>
      <c r="O563">
        <v>-0.32523616805705008</v>
      </c>
      <c r="P563">
        <v>17341960.365821101</v>
      </c>
      <c r="Q563">
        <v>0</v>
      </c>
      <c r="R563" t="s">
        <v>291</v>
      </c>
      <c r="S563" t="s">
        <v>330</v>
      </c>
      <c r="T563" t="s">
        <v>331</v>
      </c>
      <c r="U563">
        <v>538</v>
      </c>
      <c r="V563">
        <v>269</v>
      </c>
      <c r="W563">
        <v>269</v>
      </c>
    </row>
    <row r="564" spans="1:23" x14ac:dyDescent="0.3">
      <c r="A564" t="s">
        <v>1578</v>
      </c>
      <c r="B564">
        <v>2022</v>
      </c>
      <c r="C564">
        <v>0.81619708703746729</v>
      </c>
      <c r="D564">
        <v>984</v>
      </c>
      <c r="E564">
        <v>0</v>
      </c>
      <c r="F564">
        <v>3</v>
      </c>
      <c r="G564">
        <v>60</v>
      </c>
      <c r="H564">
        <v>4.4583054792459998E-4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0.50048337300385326</v>
      </c>
      <c r="O564">
        <v>-0.28207337378961089</v>
      </c>
      <c r="P564">
        <v>152381675.683404</v>
      </c>
      <c r="Q564">
        <v>0</v>
      </c>
      <c r="R564" t="s">
        <v>291</v>
      </c>
      <c r="S564" t="s">
        <v>330</v>
      </c>
      <c r="T564" t="s">
        <v>333</v>
      </c>
      <c r="U564">
        <v>937</v>
      </c>
      <c r="V564">
        <v>308</v>
      </c>
      <c r="W564">
        <v>629</v>
      </c>
    </row>
    <row r="565" spans="1:23" x14ac:dyDescent="0.3">
      <c r="A565" t="s">
        <v>1579</v>
      </c>
      <c r="B565">
        <v>2022</v>
      </c>
      <c r="C565">
        <v>1.4096604369852559</v>
      </c>
      <c r="D565">
        <v>1306</v>
      </c>
      <c r="E565">
        <v>0</v>
      </c>
      <c r="F565">
        <v>458</v>
      </c>
      <c r="G565">
        <v>44</v>
      </c>
      <c r="H565">
        <v>7.7957411186102997E-3</v>
      </c>
      <c r="I565">
        <v>6</v>
      </c>
      <c r="J565">
        <v>0.10606060606060599</v>
      </c>
      <c r="K565">
        <v>5</v>
      </c>
      <c r="L565">
        <v>0</v>
      </c>
      <c r="M565">
        <v>0</v>
      </c>
      <c r="N565">
        <v>9.5584598810287302E-2</v>
      </c>
      <c r="O565">
        <v>0.22525696114194779</v>
      </c>
      <c r="P565">
        <v>326086852.44249761</v>
      </c>
      <c r="Q565">
        <v>0</v>
      </c>
      <c r="R565" t="s">
        <v>291</v>
      </c>
      <c r="S565" t="s">
        <v>334</v>
      </c>
      <c r="T565" t="s">
        <v>336</v>
      </c>
      <c r="U565">
        <v>1126</v>
      </c>
      <c r="V565">
        <v>351</v>
      </c>
      <c r="W565">
        <v>775</v>
      </c>
    </row>
    <row r="566" spans="1:23" x14ac:dyDescent="0.3">
      <c r="A566" t="s">
        <v>1580</v>
      </c>
      <c r="B566">
        <v>2022</v>
      </c>
      <c r="C566">
        <v>1.051741314379504</v>
      </c>
      <c r="D566">
        <v>2866</v>
      </c>
      <c r="E566">
        <v>0</v>
      </c>
      <c r="F566">
        <v>2</v>
      </c>
      <c r="G566">
        <v>81</v>
      </c>
      <c r="H566">
        <v>8.5791542425860004E-4</v>
      </c>
      <c r="I566">
        <v>5</v>
      </c>
      <c r="J566">
        <v>0</v>
      </c>
      <c r="K566">
        <v>0</v>
      </c>
      <c r="L566">
        <v>0</v>
      </c>
      <c r="M566">
        <v>1</v>
      </c>
      <c r="N566">
        <v>0.45681374168348837</v>
      </c>
      <c r="O566">
        <v>-0.23138523620264681</v>
      </c>
      <c r="P566">
        <v>107676051.8982849</v>
      </c>
      <c r="Q566">
        <v>0</v>
      </c>
      <c r="R566" t="s">
        <v>291</v>
      </c>
      <c r="S566" t="s">
        <v>334</v>
      </c>
      <c r="T566" t="s">
        <v>306</v>
      </c>
      <c r="U566">
        <v>2732</v>
      </c>
      <c r="V566">
        <v>1204</v>
      </c>
      <c r="W566">
        <v>1528</v>
      </c>
    </row>
    <row r="567" spans="1:23" x14ac:dyDescent="0.3">
      <c r="A567" t="s">
        <v>1581</v>
      </c>
      <c r="B567">
        <v>2022</v>
      </c>
      <c r="C567">
        <v>0.91442351089487905</v>
      </c>
      <c r="D567">
        <v>1920</v>
      </c>
      <c r="E567">
        <v>0</v>
      </c>
      <c r="F567">
        <v>1</v>
      </c>
      <c r="G567">
        <v>87</v>
      </c>
      <c r="H567">
        <v>3.1740887576940001E-4</v>
      </c>
      <c r="I567">
        <v>17</v>
      </c>
      <c r="J567">
        <v>0.5</v>
      </c>
      <c r="K567">
        <v>1</v>
      </c>
      <c r="L567">
        <v>0</v>
      </c>
      <c r="M567">
        <v>0</v>
      </c>
      <c r="N567">
        <v>0.51139645271951761</v>
      </c>
      <c r="O567">
        <v>-0.30066203481532011</v>
      </c>
      <c r="P567">
        <v>156765311.98949009</v>
      </c>
      <c r="Q567">
        <v>0</v>
      </c>
      <c r="R567" t="s">
        <v>291</v>
      </c>
      <c r="S567" t="s">
        <v>340</v>
      </c>
      <c r="T567" t="s">
        <v>344</v>
      </c>
      <c r="U567">
        <v>1832</v>
      </c>
      <c r="V567">
        <v>504</v>
      </c>
      <c r="W567">
        <v>1328</v>
      </c>
    </row>
    <row r="568" spans="1:23" x14ac:dyDescent="0.3">
      <c r="A568" t="s">
        <v>1582</v>
      </c>
      <c r="B568">
        <v>2022</v>
      </c>
      <c r="C568">
        <v>0.70612638296605679</v>
      </c>
      <c r="D568">
        <v>805</v>
      </c>
      <c r="E568">
        <v>0</v>
      </c>
      <c r="F568">
        <v>1</v>
      </c>
      <c r="G568">
        <v>39</v>
      </c>
      <c r="H568">
        <v>9.385260994493E-4</v>
      </c>
      <c r="I568">
        <v>2</v>
      </c>
      <c r="J568">
        <v>0</v>
      </c>
      <c r="K568">
        <v>0</v>
      </c>
      <c r="L568">
        <v>0</v>
      </c>
      <c r="M568">
        <v>1</v>
      </c>
      <c r="N568">
        <v>0.58256641387364227</v>
      </c>
      <c r="O568">
        <v>-0.30172808133806189</v>
      </c>
      <c r="P568">
        <v>97277967.933611199</v>
      </c>
      <c r="Q568">
        <v>0</v>
      </c>
      <c r="R568" t="s">
        <v>291</v>
      </c>
      <c r="S568" t="s">
        <v>340</v>
      </c>
      <c r="T568" t="s">
        <v>349</v>
      </c>
      <c r="U568">
        <v>768</v>
      </c>
      <c r="V568">
        <v>125</v>
      </c>
      <c r="W568">
        <v>643</v>
      </c>
    </row>
    <row r="569" spans="1:23" x14ac:dyDescent="0.3">
      <c r="A569" t="s">
        <v>1583</v>
      </c>
      <c r="B569">
        <v>2022</v>
      </c>
      <c r="C569">
        <v>0.75504140175494172</v>
      </c>
      <c r="D569">
        <v>914</v>
      </c>
      <c r="E569">
        <v>0</v>
      </c>
      <c r="F569">
        <v>1</v>
      </c>
      <c r="G569">
        <v>48</v>
      </c>
      <c r="H569">
        <v>3.82555191092E-4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0.3759821067582651</v>
      </c>
      <c r="O569">
        <v>-0.29369614572360681</v>
      </c>
      <c r="P569">
        <v>83192176.685333073</v>
      </c>
      <c r="Q569">
        <v>0</v>
      </c>
      <c r="R569" t="s">
        <v>291</v>
      </c>
      <c r="S569" t="s">
        <v>350</v>
      </c>
      <c r="T569" t="s">
        <v>179</v>
      </c>
      <c r="U569">
        <v>871</v>
      </c>
      <c r="V569">
        <v>327</v>
      </c>
      <c r="W569">
        <v>544</v>
      </c>
    </row>
    <row r="570" spans="1:23" x14ac:dyDescent="0.3">
      <c r="A570" t="s">
        <v>1584</v>
      </c>
      <c r="B570">
        <v>2022</v>
      </c>
      <c r="C570">
        <v>0.96202333065989321</v>
      </c>
      <c r="D570">
        <v>924</v>
      </c>
      <c r="E570">
        <v>0</v>
      </c>
      <c r="F570">
        <v>1</v>
      </c>
      <c r="G570">
        <v>40</v>
      </c>
      <c r="H570">
        <v>1.446116574449E-3</v>
      </c>
      <c r="I570">
        <v>4</v>
      </c>
      <c r="J570">
        <v>0</v>
      </c>
      <c r="K570">
        <v>0</v>
      </c>
      <c r="L570">
        <v>0</v>
      </c>
      <c r="M570">
        <v>0</v>
      </c>
      <c r="N570">
        <v>0.32362418879799359</v>
      </c>
      <c r="O570">
        <v>-0.2180403996642892</v>
      </c>
      <c r="P570">
        <v>78463336.88205424</v>
      </c>
      <c r="Q570">
        <v>0</v>
      </c>
      <c r="R570" t="s">
        <v>291</v>
      </c>
      <c r="S570" t="s">
        <v>350</v>
      </c>
      <c r="T570" t="s">
        <v>351</v>
      </c>
      <c r="U570">
        <v>880</v>
      </c>
      <c r="V570">
        <v>605</v>
      </c>
      <c r="W570">
        <v>275</v>
      </c>
    </row>
    <row r="571" spans="1:23" x14ac:dyDescent="0.3">
      <c r="A571" t="s">
        <v>1585</v>
      </c>
      <c r="B571">
        <v>2022</v>
      </c>
      <c r="C571">
        <v>1.2483607838456949</v>
      </c>
      <c r="D571">
        <v>4126</v>
      </c>
      <c r="E571">
        <v>0</v>
      </c>
      <c r="F571">
        <v>2013</v>
      </c>
      <c r="G571">
        <v>439</v>
      </c>
      <c r="H571">
        <v>2.5571928196490001E-4</v>
      </c>
      <c r="I571">
        <v>39</v>
      </c>
      <c r="J571">
        <v>0</v>
      </c>
      <c r="K571">
        <v>0</v>
      </c>
      <c r="L571">
        <v>0</v>
      </c>
      <c r="M571">
        <v>9</v>
      </c>
      <c r="N571">
        <v>0.30433170203007048</v>
      </c>
      <c r="O571">
        <v>-0.1090816349035925</v>
      </c>
      <c r="P571">
        <v>167430249.1909664</v>
      </c>
      <c r="Q571">
        <v>0</v>
      </c>
      <c r="R571" t="s">
        <v>352</v>
      </c>
      <c r="S571" t="s">
        <v>352</v>
      </c>
      <c r="T571" t="s">
        <v>353</v>
      </c>
      <c r="U571">
        <v>3947</v>
      </c>
      <c r="V571">
        <v>577</v>
      </c>
      <c r="W571">
        <v>3370</v>
      </c>
    </row>
    <row r="572" spans="1:23" x14ac:dyDescent="0.3">
      <c r="A572" t="s">
        <v>1586</v>
      </c>
      <c r="B572">
        <v>2022</v>
      </c>
      <c r="C572">
        <v>0.79461740653246793</v>
      </c>
      <c r="D572">
        <v>5354</v>
      </c>
      <c r="E572">
        <v>0</v>
      </c>
      <c r="F572">
        <v>1</v>
      </c>
      <c r="G572">
        <v>98</v>
      </c>
      <c r="H572">
        <v>1.5957152091605001E-3</v>
      </c>
      <c r="I572">
        <v>13</v>
      </c>
      <c r="J572">
        <v>1.19039030372988E-2</v>
      </c>
      <c r="K572">
        <v>2</v>
      </c>
      <c r="L572">
        <v>0</v>
      </c>
      <c r="M572">
        <v>1</v>
      </c>
      <c r="N572">
        <v>0.2984625100535388</v>
      </c>
      <c r="O572">
        <v>-9.9128128460470602E-2</v>
      </c>
      <c r="P572">
        <v>224470158.79243591</v>
      </c>
      <c r="Q572">
        <v>0</v>
      </c>
      <c r="R572" t="s">
        <v>352</v>
      </c>
      <c r="S572" t="s">
        <v>352</v>
      </c>
      <c r="T572" t="s">
        <v>355</v>
      </c>
      <c r="U572">
        <v>5103</v>
      </c>
      <c r="V572">
        <v>13</v>
      </c>
      <c r="W572">
        <v>5090</v>
      </c>
    </row>
    <row r="573" spans="1:23" x14ac:dyDescent="0.3">
      <c r="A573" t="s">
        <v>1587</v>
      </c>
      <c r="B573">
        <v>2022</v>
      </c>
      <c r="C573">
        <v>0.98020562524538202</v>
      </c>
      <c r="D573">
        <v>3533</v>
      </c>
      <c r="E573">
        <v>0</v>
      </c>
      <c r="F573">
        <v>2</v>
      </c>
      <c r="G573">
        <v>69</v>
      </c>
      <c r="H573">
        <v>1.3888754088495E-3</v>
      </c>
      <c r="I573">
        <v>15</v>
      </c>
      <c r="J573">
        <v>3.9115646258503403E-2</v>
      </c>
      <c r="K573">
        <v>3</v>
      </c>
      <c r="L573">
        <v>0</v>
      </c>
      <c r="M573">
        <v>0</v>
      </c>
      <c r="N573">
        <v>0.6802669918825015</v>
      </c>
      <c r="O573">
        <v>-0.35166017083073797</v>
      </c>
      <c r="P573">
        <v>125353364.33501659</v>
      </c>
      <c r="Q573">
        <v>0</v>
      </c>
      <c r="R573" t="s">
        <v>352</v>
      </c>
      <c r="S573" t="s">
        <v>352</v>
      </c>
      <c r="T573" t="s">
        <v>356</v>
      </c>
      <c r="U573">
        <v>3368</v>
      </c>
      <c r="V573">
        <v>38</v>
      </c>
      <c r="W573">
        <v>3330</v>
      </c>
    </row>
    <row r="574" spans="1:23" x14ac:dyDescent="0.3">
      <c r="A574" t="s">
        <v>1588</v>
      </c>
      <c r="B574">
        <v>2022</v>
      </c>
      <c r="C574">
        <v>2.195253585971741</v>
      </c>
      <c r="D574">
        <v>8355</v>
      </c>
      <c r="E574">
        <v>0</v>
      </c>
      <c r="F574">
        <v>1732</v>
      </c>
      <c r="G574">
        <v>560</v>
      </c>
      <c r="H574">
        <v>2.5149645892920001E-4</v>
      </c>
      <c r="I574">
        <v>25</v>
      </c>
      <c r="J574">
        <v>8.5466923190764994E-3</v>
      </c>
      <c r="K574">
        <v>2</v>
      </c>
      <c r="L574">
        <v>0</v>
      </c>
      <c r="M574">
        <v>10</v>
      </c>
      <c r="N574">
        <v>0.31984010023151238</v>
      </c>
      <c r="O574">
        <v>-0.1223777136863798</v>
      </c>
      <c r="P574">
        <v>179894230.11085561</v>
      </c>
      <c r="Q574">
        <v>0</v>
      </c>
      <c r="R574" t="s">
        <v>352</v>
      </c>
      <c r="S574" t="s">
        <v>352</v>
      </c>
      <c r="T574" t="s">
        <v>357</v>
      </c>
      <c r="U574">
        <v>7937</v>
      </c>
      <c r="V574">
        <v>1774</v>
      </c>
      <c r="W574">
        <v>6163</v>
      </c>
    </row>
    <row r="575" spans="1:23" x14ac:dyDescent="0.3">
      <c r="A575" t="s">
        <v>1589</v>
      </c>
      <c r="B575">
        <v>2022</v>
      </c>
      <c r="C575">
        <v>0.88801205923808946</v>
      </c>
      <c r="D575">
        <v>2924</v>
      </c>
      <c r="E575">
        <v>0</v>
      </c>
      <c r="F575">
        <v>185</v>
      </c>
      <c r="G575">
        <v>110</v>
      </c>
      <c r="H575">
        <v>1.1546993838231999E-3</v>
      </c>
      <c r="I575">
        <v>29</v>
      </c>
      <c r="L575">
        <v>0</v>
      </c>
      <c r="M575">
        <v>0</v>
      </c>
      <c r="N575">
        <v>0.31821456321235952</v>
      </c>
      <c r="O575">
        <v>-0.1144150487047236</v>
      </c>
      <c r="P575">
        <v>138518575.84921259</v>
      </c>
      <c r="Q575">
        <v>0</v>
      </c>
      <c r="R575" t="s">
        <v>352</v>
      </c>
      <c r="S575" t="s">
        <v>352</v>
      </c>
      <c r="T575" t="s">
        <v>358</v>
      </c>
      <c r="U575">
        <v>2789</v>
      </c>
      <c r="V575">
        <v>376</v>
      </c>
      <c r="W575">
        <v>2413</v>
      </c>
    </row>
    <row r="576" spans="1:23" x14ac:dyDescent="0.3">
      <c r="A576" t="s">
        <v>1590</v>
      </c>
      <c r="B576">
        <v>2022</v>
      </c>
      <c r="C576">
        <v>0.55266211203320281</v>
      </c>
      <c r="D576">
        <v>1455</v>
      </c>
      <c r="E576">
        <v>0</v>
      </c>
      <c r="F576">
        <v>353</v>
      </c>
      <c r="G576">
        <v>10</v>
      </c>
      <c r="H576">
        <v>8.6580086580086008E-3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0.62897956191460946</v>
      </c>
      <c r="O576">
        <v>-0.28266175739404592</v>
      </c>
      <c r="P576">
        <v>220034553.39116639</v>
      </c>
      <c r="Q576">
        <v>0</v>
      </c>
      <c r="R576" t="s">
        <v>352</v>
      </c>
      <c r="S576" t="s">
        <v>361</v>
      </c>
      <c r="T576" t="s">
        <v>299</v>
      </c>
      <c r="U576">
        <v>1383</v>
      </c>
      <c r="V576">
        <v>68</v>
      </c>
      <c r="W576">
        <v>1315</v>
      </c>
    </row>
    <row r="577" spans="1:23" x14ac:dyDescent="0.3">
      <c r="A577" t="s">
        <v>1591</v>
      </c>
      <c r="B577">
        <v>2022</v>
      </c>
      <c r="C577">
        <v>0.81427390712759595</v>
      </c>
      <c r="D577">
        <v>3087</v>
      </c>
      <c r="E577">
        <v>0</v>
      </c>
      <c r="F577">
        <v>1</v>
      </c>
      <c r="G577">
        <v>113</v>
      </c>
      <c r="H577">
        <v>1.4866853576530001E-3</v>
      </c>
      <c r="I577">
        <v>9</v>
      </c>
      <c r="J577">
        <v>0.1</v>
      </c>
      <c r="K577">
        <v>2</v>
      </c>
      <c r="L577">
        <v>0</v>
      </c>
      <c r="M577">
        <v>3</v>
      </c>
      <c r="N577">
        <v>0.54802429612609171</v>
      </c>
      <c r="O577">
        <v>-0.16985207832074481</v>
      </c>
      <c r="P577">
        <v>172102808.59744591</v>
      </c>
      <c r="Q577">
        <v>0</v>
      </c>
      <c r="R577" t="s">
        <v>352</v>
      </c>
      <c r="S577" t="s">
        <v>361</v>
      </c>
      <c r="T577" t="s">
        <v>365</v>
      </c>
      <c r="U577">
        <v>2886</v>
      </c>
      <c r="V577">
        <v>3</v>
      </c>
      <c r="W577">
        <v>2883</v>
      </c>
    </row>
    <row r="578" spans="1:23" x14ac:dyDescent="0.3">
      <c r="A578" t="s">
        <v>1592</v>
      </c>
      <c r="B578">
        <v>2022</v>
      </c>
      <c r="C578">
        <v>0.91248396973263857</v>
      </c>
      <c r="D578">
        <v>1428</v>
      </c>
      <c r="E578">
        <v>0</v>
      </c>
      <c r="F578">
        <v>3</v>
      </c>
      <c r="G578">
        <v>10</v>
      </c>
      <c r="H578">
        <v>2.1052631578947299E-2</v>
      </c>
      <c r="I578">
        <v>1</v>
      </c>
      <c r="J578">
        <v>1</v>
      </c>
      <c r="K578">
        <v>1</v>
      </c>
      <c r="L578">
        <v>0</v>
      </c>
      <c r="M578">
        <v>0</v>
      </c>
      <c r="N578">
        <v>0.45358594766493482</v>
      </c>
      <c r="O578">
        <v>5.5534398382338299E-2</v>
      </c>
      <c r="P578">
        <v>113836769.0180361</v>
      </c>
      <c r="Q578">
        <v>0</v>
      </c>
      <c r="R578" t="s">
        <v>352</v>
      </c>
      <c r="S578" t="s">
        <v>361</v>
      </c>
      <c r="T578" t="s">
        <v>367</v>
      </c>
      <c r="U578">
        <v>1363</v>
      </c>
      <c r="V578">
        <v>2</v>
      </c>
      <c r="W578">
        <v>1361</v>
      </c>
    </row>
    <row r="579" spans="1:23" x14ac:dyDescent="0.3">
      <c r="A579" t="s">
        <v>1593</v>
      </c>
      <c r="B579">
        <v>2022</v>
      </c>
      <c r="C579">
        <v>0.57115535323441347</v>
      </c>
      <c r="D579">
        <v>3752</v>
      </c>
      <c r="E579">
        <v>0</v>
      </c>
      <c r="F579">
        <v>160</v>
      </c>
      <c r="G579">
        <v>61</v>
      </c>
      <c r="H579">
        <v>7.5528376414860001E-4</v>
      </c>
      <c r="I579">
        <v>8</v>
      </c>
      <c r="J579">
        <v>0</v>
      </c>
      <c r="K579">
        <v>0</v>
      </c>
      <c r="L579">
        <v>0</v>
      </c>
      <c r="M579">
        <v>0</v>
      </c>
      <c r="N579">
        <v>0.57637327522303616</v>
      </c>
      <c r="O579">
        <v>-0.23869254882328961</v>
      </c>
      <c r="P579">
        <v>681461043.81092405</v>
      </c>
      <c r="Q579">
        <v>0</v>
      </c>
      <c r="R579" t="s">
        <v>352</v>
      </c>
      <c r="S579" t="s">
        <v>361</v>
      </c>
      <c r="T579" t="s">
        <v>369</v>
      </c>
      <c r="U579">
        <v>3577</v>
      </c>
      <c r="V579">
        <v>13</v>
      </c>
      <c r="W579">
        <v>3564</v>
      </c>
    </row>
    <row r="580" spans="1:23" x14ac:dyDescent="0.3">
      <c r="A580" t="s">
        <v>1594</v>
      </c>
      <c r="B580">
        <v>2022</v>
      </c>
      <c r="C580">
        <v>0.58151002951622621</v>
      </c>
      <c r="D580">
        <v>6625</v>
      </c>
      <c r="E580">
        <v>0</v>
      </c>
      <c r="F580">
        <v>1513</v>
      </c>
      <c r="G580">
        <v>126</v>
      </c>
      <c r="H580">
        <v>5.1634166437791E-3</v>
      </c>
      <c r="I580">
        <v>51</v>
      </c>
      <c r="J580">
        <v>0</v>
      </c>
      <c r="K580">
        <v>0</v>
      </c>
      <c r="L580">
        <v>0</v>
      </c>
      <c r="M580">
        <v>2</v>
      </c>
      <c r="N580">
        <v>0.56981128769826983</v>
      </c>
      <c r="O580">
        <v>-0.23918627627167369</v>
      </c>
      <c r="P580">
        <v>1426559769.5860679</v>
      </c>
      <c r="Q580">
        <v>0</v>
      </c>
      <c r="R580" t="s">
        <v>352</v>
      </c>
      <c r="S580" t="s">
        <v>361</v>
      </c>
      <c r="T580" t="s">
        <v>371</v>
      </c>
      <c r="U580">
        <v>6316</v>
      </c>
      <c r="V580">
        <v>444</v>
      </c>
      <c r="W580">
        <v>5872</v>
      </c>
    </row>
    <row r="581" spans="1:23" x14ac:dyDescent="0.3">
      <c r="A581" t="s">
        <v>1595</v>
      </c>
      <c r="B581">
        <v>2022</v>
      </c>
      <c r="C581">
        <v>0.63706848222752499</v>
      </c>
      <c r="D581">
        <v>1503</v>
      </c>
      <c r="E581">
        <v>0</v>
      </c>
      <c r="F581">
        <v>127</v>
      </c>
      <c r="G581">
        <v>28</v>
      </c>
      <c r="H581">
        <v>1.6806699012165999E-3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0.53206377751683287</v>
      </c>
      <c r="O581">
        <v>-0.24794556719019961</v>
      </c>
      <c r="P581">
        <v>119914757.4240514</v>
      </c>
      <c r="Q581">
        <v>0</v>
      </c>
      <c r="R581" t="s">
        <v>352</v>
      </c>
      <c r="S581" t="s">
        <v>361</v>
      </c>
      <c r="T581" t="s">
        <v>373</v>
      </c>
      <c r="U581">
        <v>1433</v>
      </c>
      <c r="V581">
        <v>0</v>
      </c>
      <c r="W581">
        <v>1433</v>
      </c>
    </row>
    <row r="582" spans="1:23" x14ac:dyDescent="0.3">
      <c r="A582" t="s">
        <v>1596</v>
      </c>
      <c r="B582">
        <v>2022</v>
      </c>
      <c r="C582">
        <v>0.98608150840367659</v>
      </c>
      <c r="D582">
        <v>2068</v>
      </c>
      <c r="E582">
        <v>0</v>
      </c>
      <c r="F582">
        <v>1</v>
      </c>
      <c r="G582">
        <v>96</v>
      </c>
      <c r="H582">
        <v>1.4731723455587E-3</v>
      </c>
      <c r="I582">
        <v>4</v>
      </c>
      <c r="J582">
        <v>0</v>
      </c>
      <c r="K582">
        <v>0</v>
      </c>
      <c r="L582">
        <v>0</v>
      </c>
      <c r="M582">
        <v>3</v>
      </c>
      <c r="N582">
        <v>0.48495279847860828</v>
      </c>
      <c r="O582">
        <v>-0.19042518109375761</v>
      </c>
      <c r="P582">
        <v>82049332.583306849</v>
      </c>
      <c r="Q582">
        <v>0</v>
      </c>
      <c r="R582" t="s">
        <v>352</v>
      </c>
      <c r="S582" t="s">
        <v>361</v>
      </c>
      <c r="T582" t="s">
        <v>375</v>
      </c>
      <c r="U582">
        <v>1925</v>
      </c>
      <c r="V582">
        <v>0</v>
      </c>
      <c r="W582">
        <v>1925</v>
      </c>
    </row>
    <row r="583" spans="1:23" x14ac:dyDescent="0.3">
      <c r="A583" t="s">
        <v>1597</v>
      </c>
      <c r="B583">
        <v>2022</v>
      </c>
      <c r="C583">
        <v>0.96464147253586285</v>
      </c>
      <c r="D583">
        <v>2639</v>
      </c>
      <c r="E583">
        <v>0</v>
      </c>
      <c r="F583">
        <v>729</v>
      </c>
      <c r="G583">
        <v>146</v>
      </c>
      <c r="H583">
        <v>1.2860319758731E-3</v>
      </c>
      <c r="I583">
        <v>19</v>
      </c>
      <c r="J583">
        <v>0</v>
      </c>
      <c r="K583">
        <v>0</v>
      </c>
      <c r="L583">
        <v>0</v>
      </c>
      <c r="M583">
        <v>4</v>
      </c>
      <c r="N583">
        <v>0.16386654216977559</v>
      </c>
      <c r="O583">
        <v>3.8162456382593198E-2</v>
      </c>
      <c r="P583">
        <v>58929213.580518283</v>
      </c>
      <c r="Q583">
        <v>0</v>
      </c>
      <c r="R583" t="s">
        <v>352</v>
      </c>
      <c r="S583" t="s">
        <v>376</v>
      </c>
      <c r="T583" t="s">
        <v>101</v>
      </c>
      <c r="U583">
        <v>2523</v>
      </c>
      <c r="V583">
        <v>276</v>
      </c>
      <c r="W583">
        <v>2247</v>
      </c>
    </row>
    <row r="584" spans="1:23" x14ac:dyDescent="0.3">
      <c r="A584" t="s">
        <v>1598</v>
      </c>
      <c r="B584">
        <v>2022</v>
      </c>
      <c r="C584">
        <v>0.8242174231285454</v>
      </c>
      <c r="D584">
        <v>2980</v>
      </c>
      <c r="E584">
        <v>0</v>
      </c>
      <c r="F584">
        <v>930</v>
      </c>
      <c r="G584">
        <v>151</v>
      </c>
      <c r="H584">
        <v>7.4264489623969995E-4</v>
      </c>
      <c r="I584">
        <v>16</v>
      </c>
      <c r="J584">
        <v>0</v>
      </c>
      <c r="K584">
        <v>0</v>
      </c>
      <c r="L584">
        <v>0</v>
      </c>
      <c r="M584">
        <v>5</v>
      </c>
      <c r="N584">
        <v>1.6610863889956001E-2</v>
      </c>
      <c r="O584">
        <v>0.1849926137230305</v>
      </c>
      <c r="P584">
        <v>110313888.20882259</v>
      </c>
      <c r="Q584">
        <v>0</v>
      </c>
      <c r="R584" t="s">
        <v>352</v>
      </c>
      <c r="S584" t="s">
        <v>376</v>
      </c>
      <c r="T584" t="s">
        <v>377</v>
      </c>
      <c r="U584">
        <v>2842</v>
      </c>
      <c r="V584">
        <v>173</v>
      </c>
      <c r="W584">
        <v>2669</v>
      </c>
    </row>
    <row r="585" spans="1:23" x14ac:dyDescent="0.3">
      <c r="A585" t="s">
        <v>1599</v>
      </c>
      <c r="B585">
        <v>2022</v>
      </c>
      <c r="C585">
        <v>1.006337157089402</v>
      </c>
      <c r="D585">
        <v>1736</v>
      </c>
      <c r="E585">
        <v>0</v>
      </c>
      <c r="F585">
        <v>524</v>
      </c>
      <c r="G585">
        <v>143</v>
      </c>
      <c r="H585">
        <v>7.7880331411040002E-4</v>
      </c>
      <c r="I585">
        <v>12</v>
      </c>
      <c r="J585">
        <v>0</v>
      </c>
      <c r="K585">
        <v>0</v>
      </c>
      <c r="L585">
        <v>0</v>
      </c>
      <c r="M585">
        <v>2</v>
      </c>
      <c r="N585">
        <v>0.3658005801135521</v>
      </c>
      <c r="O585">
        <v>-9.9654813797575501E-2</v>
      </c>
      <c r="P585">
        <v>67658764.021938309</v>
      </c>
      <c r="Q585">
        <v>0</v>
      </c>
      <c r="R585" t="s">
        <v>352</v>
      </c>
      <c r="S585" t="s">
        <v>376</v>
      </c>
      <c r="T585" t="s">
        <v>378</v>
      </c>
      <c r="U585">
        <v>1659</v>
      </c>
      <c r="V585">
        <v>287</v>
      </c>
      <c r="W585">
        <v>1372</v>
      </c>
    </row>
    <row r="586" spans="1:23" x14ac:dyDescent="0.3">
      <c r="A586" t="s">
        <v>1600</v>
      </c>
      <c r="B586">
        <v>2022</v>
      </c>
      <c r="C586">
        <v>0.79158120059173365</v>
      </c>
      <c r="D586">
        <v>559</v>
      </c>
      <c r="E586">
        <v>0</v>
      </c>
      <c r="F586">
        <v>270</v>
      </c>
      <c r="G586">
        <v>34</v>
      </c>
      <c r="H586">
        <v>3.6094313973655001E-3</v>
      </c>
      <c r="I586">
        <v>8</v>
      </c>
      <c r="J586">
        <v>0</v>
      </c>
      <c r="K586">
        <v>0</v>
      </c>
      <c r="L586">
        <v>0</v>
      </c>
      <c r="M586">
        <v>1</v>
      </c>
      <c r="N586">
        <v>0.3412480745410959</v>
      </c>
      <c r="O586">
        <v>-8.6001790886903601E-2</v>
      </c>
      <c r="P586">
        <v>28208567.376941409</v>
      </c>
      <c r="Q586">
        <v>0</v>
      </c>
      <c r="R586" t="s">
        <v>352</v>
      </c>
      <c r="S586" t="s">
        <v>376</v>
      </c>
      <c r="T586" t="s">
        <v>379</v>
      </c>
      <c r="U586">
        <v>519</v>
      </c>
      <c r="V586">
        <v>89</v>
      </c>
      <c r="W586">
        <v>430</v>
      </c>
    </row>
    <row r="587" spans="1:23" x14ac:dyDescent="0.3">
      <c r="A587" t="s">
        <v>1601</v>
      </c>
      <c r="B587">
        <v>2022</v>
      </c>
      <c r="C587">
        <v>1.008725658965365</v>
      </c>
      <c r="D587">
        <v>1509</v>
      </c>
      <c r="E587">
        <v>0</v>
      </c>
      <c r="F587">
        <v>386</v>
      </c>
      <c r="G587">
        <v>67</v>
      </c>
      <c r="H587">
        <v>1.5847446883085999E-3</v>
      </c>
      <c r="I587">
        <v>7</v>
      </c>
      <c r="J587">
        <v>0</v>
      </c>
      <c r="K587">
        <v>0</v>
      </c>
      <c r="L587">
        <v>0</v>
      </c>
      <c r="M587">
        <v>3</v>
      </c>
      <c r="P587">
        <v>53563946.439230584</v>
      </c>
      <c r="Q587">
        <v>0</v>
      </c>
      <c r="R587" t="s">
        <v>352</v>
      </c>
      <c r="S587" t="s">
        <v>376</v>
      </c>
      <c r="T587" t="s">
        <v>380</v>
      </c>
      <c r="U587">
        <v>1439</v>
      </c>
      <c r="V587">
        <v>0</v>
      </c>
      <c r="W587">
        <v>1439</v>
      </c>
    </row>
    <row r="588" spans="1:23" x14ac:dyDescent="0.3">
      <c r="A588" t="s">
        <v>1602</v>
      </c>
      <c r="B588">
        <v>2022</v>
      </c>
      <c r="C588">
        <v>0.68942323371943337</v>
      </c>
      <c r="D588">
        <v>8241</v>
      </c>
      <c r="E588">
        <v>0</v>
      </c>
      <c r="F588">
        <v>1029</v>
      </c>
      <c r="G588">
        <v>279</v>
      </c>
      <c r="H588">
        <v>4.0152030406080002E-4</v>
      </c>
      <c r="I588">
        <v>30</v>
      </c>
      <c r="J588">
        <v>0</v>
      </c>
      <c r="K588">
        <v>0</v>
      </c>
      <c r="L588">
        <v>0</v>
      </c>
      <c r="M588">
        <v>7</v>
      </c>
      <c r="N588">
        <v>0.36725808788505371</v>
      </c>
      <c r="O588">
        <v>-0.1332571677243542</v>
      </c>
      <c r="P588">
        <v>469784538.98251128</v>
      </c>
      <c r="Q588">
        <v>0</v>
      </c>
      <c r="R588" t="s">
        <v>352</v>
      </c>
      <c r="S588" t="s">
        <v>376</v>
      </c>
      <c r="T588" t="s">
        <v>382</v>
      </c>
      <c r="U588">
        <v>7851</v>
      </c>
      <c r="V588">
        <v>406</v>
      </c>
      <c r="W588">
        <v>7445</v>
      </c>
    </row>
    <row r="589" spans="1:23" x14ac:dyDescent="0.3">
      <c r="A589" t="s">
        <v>1603</v>
      </c>
      <c r="B589">
        <v>2022</v>
      </c>
      <c r="C589">
        <v>0.85973073751733764</v>
      </c>
      <c r="D589">
        <v>5983</v>
      </c>
      <c r="E589">
        <v>0</v>
      </c>
      <c r="F589">
        <v>1129</v>
      </c>
      <c r="G589">
        <v>103</v>
      </c>
      <c r="H589">
        <v>1.4174378214733001E-3</v>
      </c>
      <c r="I589">
        <v>5</v>
      </c>
      <c r="J589">
        <v>0</v>
      </c>
      <c r="K589">
        <v>0</v>
      </c>
      <c r="L589">
        <v>0</v>
      </c>
      <c r="M589">
        <v>3</v>
      </c>
      <c r="P589">
        <v>153342334.3410041</v>
      </c>
      <c r="Q589">
        <v>0</v>
      </c>
      <c r="R589" t="s">
        <v>352</v>
      </c>
      <c r="S589" t="s">
        <v>376</v>
      </c>
      <c r="T589" t="s">
        <v>383</v>
      </c>
      <c r="U589">
        <v>5704</v>
      </c>
      <c r="V589">
        <v>15</v>
      </c>
      <c r="W589">
        <v>5689</v>
      </c>
    </row>
    <row r="590" spans="1:23" x14ac:dyDescent="0.3">
      <c r="A590" t="s">
        <v>1604</v>
      </c>
      <c r="B590">
        <v>2022</v>
      </c>
      <c r="C590">
        <v>0.61951872385082851</v>
      </c>
      <c r="D590">
        <v>8264</v>
      </c>
      <c r="E590">
        <v>0</v>
      </c>
      <c r="F590">
        <v>1</v>
      </c>
      <c r="G590">
        <v>132</v>
      </c>
      <c r="H590">
        <v>2.6153819689330002E-4</v>
      </c>
      <c r="I590">
        <v>28</v>
      </c>
      <c r="J590">
        <v>4.8778725249312999E-3</v>
      </c>
      <c r="K590">
        <v>3</v>
      </c>
      <c r="L590">
        <v>0</v>
      </c>
      <c r="M590">
        <v>0</v>
      </c>
      <c r="P590">
        <v>656722094.57594752</v>
      </c>
      <c r="Q590">
        <v>0</v>
      </c>
      <c r="R590" t="s">
        <v>352</v>
      </c>
      <c r="S590" t="s">
        <v>384</v>
      </c>
      <c r="T590" t="s">
        <v>386</v>
      </c>
      <c r="U590">
        <v>7870</v>
      </c>
      <c r="V590">
        <v>156</v>
      </c>
      <c r="W590">
        <v>7714</v>
      </c>
    </row>
    <row r="591" spans="1:23" x14ac:dyDescent="0.3">
      <c r="A591" t="s">
        <v>1605</v>
      </c>
      <c r="B591">
        <v>2022</v>
      </c>
      <c r="C591">
        <v>1.757379671412459</v>
      </c>
      <c r="D591">
        <v>6257</v>
      </c>
      <c r="E591">
        <v>0</v>
      </c>
      <c r="F591">
        <v>109</v>
      </c>
      <c r="G591">
        <v>103</v>
      </c>
      <c r="H591">
        <v>1.7828135152696001E-3</v>
      </c>
      <c r="I591">
        <v>8</v>
      </c>
      <c r="J591">
        <v>2.2982216142270799E-2</v>
      </c>
      <c r="K591">
        <v>2</v>
      </c>
      <c r="L591">
        <v>0</v>
      </c>
      <c r="M591">
        <v>0</v>
      </c>
      <c r="N591">
        <v>0.74067913147193221</v>
      </c>
      <c r="O591">
        <v>-0.35603015793744219</v>
      </c>
      <c r="P591">
        <v>96593243.703852594</v>
      </c>
      <c r="Q591">
        <v>0</v>
      </c>
      <c r="R591" t="s">
        <v>352</v>
      </c>
      <c r="S591" t="s">
        <v>384</v>
      </c>
      <c r="T591" t="s">
        <v>389</v>
      </c>
      <c r="U591">
        <v>5955</v>
      </c>
      <c r="V591">
        <v>2554</v>
      </c>
      <c r="W591">
        <v>3401</v>
      </c>
    </row>
    <row r="592" spans="1:23" x14ac:dyDescent="0.3">
      <c r="A592" t="s">
        <v>1606</v>
      </c>
      <c r="B592">
        <v>2022</v>
      </c>
      <c r="C592">
        <v>1.420195099018057</v>
      </c>
      <c r="D592">
        <v>35807</v>
      </c>
      <c r="E592">
        <v>0</v>
      </c>
      <c r="F592">
        <v>55</v>
      </c>
      <c r="G592">
        <v>707</v>
      </c>
      <c r="H592">
        <v>1.3136280498839999E-4</v>
      </c>
      <c r="I592">
        <v>40</v>
      </c>
      <c r="J592">
        <v>1.7233348858872798E-2</v>
      </c>
      <c r="K592">
        <v>3</v>
      </c>
      <c r="L592">
        <v>0</v>
      </c>
      <c r="M592">
        <v>12</v>
      </c>
      <c r="N592">
        <v>0.49669750281796948</v>
      </c>
      <c r="O592">
        <v>-0.2274577076195631</v>
      </c>
      <c r="P592">
        <v>657299080.47503567</v>
      </c>
      <c r="Q592">
        <v>0</v>
      </c>
      <c r="R592" t="s">
        <v>352</v>
      </c>
      <c r="S592" t="s">
        <v>384</v>
      </c>
      <c r="T592" t="s">
        <v>91</v>
      </c>
      <c r="U592">
        <v>34133</v>
      </c>
      <c r="V592">
        <v>11264</v>
      </c>
      <c r="W592">
        <v>22869</v>
      </c>
    </row>
    <row r="593" spans="1:23" x14ac:dyDescent="0.3">
      <c r="A593" t="s">
        <v>1607</v>
      </c>
      <c r="B593">
        <v>2022</v>
      </c>
      <c r="C593">
        <v>0.74293631341585353</v>
      </c>
      <c r="D593">
        <v>1477</v>
      </c>
      <c r="E593">
        <v>0</v>
      </c>
      <c r="F593">
        <v>69</v>
      </c>
      <c r="G593">
        <v>23</v>
      </c>
      <c r="H593">
        <v>4.35413642960812E-2</v>
      </c>
      <c r="I593">
        <v>1</v>
      </c>
      <c r="J593">
        <v>0.33333333333333331</v>
      </c>
      <c r="K593">
        <v>2</v>
      </c>
      <c r="L593">
        <v>0</v>
      </c>
      <c r="M593">
        <v>0</v>
      </c>
      <c r="N593">
        <v>0.29170933642391478</v>
      </c>
      <c r="O593">
        <v>0.17374388597384699</v>
      </c>
      <c r="P593">
        <v>59334543.462391123</v>
      </c>
      <c r="Q593">
        <v>0</v>
      </c>
      <c r="R593" t="s">
        <v>352</v>
      </c>
      <c r="S593" t="s">
        <v>106</v>
      </c>
      <c r="T593" t="s">
        <v>391</v>
      </c>
      <c r="U593">
        <v>1415</v>
      </c>
      <c r="V593">
        <v>25</v>
      </c>
      <c r="W593">
        <v>1390</v>
      </c>
    </row>
    <row r="594" spans="1:23" x14ac:dyDescent="0.3">
      <c r="A594" t="s">
        <v>1608</v>
      </c>
      <c r="B594">
        <v>2022</v>
      </c>
      <c r="C594">
        <v>0.61997343553617412</v>
      </c>
      <c r="D594">
        <v>1028</v>
      </c>
      <c r="E594">
        <v>0</v>
      </c>
      <c r="F594">
        <v>21</v>
      </c>
      <c r="G594">
        <v>227</v>
      </c>
      <c r="H594">
        <v>2.739408068968E-4</v>
      </c>
      <c r="I594">
        <v>8</v>
      </c>
      <c r="J594">
        <v>0</v>
      </c>
      <c r="K594">
        <v>0</v>
      </c>
      <c r="L594">
        <v>0</v>
      </c>
      <c r="M594">
        <v>0</v>
      </c>
      <c r="N594">
        <v>0.64240083440467644</v>
      </c>
      <c r="O594">
        <v>-0.26887630162078507</v>
      </c>
      <c r="P594">
        <v>311166090.36369473</v>
      </c>
      <c r="Q594">
        <v>0</v>
      </c>
      <c r="R594" t="s">
        <v>352</v>
      </c>
      <c r="S594" t="s">
        <v>106</v>
      </c>
      <c r="T594" t="s">
        <v>395</v>
      </c>
      <c r="U594">
        <v>1053</v>
      </c>
      <c r="V594">
        <v>33</v>
      </c>
      <c r="W594">
        <v>1020</v>
      </c>
    </row>
    <row r="595" spans="1:23" x14ac:dyDescent="0.3">
      <c r="A595" t="s">
        <v>1609</v>
      </c>
      <c r="B595">
        <v>2022</v>
      </c>
      <c r="C595">
        <v>0.68502947938277448</v>
      </c>
      <c r="D595">
        <v>2766</v>
      </c>
      <c r="E595">
        <v>0</v>
      </c>
      <c r="F595">
        <v>3</v>
      </c>
      <c r="G595">
        <v>65</v>
      </c>
      <c r="H595">
        <v>9.4466966192500003E-4</v>
      </c>
      <c r="I595">
        <v>5</v>
      </c>
      <c r="J595">
        <v>0</v>
      </c>
      <c r="K595">
        <v>0</v>
      </c>
      <c r="L595">
        <v>0</v>
      </c>
      <c r="M595">
        <v>1</v>
      </c>
      <c r="N595">
        <v>0.67386918459151413</v>
      </c>
      <c r="O595">
        <v>-0.31538460370850291</v>
      </c>
      <c r="P595">
        <v>350463722.02067888</v>
      </c>
      <c r="Q595">
        <v>0</v>
      </c>
      <c r="R595" t="s">
        <v>352</v>
      </c>
      <c r="S595" t="s">
        <v>106</v>
      </c>
      <c r="T595" t="s">
        <v>399</v>
      </c>
      <c r="U595">
        <v>2613</v>
      </c>
      <c r="V595">
        <v>584</v>
      </c>
      <c r="W595">
        <v>2029</v>
      </c>
    </row>
    <row r="596" spans="1:23" x14ac:dyDescent="0.3">
      <c r="A596" t="s">
        <v>1610</v>
      </c>
      <c r="B596">
        <v>2022</v>
      </c>
      <c r="C596">
        <v>1.0251953348977609</v>
      </c>
      <c r="D596">
        <v>3517</v>
      </c>
      <c r="E596">
        <v>0</v>
      </c>
      <c r="F596">
        <v>713</v>
      </c>
      <c r="G596">
        <v>234</v>
      </c>
      <c r="H596">
        <v>5.0062353334890005E-4</v>
      </c>
      <c r="I596">
        <v>29</v>
      </c>
      <c r="J596">
        <v>0</v>
      </c>
      <c r="K596">
        <v>0</v>
      </c>
      <c r="L596">
        <v>0</v>
      </c>
      <c r="M596">
        <v>0</v>
      </c>
      <c r="N596">
        <v>0.32057568626722582</v>
      </c>
      <c r="O596">
        <v>-0.14620309764613901</v>
      </c>
      <c r="P596">
        <v>113949565.0239958</v>
      </c>
      <c r="Q596">
        <v>0</v>
      </c>
      <c r="R596" t="s">
        <v>352</v>
      </c>
      <c r="S596" t="s">
        <v>400</v>
      </c>
      <c r="T596" t="s">
        <v>91</v>
      </c>
      <c r="U596">
        <v>3357</v>
      </c>
      <c r="V596">
        <v>352</v>
      </c>
      <c r="W596">
        <v>3005</v>
      </c>
    </row>
    <row r="597" spans="1:23" x14ac:dyDescent="0.3">
      <c r="A597" t="s">
        <v>1611</v>
      </c>
      <c r="B597">
        <v>2022</v>
      </c>
      <c r="C597">
        <v>1.951296274840467</v>
      </c>
      <c r="D597">
        <v>4615</v>
      </c>
      <c r="E597">
        <v>0</v>
      </c>
      <c r="F597">
        <v>1277</v>
      </c>
      <c r="G597">
        <v>288</v>
      </c>
      <c r="H597">
        <v>4.9695475584630002E-4</v>
      </c>
      <c r="I597">
        <v>18</v>
      </c>
      <c r="J597">
        <v>0.33333333333333331</v>
      </c>
      <c r="K597">
        <v>2</v>
      </c>
      <c r="L597">
        <v>0</v>
      </c>
      <c r="M597">
        <v>1</v>
      </c>
      <c r="N597">
        <v>0.30997127032247451</v>
      </c>
      <c r="O597">
        <v>-0.13766254256649019</v>
      </c>
      <c r="P597">
        <v>71958902.25623402</v>
      </c>
      <c r="Q597">
        <v>0</v>
      </c>
      <c r="R597" t="s">
        <v>352</v>
      </c>
      <c r="S597" t="s">
        <v>400</v>
      </c>
      <c r="T597" t="s">
        <v>401</v>
      </c>
      <c r="U597">
        <v>4386</v>
      </c>
      <c r="V597">
        <v>1214</v>
      </c>
      <c r="W597">
        <v>3172</v>
      </c>
    </row>
    <row r="598" spans="1:23" x14ac:dyDescent="0.3">
      <c r="A598" t="s">
        <v>1612</v>
      </c>
      <c r="B598">
        <v>2022</v>
      </c>
      <c r="C598">
        <v>1.8496500721064699</v>
      </c>
      <c r="D598">
        <v>8662</v>
      </c>
      <c r="E598">
        <v>0</v>
      </c>
      <c r="F598">
        <v>2415</v>
      </c>
      <c r="G598">
        <v>424</v>
      </c>
      <c r="H598">
        <v>3.3307818105370003E-4</v>
      </c>
      <c r="I598">
        <v>49</v>
      </c>
      <c r="J598">
        <v>0</v>
      </c>
      <c r="K598">
        <v>0</v>
      </c>
      <c r="L598">
        <v>0</v>
      </c>
      <c r="M598">
        <v>2</v>
      </c>
      <c r="N598">
        <v>0.28710443556880078</v>
      </c>
      <c r="O598">
        <v>-0.1296228881198436</v>
      </c>
      <c r="P598">
        <v>137570169.6917896</v>
      </c>
      <c r="Q598">
        <v>0</v>
      </c>
      <c r="R598" t="s">
        <v>352</v>
      </c>
      <c r="S598" t="s">
        <v>400</v>
      </c>
      <c r="T598" t="s">
        <v>402</v>
      </c>
      <c r="U598">
        <v>8291</v>
      </c>
      <c r="V598">
        <v>2187</v>
      </c>
      <c r="W598">
        <v>6104</v>
      </c>
    </row>
    <row r="599" spans="1:23" x14ac:dyDescent="0.3">
      <c r="A599" t="s">
        <v>1613</v>
      </c>
      <c r="B599">
        <v>2022</v>
      </c>
      <c r="C599">
        <v>5.5901692742871214</v>
      </c>
      <c r="D599">
        <v>13875</v>
      </c>
      <c r="E599">
        <v>0</v>
      </c>
      <c r="F599">
        <v>2071</v>
      </c>
      <c r="G599">
        <v>583</v>
      </c>
      <c r="H599">
        <v>3.4032428967780001E-4</v>
      </c>
      <c r="I599">
        <v>52</v>
      </c>
      <c r="J599">
        <v>0</v>
      </c>
      <c r="K599">
        <v>0</v>
      </c>
      <c r="L599">
        <v>0</v>
      </c>
      <c r="M599">
        <v>4</v>
      </c>
      <c r="N599">
        <v>0.32316734392622282</v>
      </c>
      <c r="O599">
        <v>-0.13648065340358109</v>
      </c>
      <c r="P599">
        <v>82752604.880530119</v>
      </c>
      <c r="Q599">
        <v>0</v>
      </c>
      <c r="R599" t="s">
        <v>352</v>
      </c>
      <c r="S599" t="s">
        <v>400</v>
      </c>
      <c r="T599" t="s">
        <v>403</v>
      </c>
      <c r="U599">
        <v>13076</v>
      </c>
      <c r="V599">
        <v>4064</v>
      </c>
      <c r="W599">
        <v>9012</v>
      </c>
    </row>
    <row r="600" spans="1:23" x14ac:dyDescent="0.3">
      <c r="A600" t="s">
        <v>1614</v>
      </c>
      <c r="B600">
        <v>2022</v>
      </c>
      <c r="C600">
        <v>2.826720622517171</v>
      </c>
      <c r="D600">
        <v>7457</v>
      </c>
      <c r="E600">
        <v>0</v>
      </c>
      <c r="F600">
        <v>288</v>
      </c>
      <c r="G600">
        <v>206</v>
      </c>
      <c r="H600">
        <v>8.9702803024449996E-4</v>
      </c>
      <c r="I600">
        <v>6</v>
      </c>
      <c r="J600">
        <v>0</v>
      </c>
      <c r="K600">
        <v>0</v>
      </c>
      <c r="L600">
        <v>0</v>
      </c>
      <c r="M600">
        <v>1</v>
      </c>
      <c r="N600">
        <v>0.38669887603531228</v>
      </c>
      <c r="O600">
        <v>-0.1595429570606525</v>
      </c>
      <c r="P600">
        <v>73800957.757722512</v>
      </c>
      <c r="Q600">
        <v>0</v>
      </c>
      <c r="R600" t="s">
        <v>352</v>
      </c>
      <c r="S600" t="s">
        <v>404</v>
      </c>
      <c r="T600" t="s">
        <v>404</v>
      </c>
      <c r="U600">
        <v>7119</v>
      </c>
      <c r="V600">
        <v>1079</v>
      </c>
      <c r="W600">
        <v>6040</v>
      </c>
    </row>
    <row r="601" spans="1:23" x14ac:dyDescent="0.3">
      <c r="A601" t="s">
        <v>1615</v>
      </c>
      <c r="B601">
        <v>2022</v>
      </c>
      <c r="C601">
        <v>0.88882885528197075</v>
      </c>
      <c r="D601">
        <v>4361</v>
      </c>
      <c r="E601">
        <v>0</v>
      </c>
      <c r="F601">
        <v>446</v>
      </c>
      <c r="G601">
        <v>128</v>
      </c>
      <c r="H601">
        <v>4.147633139665E-4</v>
      </c>
      <c r="I601">
        <v>8</v>
      </c>
      <c r="J601">
        <v>0</v>
      </c>
      <c r="K601">
        <v>0</v>
      </c>
      <c r="L601">
        <v>0</v>
      </c>
      <c r="M601">
        <v>6</v>
      </c>
      <c r="N601">
        <v>0.44588920074059979</v>
      </c>
      <c r="O601">
        <v>-0.1951726393907797</v>
      </c>
      <c r="P601">
        <v>215822798.74080831</v>
      </c>
      <c r="Q601">
        <v>0</v>
      </c>
      <c r="R601" t="s">
        <v>352</v>
      </c>
      <c r="S601" t="s">
        <v>404</v>
      </c>
      <c r="T601" t="s">
        <v>405</v>
      </c>
      <c r="U601">
        <v>4147</v>
      </c>
      <c r="V601">
        <v>47</v>
      </c>
      <c r="W601">
        <v>4100</v>
      </c>
    </row>
    <row r="602" spans="1:23" x14ac:dyDescent="0.3">
      <c r="A602" t="s">
        <v>1616</v>
      </c>
      <c r="B602">
        <v>2022</v>
      </c>
      <c r="C602">
        <v>0.81096896019041953</v>
      </c>
      <c r="D602">
        <v>5942</v>
      </c>
      <c r="E602">
        <v>0</v>
      </c>
      <c r="F602">
        <v>5</v>
      </c>
      <c r="G602">
        <v>102</v>
      </c>
      <c r="H602">
        <v>7.8740084395749997E-4</v>
      </c>
      <c r="I602">
        <v>22</v>
      </c>
      <c r="J602">
        <v>0</v>
      </c>
      <c r="K602">
        <v>0</v>
      </c>
      <c r="L602">
        <v>0</v>
      </c>
      <c r="M602">
        <v>1</v>
      </c>
      <c r="N602">
        <v>0.44016166864020739</v>
      </c>
      <c r="O602">
        <v>-0.17716303666137109</v>
      </c>
      <c r="P602">
        <v>211950772.8936013</v>
      </c>
      <c r="Q602">
        <v>0</v>
      </c>
      <c r="R602" t="s">
        <v>352</v>
      </c>
      <c r="S602" t="s">
        <v>404</v>
      </c>
      <c r="T602" t="s">
        <v>407</v>
      </c>
      <c r="U602">
        <v>5670</v>
      </c>
      <c r="V602">
        <v>298</v>
      </c>
      <c r="W602">
        <v>5372</v>
      </c>
    </row>
    <row r="603" spans="1:23" x14ac:dyDescent="0.3">
      <c r="A603" t="s">
        <v>1617</v>
      </c>
      <c r="B603">
        <v>2022</v>
      </c>
      <c r="C603">
        <v>0.76444803634470282</v>
      </c>
      <c r="D603">
        <v>5505</v>
      </c>
      <c r="E603">
        <v>0</v>
      </c>
      <c r="F603">
        <v>46</v>
      </c>
      <c r="G603">
        <v>80</v>
      </c>
      <c r="H603">
        <v>1.0271488940510999E-3</v>
      </c>
      <c r="I603">
        <v>10</v>
      </c>
      <c r="J603">
        <v>0</v>
      </c>
      <c r="K603">
        <v>0</v>
      </c>
      <c r="L603">
        <v>0</v>
      </c>
      <c r="M603">
        <v>0</v>
      </c>
      <c r="N603">
        <v>0.48663816210382149</v>
      </c>
      <c r="O603">
        <v>-0.2022913616607071</v>
      </c>
      <c r="P603">
        <v>317646937.18772721</v>
      </c>
      <c r="Q603">
        <v>0</v>
      </c>
      <c r="R603" t="s">
        <v>352</v>
      </c>
      <c r="S603" t="s">
        <v>404</v>
      </c>
      <c r="T603" t="s">
        <v>408</v>
      </c>
      <c r="U603">
        <v>5254</v>
      </c>
      <c r="V603">
        <v>191</v>
      </c>
      <c r="W603">
        <v>5063</v>
      </c>
    </row>
    <row r="604" spans="1:23" x14ac:dyDescent="0.3">
      <c r="A604" t="s">
        <v>1618</v>
      </c>
      <c r="B604">
        <v>2022</v>
      </c>
      <c r="C604">
        <v>1.4684662664076349</v>
      </c>
      <c r="D604">
        <v>14137</v>
      </c>
      <c r="E604">
        <v>0</v>
      </c>
      <c r="F604">
        <v>77</v>
      </c>
      <c r="G604">
        <v>347</v>
      </c>
      <c r="H604">
        <v>5.8603883055289999E-4</v>
      </c>
      <c r="I604">
        <v>7</v>
      </c>
      <c r="J604">
        <v>0</v>
      </c>
      <c r="K604">
        <v>0</v>
      </c>
      <c r="L604">
        <v>0</v>
      </c>
      <c r="M604">
        <v>4</v>
      </c>
      <c r="N604">
        <v>0.367107031051843</v>
      </c>
      <c r="O604">
        <v>-0.27623197336089411</v>
      </c>
      <c r="P604">
        <v>308023340.31011558</v>
      </c>
      <c r="Q604">
        <v>0</v>
      </c>
      <c r="R604" t="s">
        <v>410</v>
      </c>
      <c r="S604" t="s">
        <v>411</v>
      </c>
      <c r="T604" t="s">
        <v>412</v>
      </c>
      <c r="U604">
        <v>13460</v>
      </c>
      <c r="V604">
        <v>7738</v>
      </c>
      <c r="W604">
        <v>5722</v>
      </c>
    </row>
    <row r="605" spans="1:23" x14ac:dyDescent="0.3">
      <c r="A605" t="s">
        <v>1619</v>
      </c>
      <c r="B605">
        <v>2022</v>
      </c>
      <c r="C605">
        <v>1.5189431522153241</v>
      </c>
      <c r="D605">
        <v>6821</v>
      </c>
      <c r="E605">
        <v>0</v>
      </c>
      <c r="F605">
        <v>17</v>
      </c>
      <c r="G605">
        <v>269</v>
      </c>
      <c r="H605">
        <v>5.3518390803659996E-4</v>
      </c>
      <c r="I605">
        <v>6</v>
      </c>
      <c r="J605">
        <v>0</v>
      </c>
      <c r="K605">
        <v>0</v>
      </c>
      <c r="L605">
        <v>0</v>
      </c>
      <c r="M605">
        <v>0</v>
      </c>
      <c r="N605">
        <v>0.26490592205508479</v>
      </c>
      <c r="O605">
        <v>-0.16048383200634</v>
      </c>
      <c r="P605">
        <v>323515997.42952639</v>
      </c>
      <c r="Q605">
        <v>0</v>
      </c>
      <c r="R605" t="s">
        <v>410</v>
      </c>
      <c r="S605" t="s">
        <v>411</v>
      </c>
      <c r="T605" t="s">
        <v>413</v>
      </c>
      <c r="U605">
        <v>6482</v>
      </c>
      <c r="V605">
        <v>2996</v>
      </c>
      <c r="W605">
        <v>3486</v>
      </c>
    </row>
    <row r="606" spans="1:23" x14ac:dyDescent="0.3">
      <c r="A606" t="s">
        <v>1620</v>
      </c>
      <c r="B606">
        <v>2022</v>
      </c>
      <c r="C606">
        <v>1.4974945555667989</v>
      </c>
      <c r="D606">
        <v>12625</v>
      </c>
      <c r="E606">
        <v>0</v>
      </c>
      <c r="F606">
        <v>80</v>
      </c>
      <c r="G606">
        <v>329</v>
      </c>
      <c r="H606">
        <v>1.4641852579663E-3</v>
      </c>
      <c r="I606">
        <v>8</v>
      </c>
      <c r="J606">
        <v>0</v>
      </c>
      <c r="K606">
        <v>0</v>
      </c>
      <c r="L606">
        <v>0</v>
      </c>
      <c r="M606">
        <v>7</v>
      </c>
      <c r="N606">
        <v>0.1920985282972108</v>
      </c>
      <c r="O606">
        <v>2.5382302876265601E-2</v>
      </c>
      <c r="P606">
        <v>141058134.52390161</v>
      </c>
      <c r="Q606">
        <v>0</v>
      </c>
      <c r="R606" t="s">
        <v>410</v>
      </c>
      <c r="S606" t="s">
        <v>411</v>
      </c>
      <c r="T606" t="s">
        <v>416</v>
      </c>
      <c r="U606">
        <v>11970</v>
      </c>
      <c r="V606">
        <v>6097</v>
      </c>
      <c r="W606">
        <v>5873</v>
      </c>
    </row>
    <row r="607" spans="1:23" x14ac:dyDescent="0.3">
      <c r="A607" t="s">
        <v>1621</v>
      </c>
      <c r="B607">
        <v>2022</v>
      </c>
      <c r="C607">
        <v>1.620684036074123</v>
      </c>
      <c r="D607">
        <v>26756</v>
      </c>
      <c r="E607">
        <v>0</v>
      </c>
      <c r="F607">
        <v>59</v>
      </c>
      <c r="G607">
        <v>361</v>
      </c>
      <c r="H607">
        <v>3.3478930039200001E-4</v>
      </c>
      <c r="I607">
        <v>29</v>
      </c>
      <c r="J607">
        <v>0</v>
      </c>
      <c r="K607">
        <v>0</v>
      </c>
      <c r="L607">
        <v>0</v>
      </c>
      <c r="M607">
        <v>0</v>
      </c>
      <c r="N607">
        <v>0.43113070184738661</v>
      </c>
      <c r="O607">
        <v>-0.2510242881219254</v>
      </c>
      <c r="P607">
        <v>228598676.891157</v>
      </c>
      <c r="Q607">
        <v>0</v>
      </c>
      <c r="R607" t="s">
        <v>410</v>
      </c>
      <c r="S607" t="s">
        <v>417</v>
      </c>
      <c r="T607" t="s">
        <v>417</v>
      </c>
      <c r="U607">
        <v>25523</v>
      </c>
      <c r="V607">
        <v>4058</v>
      </c>
      <c r="W607">
        <v>21465</v>
      </c>
    </row>
    <row r="608" spans="1:23" x14ac:dyDescent="0.3">
      <c r="A608" t="s">
        <v>1622</v>
      </c>
      <c r="B608">
        <v>2022</v>
      </c>
      <c r="C608">
        <v>2.0574414906051421</v>
      </c>
      <c r="D608">
        <v>9822</v>
      </c>
      <c r="E608">
        <v>0</v>
      </c>
      <c r="F608">
        <v>1</v>
      </c>
      <c r="G608">
        <v>110</v>
      </c>
      <c r="H608">
        <v>9.8132342963250002E-4</v>
      </c>
      <c r="I608">
        <v>10</v>
      </c>
      <c r="J608">
        <v>0</v>
      </c>
      <c r="K608">
        <v>0</v>
      </c>
      <c r="L608">
        <v>0</v>
      </c>
      <c r="M608">
        <v>0</v>
      </c>
      <c r="N608">
        <v>0.35954979991712749</v>
      </c>
      <c r="O608">
        <v>-0.18441803247974389</v>
      </c>
      <c r="P608">
        <v>74697987.368380964</v>
      </c>
      <c r="Q608">
        <v>0</v>
      </c>
      <c r="R608" t="s">
        <v>410</v>
      </c>
      <c r="S608" t="s">
        <v>377</v>
      </c>
      <c r="T608" t="s">
        <v>422</v>
      </c>
      <c r="U608">
        <v>9380</v>
      </c>
      <c r="V608">
        <v>1066</v>
      </c>
      <c r="W608">
        <v>8314</v>
      </c>
    </row>
    <row r="609" spans="1:23" x14ac:dyDescent="0.3">
      <c r="A609" t="s">
        <v>1623</v>
      </c>
      <c r="B609">
        <v>2022</v>
      </c>
      <c r="C609">
        <v>3.4069307364915691</v>
      </c>
      <c r="D609">
        <v>9867</v>
      </c>
      <c r="E609">
        <v>0</v>
      </c>
      <c r="F609">
        <v>5</v>
      </c>
      <c r="G609">
        <v>137</v>
      </c>
      <c r="H609">
        <v>1.0785014755321999E-3</v>
      </c>
      <c r="I609">
        <v>9</v>
      </c>
      <c r="J609">
        <v>0</v>
      </c>
      <c r="K609">
        <v>0</v>
      </c>
      <c r="L609">
        <v>0</v>
      </c>
      <c r="M609">
        <v>2</v>
      </c>
      <c r="N609">
        <v>0.27473017119421139</v>
      </c>
      <c r="O609">
        <v>-8.2609356311199297E-2</v>
      </c>
      <c r="P609">
        <v>48512942.11009001</v>
      </c>
      <c r="Q609">
        <v>0</v>
      </c>
      <c r="R609" t="s">
        <v>410</v>
      </c>
      <c r="S609" t="s">
        <v>377</v>
      </c>
      <c r="T609" t="s">
        <v>424</v>
      </c>
      <c r="U609">
        <v>9407</v>
      </c>
      <c r="V609">
        <v>2214</v>
      </c>
      <c r="W609">
        <v>7193</v>
      </c>
    </row>
    <row r="610" spans="1:23" x14ac:dyDescent="0.3">
      <c r="A610" t="s">
        <v>1624</v>
      </c>
      <c r="B610">
        <v>2022</v>
      </c>
      <c r="C610">
        <v>0.89664120534558023</v>
      </c>
      <c r="D610">
        <v>19633</v>
      </c>
      <c r="E610">
        <v>0</v>
      </c>
      <c r="F610">
        <v>433</v>
      </c>
      <c r="G610">
        <v>375</v>
      </c>
      <c r="H610">
        <v>1.7601620075890001E-4</v>
      </c>
      <c r="I610">
        <v>15</v>
      </c>
      <c r="J610">
        <v>1.28194386258902E-2</v>
      </c>
      <c r="K610">
        <v>2</v>
      </c>
      <c r="L610">
        <v>0</v>
      </c>
      <c r="M610">
        <v>14</v>
      </c>
      <c r="N610">
        <v>0.39578061107067419</v>
      </c>
      <c r="O610">
        <v>-0.18017354016063081</v>
      </c>
      <c r="P610">
        <v>363729538.66570991</v>
      </c>
      <c r="Q610">
        <v>0</v>
      </c>
      <c r="R610" t="s">
        <v>410</v>
      </c>
      <c r="S610" t="s">
        <v>427</v>
      </c>
      <c r="T610" t="s">
        <v>410</v>
      </c>
      <c r="U610">
        <v>18730</v>
      </c>
      <c r="V610">
        <v>1089</v>
      </c>
      <c r="W610">
        <v>17641</v>
      </c>
    </row>
    <row r="611" spans="1:23" x14ac:dyDescent="0.3">
      <c r="A611" t="s">
        <v>1625</v>
      </c>
      <c r="B611">
        <v>2022</v>
      </c>
      <c r="C611">
        <v>2.1253785654795001</v>
      </c>
      <c r="D611">
        <v>6366</v>
      </c>
      <c r="E611">
        <v>0</v>
      </c>
      <c r="F611">
        <v>1</v>
      </c>
      <c r="G611">
        <v>153</v>
      </c>
      <c r="H611">
        <v>1.2106242036971999E-3</v>
      </c>
      <c r="I611">
        <v>9</v>
      </c>
      <c r="J611">
        <v>0</v>
      </c>
      <c r="K611">
        <v>0</v>
      </c>
      <c r="L611">
        <v>0</v>
      </c>
      <c r="M611">
        <v>0</v>
      </c>
      <c r="N611">
        <v>0.51609660229504439</v>
      </c>
      <c r="O611">
        <v>-0.28661578516690672</v>
      </c>
      <c r="P611">
        <v>54923690.334377661</v>
      </c>
      <c r="Q611">
        <v>0</v>
      </c>
      <c r="R611" t="s">
        <v>410</v>
      </c>
      <c r="S611" t="s">
        <v>302</v>
      </c>
      <c r="T611" t="s">
        <v>194</v>
      </c>
      <c r="U611">
        <v>6070</v>
      </c>
      <c r="V611">
        <v>996</v>
      </c>
      <c r="W611">
        <v>5074</v>
      </c>
    </row>
    <row r="612" spans="1:23" x14ac:dyDescent="0.3">
      <c r="A612" t="s">
        <v>1626</v>
      </c>
      <c r="B612">
        <v>2022</v>
      </c>
      <c r="C612">
        <v>3.995013965688945</v>
      </c>
      <c r="D612">
        <v>13314</v>
      </c>
      <c r="E612">
        <v>0</v>
      </c>
      <c r="F612">
        <v>32</v>
      </c>
      <c r="G612">
        <v>271</v>
      </c>
      <c r="H612">
        <v>6.2397309046769995E-4</v>
      </c>
      <c r="I612">
        <v>8</v>
      </c>
      <c r="J612">
        <v>0</v>
      </c>
      <c r="K612">
        <v>0</v>
      </c>
      <c r="L612">
        <v>0</v>
      </c>
      <c r="M612">
        <v>0</v>
      </c>
      <c r="N612">
        <v>0.52991539831380474</v>
      </c>
      <c r="O612">
        <v>-0.30615257007188162</v>
      </c>
      <c r="P612">
        <v>81578001.023364425</v>
      </c>
      <c r="Q612">
        <v>0</v>
      </c>
      <c r="R612" t="s">
        <v>410</v>
      </c>
      <c r="S612" t="s">
        <v>302</v>
      </c>
      <c r="T612" t="s">
        <v>432</v>
      </c>
      <c r="U612">
        <v>12700</v>
      </c>
      <c r="V612">
        <v>220</v>
      </c>
      <c r="W612">
        <v>12480</v>
      </c>
    </row>
    <row r="613" spans="1:23" x14ac:dyDescent="0.3">
      <c r="A613" t="s">
        <v>1627</v>
      </c>
      <c r="B613">
        <v>2022</v>
      </c>
      <c r="C613">
        <v>1.3619732474446991</v>
      </c>
      <c r="D613">
        <v>6940</v>
      </c>
      <c r="E613">
        <v>0</v>
      </c>
      <c r="F613">
        <v>6</v>
      </c>
      <c r="G613">
        <v>232</v>
      </c>
      <c r="H613">
        <v>6.2048904286600003E-4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0.4374571306185272</v>
      </c>
      <c r="O613">
        <v>-0.2660776263223571</v>
      </c>
      <c r="P613">
        <v>107447580.265745</v>
      </c>
      <c r="Q613">
        <v>0</v>
      </c>
      <c r="R613" t="s">
        <v>410</v>
      </c>
      <c r="S613" t="s">
        <v>433</v>
      </c>
      <c r="T613" t="s">
        <v>434</v>
      </c>
      <c r="U613">
        <v>6622</v>
      </c>
      <c r="V613">
        <v>2263</v>
      </c>
      <c r="W613">
        <v>4359</v>
      </c>
    </row>
    <row r="614" spans="1:23" x14ac:dyDescent="0.3">
      <c r="A614" t="s">
        <v>1628</v>
      </c>
      <c r="B614">
        <v>2022</v>
      </c>
      <c r="C614">
        <v>1.5838538366266961</v>
      </c>
      <c r="D614">
        <v>7664</v>
      </c>
      <c r="E614">
        <v>0</v>
      </c>
      <c r="F614">
        <v>1</v>
      </c>
      <c r="G614">
        <v>264</v>
      </c>
      <c r="H614">
        <v>1.0377343772410999E-3</v>
      </c>
      <c r="I614">
        <v>10</v>
      </c>
      <c r="J614">
        <v>0</v>
      </c>
      <c r="K614">
        <v>0</v>
      </c>
      <c r="L614">
        <v>0</v>
      </c>
      <c r="M614">
        <v>0</v>
      </c>
      <c r="N614">
        <v>0.46521375594102449</v>
      </c>
      <c r="O614">
        <v>-0.14550667550161861</v>
      </c>
      <c r="P614">
        <v>81399575.070738301</v>
      </c>
      <c r="Q614">
        <v>0</v>
      </c>
      <c r="R614" t="s">
        <v>410</v>
      </c>
      <c r="S614" t="s">
        <v>446</v>
      </c>
      <c r="T614" t="s">
        <v>218</v>
      </c>
      <c r="U614">
        <v>7309</v>
      </c>
      <c r="V614">
        <v>444</v>
      </c>
      <c r="W614">
        <v>6865</v>
      </c>
    </row>
    <row r="615" spans="1:23" x14ac:dyDescent="0.3">
      <c r="A615" t="s">
        <v>1629</v>
      </c>
      <c r="B615">
        <v>2022</v>
      </c>
      <c r="C615">
        <v>2.8849409392643541</v>
      </c>
      <c r="D615">
        <v>8870</v>
      </c>
      <c r="E615">
        <v>0</v>
      </c>
      <c r="F615">
        <v>2</v>
      </c>
      <c r="G615">
        <v>204</v>
      </c>
      <c r="H615">
        <v>1.0370928862936E-3</v>
      </c>
      <c r="I615">
        <v>10</v>
      </c>
      <c r="J615">
        <v>7.69230769230769E-2</v>
      </c>
      <c r="K615">
        <v>1</v>
      </c>
      <c r="L615">
        <v>0</v>
      </c>
      <c r="M615">
        <v>0</v>
      </c>
      <c r="N615">
        <v>0.44838779008897328</v>
      </c>
      <c r="O615">
        <v>-0.22538028769048529</v>
      </c>
      <c r="P615">
        <v>93681096.890454203</v>
      </c>
      <c r="Q615">
        <v>0</v>
      </c>
      <c r="R615" t="s">
        <v>410</v>
      </c>
      <c r="S615" t="s">
        <v>450</v>
      </c>
      <c r="T615" t="s">
        <v>451</v>
      </c>
      <c r="U615">
        <v>8461</v>
      </c>
      <c r="V615">
        <v>2100</v>
      </c>
      <c r="W615">
        <v>6361</v>
      </c>
    </row>
    <row r="616" spans="1:23" x14ac:dyDescent="0.3">
      <c r="A616" t="s">
        <v>1630</v>
      </c>
      <c r="B616">
        <v>2022</v>
      </c>
      <c r="C616">
        <v>1.870820350363336</v>
      </c>
      <c r="D616">
        <v>17239</v>
      </c>
      <c r="E616">
        <v>0</v>
      </c>
      <c r="F616">
        <v>3</v>
      </c>
      <c r="G616">
        <v>301</v>
      </c>
      <c r="H616">
        <v>4.5073859384370002E-4</v>
      </c>
      <c r="I616">
        <v>12</v>
      </c>
      <c r="J616">
        <v>0</v>
      </c>
      <c r="K616">
        <v>0</v>
      </c>
      <c r="L616">
        <v>0</v>
      </c>
      <c r="M616">
        <v>0</v>
      </c>
      <c r="N616">
        <v>0.5061548952402225</v>
      </c>
      <c r="O616">
        <v>-0.31516800244953608</v>
      </c>
      <c r="P616">
        <v>132292511.0987913</v>
      </c>
      <c r="Q616">
        <v>0</v>
      </c>
      <c r="R616" t="s">
        <v>410</v>
      </c>
      <c r="S616" t="s">
        <v>58</v>
      </c>
      <c r="T616" t="s">
        <v>58</v>
      </c>
      <c r="U616">
        <v>16445</v>
      </c>
      <c r="V616">
        <v>4874</v>
      </c>
      <c r="W616">
        <v>11571</v>
      </c>
    </row>
    <row r="617" spans="1:23" x14ac:dyDescent="0.3">
      <c r="A617" t="s">
        <v>1631</v>
      </c>
      <c r="B617">
        <v>2022</v>
      </c>
      <c r="C617">
        <v>1.2769508610148621</v>
      </c>
      <c r="D617">
        <v>13613</v>
      </c>
      <c r="E617">
        <v>0</v>
      </c>
      <c r="F617">
        <v>989</v>
      </c>
      <c r="G617">
        <v>431</v>
      </c>
      <c r="H617">
        <v>4.2091560329970002E-4</v>
      </c>
      <c r="I617">
        <v>41</v>
      </c>
      <c r="J617">
        <v>0</v>
      </c>
      <c r="K617">
        <v>0</v>
      </c>
      <c r="L617">
        <v>0</v>
      </c>
      <c r="M617">
        <v>0</v>
      </c>
      <c r="N617">
        <v>0.4733797814461701</v>
      </c>
      <c r="O617">
        <v>-0.29750089153905979</v>
      </c>
      <c r="P617">
        <v>158346341.70559561</v>
      </c>
      <c r="Q617">
        <v>0</v>
      </c>
      <c r="R617" t="s">
        <v>410</v>
      </c>
      <c r="S617" t="s">
        <v>58</v>
      </c>
      <c r="T617" t="s">
        <v>456</v>
      </c>
      <c r="U617">
        <v>12968</v>
      </c>
      <c r="V617">
        <v>3368</v>
      </c>
      <c r="W617">
        <v>9600</v>
      </c>
    </row>
    <row r="618" spans="1:23" x14ac:dyDescent="0.3">
      <c r="A618" t="s">
        <v>1632</v>
      </c>
      <c r="B618">
        <v>2022</v>
      </c>
      <c r="C618">
        <v>1.4238927174470959</v>
      </c>
      <c r="D618">
        <v>13831</v>
      </c>
      <c r="E618">
        <v>0</v>
      </c>
      <c r="F618">
        <v>19</v>
      </c>
      <c r="G618">
        <v>550</v>
      </c>
      <c r="H618">
        <v>5.5555214024549996E-4</v>
      </c>
      <c r="I618">
        <v>6</v>
      </c>
      <c r="J618">
        <v>0</v>
      </c>
      <c r="K618">
        <v>0</v>
      </c>
      <c r="L618">
        <v>0</v>
      </c>
      <c r="M618">
        <v>2</v>
      </c>
      <c r="N618">
        <v>0.40361217354683609</v>
      </c>
      <c r="O618">
        <v>-0.29964639148364069</v>
      </c>
      <c r="P618">
        <v>253401470.33544189</v>
      </c>
      <c r="Q618">
        <v>0</v>
      </c>
      <c r="R618" t="s">
        <v>410</v>
      </c>
      <c r="S618" t="s">
        <v>457</v>
      </c>
      <c r="T618" t="s">
        <v>457</v>
      </c>
      <c r="U618">
        <v>13171</v>
      </c>
      <c r="V618">
        <v>7935</v>
      </c>
      <c r="W618">
        <v>5236</v>
      </c>
    </row>
    <row r="619" spans="1:23" x14ac:dyDescent="0.3">
      <c r="A619" t="s">
        <v>1633</v>
      </c>
      <c r="B619">
        <v>2022</v>
      </c>
      <c r="C619">
        <v>1.157154641234091</v>
      </c>
      <c r="D619">
        <v>12343</v>
      </c>
      <c r="E619">
        <v>0</v>
      </c>
      <c r="F619">
        <v>8</v>
      </c>
      <c r="G619">
        <v>428</v>
      </c>
      <c r="H619">
        <v>8.0469013061119996E-4</v>
      </c>
      <c r="I619">
        <v>12</v>
      </c>
      <c r="J619">
        <v>0</v>
      </c>
      <c r="K619">
        <v>0</v>
      </c>
      <c r="L619">
        <v>0</v>
      </c>
      <c r="M619">
        <v>0</v>
      </c>
      <c r="N619">
        <v>0.3401149271661158</v>
      </c>
      <c r="O619">
        <v>-0.1948038781343108</v>
      </c>
      <c r="P619">
        <v>141736517.71843961</v>
      </c>
      <c r="Q619">
        <v>0</v>
      </c>
      <c r="R619" t="s">
        <v>410</v>
      </c>
      <c r="S619" t="s">
        <v>461</v>
      </c>
      <c r="T619" t="s">
        <v>462</v>
      </c>
      <c r="U619">
        <v>11804</v>
      </c>
      <c r="V619">
        <v>6319</v>
      </c>
      <c r="W619">
        <v>5485</v>
      </c>
    </row>
    <row r="620" spans="1:23" x14ac:dyDescent="0.3">
      <c r="A620" t="s">
        <v>1634</v>
      </c>
      <c r="B620">
        <v>2022</v>
      </c>
      <c r="C620">
        <v>2.2325122157932098</v>
      </c>
      <c r="D620">
        <v>3727</v>
      </c>
      <c r="E620">
        <v>0</v>
      </c>
      <c r="F620">
        <v>17</v>
      </c>
      <c r="G620">
        <v>206</v>
      </c>
      <c r="H620">
        <v>2.6776277124690001E-4</v>
      </c>
      <c r="I620">
        <v>10</v>
      </c>
      <c r="J620">
        <v>0</v>
      </c>
      <c r="K620">
        <v>0</v>
      </c>
      <c r="L620">
        <v>0</v>
      </c>
      <c r="M620">
        <v>4</v>
      </c>
      <c r="N620">
        <v>0.49812191088148677</v>
      </c>
      <c r="O620">
        <v>-0.33014669164414479</v>
      </c>
      <c r="P620">
        <v>117651872.8567452</v>
      </c>
      <c r="Q620">
        <v>0</v>
      </c>
      <c r="R620" t="s">
        <v>464</v>
      </c>
      <c r="S620" t="s">
        <v>465</v>
      </c>
      <c r="T620" t="s">
        <v>468</v>
      </c>
      <c r="U620">
        <v>3561</v>
      </c>
      <c r="V620">
        <v>955</v>
      </c>
      <c r="W620">
        <v>2606</v>
      </c>
    </row>
    <row r="621" spans="1:23" x14ac:dyDescent="0.3">
      <c r="A621" t="s">
        <v>1635</v>
      </c>
      <c r="B621">
        <v>2022</v>
      </c>
      <c r="C621">
        <v>0.70462754611433864</v>
      </c>
      <c r="D621">
        <v>3416</v>
      </c>
      <c r="E621">
        <v>0</v>
      </c>
      <c r="F621">
        <v>52</v>
      </c>
      <c r="G621">
        <v>109</v>
      </c>
      <c r="H621">
        <v>5.6242571457560005E-4</v>
      </c>
      <c r="I621">
        <v>6</v>
      </c>
      <c r="J621">
        <v>0</v>
      </c>
      <c r="K621">
        <v>0</v>
      </c>
      <c r="L621">
        <v>0</v>
      </c>
      <c r="M621">
        <v>17</v>
      </c>
      <c r="N621">
        <v>0.39616744953788302</v>
      </c>
      <c r="O621">
        <v>-0.25965092288578479</v>
      </c>
      <c r="P621">
        <v>273214162.14278638</v>
      </c>
      <c r="Q621">
        <v>0</v>
      </c>
      <c r="R621" t="s">
        <v>464</v>
      </c>
      <c r="S621" t="s">
        <v>465</v>
      </c>
      <c r="T621" t="s">
        <v>469</v>
      </c>
      <c r="U621">
        <v>3251</v>
      </c>
      <c r="V621">
        <v>961</v>
      </c>
      <c r="W621">
        <v>2290</v>
      </c>
    </row>
    <row r="622" spans="1:23" x14ac:dyDescent="0.3">
      <c r="A622" t="s">
        <v>1636</v>
      </c>
      <c r="B622">
        <v>2022</v>
      </c>
      <c r="C622">
        <v>0.71518262061935933</v>
      </c>
      <c r="D622">
        <v>4159</v>
      </c>
      <c r="E622">
        <v>0</v>
      </c>
      <c r="F622">
        <v>93</v>
      </c>
      <c r="G622">
        <v>111</v>
      </c>
      <c r="H622">
        <v>4.3421538248649999E-4</v>
      </c>
      <c r="I622">
        <v>8</v>
      </c>
      <c r="J622">
        <v>0</v>
      </c>
      <c r="K622">
        <v>0</v>
      </c>
      <c r="L622">
        <v>0</v>
      </c>
      <c r="M622">
        <v>3</v>
      </c>
      <c r="N622">
        <v>0.361394223639801</v>
      </c>
      <c r="O622">
        <v>-0.16684655942680379</v>
      </c>
      <c r="P622">
        <v>238352409.4545978</v>
      </c>
      <c r="Q622">
        <v>0</v>
      </c>
      <c r="R622" t="s">
        <v>464</v>
      </c>
      <c r="S622" t="s">
        <v>465</v>
      </c>
      <c r="T622" t="s">
        <v>471</v>
      </c>
      <c r="U622">
        <v>3944</v>
      </c>
      <c r="V622">
        <v>1200</v>
      </c>
      <c r="W622">
        <v>2744</v>
      </c>
    </row>
    <row r="623" spans="1:23" x14ac:dyDescent="0.3">
      <c r="A623" t="s">
        <v>1637</v>
      </c>
      <c r="B623">
        <v>2022</v>
      </c>
      <c r="C623">
        <v>0.58806290949327589</v>
      </c>
      <c r="D623">
        <v>2031</v>
      </c>
      <c r="E623">
        <v>0</v>
      </c>
      <c r="F623">
        <v>1</v>
      </c>
      <c r="G623">
        <v>69</v>
      </c>
      <c r="H623">
        <v>4.3299302174840002E-4</v>
      </c>
      <c r="I623">
        <v>3</v>
      </c>
      <c r="J623">
        <v>0</v>
      </c>
      <c r="K623">
        <v>0</v>
      </c>
      <c r="L623">
        <v>0</v>
      </c>
      <c r="M623">
        <v>4</v>
      </c>
      <c r="P623">
        <v>202140960.73904571</v>
      </c>
      <c r="Q623">
        <v>0</v>
      </c>
      <c r="R623" t="s">
        <v>464</v>
      </c>
      <c r="S623" t="s">
        <v>477</v>
      </c>
      <c r="T623" t="s">
        <v>478</v>
      </c>
      <c r="U623">
        <v>1923</v>
      </c>
      <c r="V623">
        <v>642</v>
      </c>
      <c r="W623">
        <v>1281</v>
      </c>
    </row>
    <row r="624" spans="1:23" x14ac:dyDescent="0.3">
      <c r="A624" t="s">
        <v>1638</v>
      </c>
      <c r="B624">
        <v>2022</v>
      </c>
      <c r="C624">
        <v>0.7582702262753136</v>
      </c>
      <c r="D624">
        <v>1867</v>
      </c>
      <c r="E624">
        <v>0</v>
      </c>
      <c r="F624">
        <v>56</v>
      </c>
      <c r="G624">
        <v>90</v>
      </c>
      <c r="H624">
        <v>3.4758334745219998E-4</v>
      </c>
      <c r="I624">
        <v>9</v>
      </c>
      <c r="J624">
        <v>0</v>
      </c>
      <c r="K624">
        <v>0</v>
      </c>
      <c r="L624">
        <v>0</v>
      </c>
      <c r="M624">
        <v>9</v>
      </c>
      <c r="P624">
        <v>122581287.152991</v>
      </c>
      <c r="Q624">
        <v>0</v>
      </c>
      <c r="R624" t="s">
        <v>464</v>
      </c>
      <c r="S624" t="s">
        <v>477</v>
      </c>
      <c r="T624" t="s">
        <v>480</v>
      </c>
      <c r="U624">
        <v>1778</v>
      </c>
      <c r="V624">
        <v>610</v>
      </c>
      <c r="W624">
        <v>1168</v>
      </c>
    </row>
    <row r="625" spans="1:23" x14ac:dyDescent="0.3">
      <c r="A625" t="s">
        <v>1639</v>
      </c>
      <c r="B625">
        <v>2022</v>
      </c>
      <c r="C625">
        <v>0.66376032188861933</v>
      </c>
      <c r="D625">
        <v>344</v>
      </c>
      <c r="E625">
        <v>0</v>
      </c>
      <c r="F625">
        <v>12</v>
      </c>
      <c r="G625">
        <v>21</v>
      </c>
      <c r="H625">
        <v>8.0450496862000001E-4</v>
      </c>
      <c r="I625">
        <v>3</v>
      </c>
      <c r="J625">
        <v>0</v>
      </c>
      <c r="K625">
        <v>0</v>
      </c>
      <c r="L625">
        <v>0</v>
      </c>
      <c r="M625">
        <v>3</v>
      </c>
      <c r="P625">
        <v>76202922.069580302</v>
      </c>
      <c r="Q625">
        <v>0</v>
      </c>
      <c r="R625" t="s">
        <v>464</v>
      </c>
      <c r="S625" t="s">
        <v>477</v>
      </c>
      <c r="T625" t="s">
        <v>481</v>
      </c>
      <c r="U625">
        <v>328</v>
      </c>
      <c r="V625">
        <v>115</v>
      </c>
      <c r="W625">
        <v>213</v>
      </c>
    </row>
    <row r="626" spans="1:23" x14ac:dyDescent="0.3">
      <c r="A626" t="s">
        <v>1640</v>
      </c>
      <c r="B626">
        <v>2022</v>
      </c>
      <c r="C626">
        <v>0.58803275362538476</v>
      </c>
      <c r="D626">
        <v>1745</v>
      </c>
      <c r="E626">
        <v>0</v>
      </c>
      <c r="F626">
        <v>172</v>
      </c>
      <c r="G626">
        <v>62</v>
      </c>
      <c r="H626">
        <v>5.1294400491789995E-4</v>
      </c>
      <c r="I626">
        <v>1</v>
      </c>
      <c r="J626">
        <v>0</v>
      </c>
      <c r="K626">
        <v>0</v>
      </c>
      <c r="L626">
        <v>0</v>
      </c>
      <c r="M626">
        <v>5</v>
      </c>
      <c r="P626">
        <v>181933669.5255892</v>
      </c>
      <c r="Q626">
        <v>0</v>
      </c>
      <c r="R626" t="s">
        <v>464</v>
      </c>
      <c r="S626" t="s">
        <v>477</v>
      </c>
      <c r="T626" t="s">
        <v>483</v>
      </c>
      <c r="U626">
        <v>1658</v>
      </c>
      <c r="V626">
        <v>585</v>
      </c>
      <c r="W626">
        <v>1073</v>
      </c>
    </row>
    <row r="627" spans="1:23" x14ac:dyDescent="0.3">
      <c r="A627" t="s">
        <v>1641</v>
      </c>
      <c r="B627">
        <v>2022</v>
      </c>
      <c r="C627">
        <v>3.5591918237709081</v>
      </c>
      <c r="D627">
        <v>7788</v>
      </c>
      <c r="E627">
        <v>0</v>
      </c>
      <c r="F627">
        <v>15</v>
      </c>
      <c r="G627">
        <v>269</v>
      </c>
      <c r="H627">
        <v>6.4543018066250005E-4</v>
      </c>
      <c r="I627">
        <v>5</v>
      </c>
      <c r="J627">
        <v>0</v>
      </c>
      <c r="K627">
        <v>0</v>
      </c>
      <c r="L627">
        <v>0</v>
      </c>
      <c r="M627">
        <v>2</v>
      </c>
      <c r="N627">
        <v>0.46692879877302879</v>
      </c>
      <c r="O627">
        <v>-0.32743142142952858</v>
      </c>
      <c r="P627">
        <v>50251293.617918268</v>
      </c>
      <c r="Q627">
        <v>0</v>
      </c>
      <c r="R627" t="s">
        <v>464</v>
      </c>
      <c r="S627" t="s">
        <v>485</v>
      </c>
      <c r="T627" t="s">
        <v>488</v>
      </c>
      <c r="U627">
        <v>7433</v>
      </c>
      <c r="V627">
        <v>3938</v>
      </c>
      <c r="W627">
        <v>3495</v>
      </c>
    </row>
    <row r="628" spans="1:23" x14ac:dyDescent="0.3">
      <c r="A628" t="s">
        <v>1642</v>
      </c>
      <c r="B628">
        <v>2022</v>
      </c>
      <c r="C628">
        <v>8.0906380694027344</v>
      </c>
      <c r="D628">
        <v>9740</v>
      </c>
      <c r="E628">
        <v>0</v>
      </c>
      <c r="F628">
        <v>4</v>
      </c>
      <c r="G628">
        <v>244</v>
      </c>
      <c r="H628">
        <v>1.4976690199192001E-3</v>
      </c>
      <c r="I628">
        <v>9</v>
      </c>
      <c r="J628">
        <v>0</v>
      </c>
      <c r="K628">
        <v>0</v>
      </c>
      <c r="L628">
        <v>0</v>
      </c>
      <c r="M628">
        <v>3</v>
      </c>
      <c r="N628">
        <v>0.3789361338567287</v>
      </c>
      <c r="O628">
        <v>-0.24757995517848269</v>
      </c>
      <c r="P628">
        <v>20466421.83139104</v>
      </c>
      <c r="Q628">
        <v>0</v>
      </c>
      <c r="R628" t="s">
        <v>464</v>
      </c>
      <c r="S628" t="s">
        <v>485</v>
      </c>
      <c r="T628" t="s">
        <v>491</v>
      </c>
      <c r="U628">
        <v>9299</v>
      </c>
      <c r="V628">
        <v>3599</v>
      </c>
      <c r="W628">
        <v>5700</v>
      </c>
    </row>
    <row r="629" spans="1:23" x14ac:dyDescent="0.3">
      <c r="A629" t="s">
        <v>1643</v>
      </c>
      <c r="B629">
        <v>2022</v>
      </c>
      <c r="C629">
        <v>3.8239920996812189</v>
      </c>
      <c r="D629">
        <v>11676</v>
      </c>
      <c r="E629">
        <v>0</v>
      </c>
      <c r="F629">
        <v>4</v>
      </c>
      <c r="G629">
        <v>407</v>
      </c>
      <c r="H629">
        <v>6.8019047769870005E-4</v>
      </c>
      <c r="I629">
        <v>11</v>
      </c>
      <c r="J629">
        <v>0</v>
      </c>
      <c r="K629">
        <v>0</v>
      </c>
      <c r="L629">
        <v>0</v>
      </c>
      <c r="M629">
        <v>1</v>
      </c>
      <c r="N629">
        <v>0.42088630992572379</v>
      </c>
      <c r="O629">
        <v>-0.26510862034930838</v>
      </c>
      <c r="P629">
        <v>63788413.313485682</v>
      </c>
      <c r="Q629">
        <v>0</v>
      </c>
      <c r="R629" t="s">
        <v>464</v>
      </c>
      <c r="S629" t="s">
        <v>485</v>
      </c>
      <c r="T629" t="s">
        <v>124</v>
      </c>
      <c r="U629">
        <v>11114</v>
      </c>
      <c r="V629">
        <v>6728</v>
      </c>
      <c r="W629">
        <v>4386</v>
      </c>
    </row>
    <row r="630" spans="1:23" x14ac:dyDescent="0.3">
      <c r="A630" t="s">
        <v>1644</v>
      </c>
      <c r="B630">
        <v>2022</v>
      </c>
      <c r="C630">
        <v>6.2843697376117857</v>
      </c>
      <c r="D630">
        <v>5427</v>
      </c>
      <c r="E630">
        <v>0</v>
      </c>
      <c r="F630">
        <v>6</v>
      </c>
      <c r="G630">
        <v>323</v>
      </c>
      <c r="H630">
        <v>1.1803896452331E-3</v>
      </c>
      <c r="I630">
        <v>5</v>
      </c>
      <c r="J630">
        <v>0.3</v>
      </c>
      <c r="K630">
        <v>2</v>
      </c>
      <c r="L630">
        <v>0</v>
      </c>
      <c r="M630">
        <v>4</v>
      </c>
      <c r="N630">
        <v>0.40409568685846231</v>
      </c>
      <c r="O630">
        <v>-0.2848770258756862</v>
      </c>
      <c r="P630">
        <v>17893271.17684342</v>
      </c>
      <c r="Q630">
        <v>0</v>
      </c>
      <c r="R630" t="s">
        <v>464</v>
      </c>
      <c r="S630" t="s">
        <v>485</v>
      </c>
      <c r="T630" t="s">
        <v>175</v>
      </c>
      <c r="U630">
        <v>5179</v>
      </c>
      <c r="V630">
        <v>1895</v>
      </c>
      <c r="W630">
        <v>3284</v>
      </c>
    </row>
    <row r="631" spans="1:23" x14ac:dyDescent="0.3">
      <c r="A631" t="s">
        <v>1645</v>
      </c>
      <c r="B631">
        <v>2022</v>
      </c>
      <c r="C631">
        <v>0.76205072314969557</v>
      </c>
      <c r="D631">
        <v>1364</v>
      </c>
      <c r="E631">
        <v>0</v>
      </c>
      <c r="F631">
        <v>2</v>
      </c>
      <c r="G631">
        <v>43</v>
      </c>
      <c r="H631">
        <v>6.6622207550220004E-4</v>
      </c>
      <c r="I631">
        <v>1</v>
      </c>
      <c r="J631">
        <v>0</v>
      </c>
      <c r="K631">
        <v>0</v>
      </c>
      <c r="L631">
        <v>0</v>
      </c>
      <c r="M631">
        <v>6</v>
      </c>
      <c r="P631">
        <v>86319404.845094442</v>
      </c>
      <c r="Q631">
        <v>0</v>
      </c>
      <c r="R631" t="s">
        <v>464</v>
      </c>
      <c r="S631" t="s">
        <v>485</v>
      </c>
      <c r="T631" t="s">
        <v>370</v>
      </c>
      <c r="U631">
        <v>1300</v>
      </c>
      <c r="V631">
        <v>145</v>
      </c>
      <c r="W631">
        <v>1155</v>
      </c>
    </row>
    <row r="632" spans="1:23" x14ac:dyDescent="0.3">
      <c r="A632" t="s">
        <v>1646</v>
      </c>
      <c r="B632">
        <v>2022</v>
      </c>
      <c r="C632">
        <v>0.80591971020440312</v>
      </c>
      <c r="D632">
        <v>1354</v>
      </c>
      <c r="E632">
        <v>0</v>
      </c>
      <c r="F632">
        <v>34</v>
      </c>
      <c r="G632">
        <v>89</v>
      </c>
      <c r="H632">
        <v>5.9028051611389998E-4</v>
      </c>
      <c r="I632">
        <v>4</v>
      </c>
      <c r="J632">
        <v>0</v>
      </c>
      <c r="K632">
        <v>0</v>
      </c>
      <c r="L632">
        <v>0</v>
      </c>
      <c r="M632">
        <v>2</v>
      </c>
      <c r="N632">
        <v>0.50149609087501013</v>
      </c>
      <c r="O632">
        <v>-0.27380902876835811</v>
      </c>
      <c r="P632">
        <v>131440574.56117199</v>
      </c>
      <c r="Q632">
        <v>0</v>
      </c>
      <c r="R632" t="s">
        <v>464</v>
      </c>
      <c r="S632" t="s">
        <v>492</v>
      </c>
      <c r="T632" t="s">
        <v>494</v>
      </c>
      <c r="U632">
        <v>1294</v>
      </c>
      <c r="V632">
        <v>348</v>
      </c>
      <c r="W632">
        <v>946</v>
      </c>
    </row>
    <row r="633" spans="1:23" x14ac:dyDescent="0.3">
      <c r="A633" t="s">
        <v>1647</v>
      </c>
      <c r="B633">
        <v>2022</v>
      </c>
      <c r="C633">
        <v>0.76644017272906184</v>
      </c>
      <c r="D633">
        <v>1023</v>
      </c>
      <c r="E633">
        <v>0</v>
      </c>
      <c r="F633">
        <v>1</v>
      </c>
      <c r="G633">
        <v>79</v>
      </c>
      <c r="H633">
        <v>5.1961297032459999E-4</v>
      </c>
      <c r="I633">
        <v>2</v>
      </c>
      <c r="J633">
        <v>0</v>
      </c>
      <c r="K633">
        <v>0</v>
      </c>
      <c r="L633">
        <v>0</v>
      </c>
      <c r="M633">
        <v>1</v>
      </c>
      <c r="N633">
        <v>0.44642289109208311</v>
      </c>
      <c r="O633">
        <v>-0.20831686714087899</v>
      </c>
      <c r="P633">
        <v>166080741.12578499</v>
      </c>
      <c r="Q633">
        <v>0</v>
      </c>
      <c r="R633" t="s">
        <v>464</v>
      </c>
      <c r="S633" t="s">
        <v>492</v>
      </c>
      <c r="T633" t="s">
        <v>495</v>
      </c>
      <c r="U633">
        <v>976</v>
      </c>
      <c r="V633">
        <v>327</v>
      </c>
      <c r="W633">
        <v>649</v>
      </c>
    </row>
    <row r="634" spans="1:23" x14ac:dyDescent="0.3">
      <c r="A634" t="s">
        <v>1648</v>
      </c>
      <c r="B634">
        <v>2022</v>
      </c>
      <c r="C634">
        <v>0.79074983951973976</v>
      </c>
      <c r="D634">
        <v>1964</v>
      </c>
      <c r="E634">
        <v>0</v>
      </c>
      <c r="F634">
        <v>1</v>
      </c>
      <c r="G634">
        <v>123</v>
      </c>
      <c r="H634">
        <v>5.6207026887319998E-4</v>
      </c>
      <c r="I634">
        <v>6</v>
      </c>
      <c r="J634">
        <v>0</v>
      </c>
      <c r="K634">
        <v>0</v>
      </c>
      <c r="L634">
        <v>0</v>
      </c>
      <c r="M634">
        <v>3</v>
      </c>
      <c r="N634">
        <v>0.45275401435356671</v>
      </c>
      <c r="O634">
        <v>-0.33718832375892221</v>
      </c>
      <c r="P634">
        <v>126570077.3661287</v>
      </c>
      <c r="Q634">
        <v>0</v>
      </c>
      <c r="R634" t="s">
        <v>464</v>
      </c>
      <c r="S634" t="s">
        <v>496</v>
      </c>
      <c r="T634" t="s">
        <v>498</v>
      </c>
      <c r="U634">
        <v>1871</v>
      </c>
      <c r="V634">
        <v>789</v>
      </c>
      <c r="W634">
        <v>1082</v>
      </c>
    </row>
    <row r="635" spans="1:23" x14ac:dyDescent="0.3">
      <c r="A635" t="s">
        <v>1649</v>
      </c>
      <c r="B635">
        <v>2022</v>
      </c>
      <c r="C635">
        <v>0.59089435858139117</v>
      </c>
      <c r="D635">
        <v>2102</v>
      </c>
      <c r="E635">
        <v>0</v>
      </c>
      <c r="F635">
        <v>1</v>
      </c>
      <c r="G635">
        <v>53</v>
      </c>
      <c r="H635">
        <v>4.9164190652759997E-4</v>
      </c>
      <c r="I635">
        <v>6</v>
      </c>
      <c r="J635">
        <v>0</v>
      </c>
      <c r="K635">
        <v>0</v>
      </c>
      <c r="L635">
        <v>0</v>
      </c>
      <c r="M635">
        <v>0</v>
      </c>
      <c r="N635">
        <v>0.42762760016390822</v>
      </c>
      <c r="O635">
        <v>-0.24742605276398491</v>
      </c>
      <c r="P635">
        <v>383946899.95892793</v>
      </c>
      <c r="Q635">
        <v>0</v>
      </c>
      <c r="R635" t="s">
        <v>464</v>
      </c>
      <c r="S635" t="s">
        <v>496</v>
      </c>
      <c r="T635" t="s">
        <v>499</v>
      </c>
      <c r="U635">
        <v>1987</v>
      </c>
      <c r="V635">
        <v>450</v>
      </c>
      <c r="W635">
        <v>1537</v>
      </c>
    </row>
    <row r="636" spans="1:23" x14ac:dyDescent="0.3">
      <c r="A636" t="s">
        <v>1650</v>
      </c>
      <c r="B636">
        <v>2022</v>
      </c>
      <c r="C636">
        <v>1.5973477714340341</v>
      </c>
      <c r="D636">
        <v>2452</v>
      </c>
      <c r="E636">
        <v>0</v>
      </c>
      <c r="F636">
        <v>8</v>
      </c>
      <c r="G636">
        <v>77</v>
      </c>
      <c r="H636">
        <v>1.0946319344400999E-3</v>
      </c>
      <c r="I636">
        <v>5</v>
      </c>
      <c r="J636">
        <v>0</v>
      </c>
      <c r="K636">
        <v>0</v>
      </c>
      <c r="L636">
        <v>0</v>
      </c>
      <c r="M636">
        <v>1</v>
      </c>
      <c r="N636">
        <v>0.43939283946782481</v>
      </c>
      <c r="O636">
        <v>-0.3725936747953153</v>
      </c>
      <c r="P636">
        <v>54273869.664724827</v>
      </c>
      <c r="Q636">
        <v>0</v>
      </c>
      <c r="R636" t="s">
        <v>464</v>
      </c>
      <c r="S636" t="s">
        <v>496</v>
      </c>
      <c r="T636" t="s">
        <v>500</v>
      </c>
      <c r="U636">
        <v>2337</v>
      </c>
      <c r="V636">
        <v>1226</v>
      </c>
      <c r="W636">
        <v>1111</v>
      </c>
    </row>
    <row r="637" spans="1:23" x14ac:dyDescent="0.3">
      <c r="A637" t="s">
        <v>1651</v>
      </c>
      <c r="B637">
        <v>2022</v>
      </c>
      <c r="C637">
        <v>2.448569282099716</v>
      </c>
      <c r="D637">
        <v>3693</v>
      </c>
      <c r="E637">
        <v>0</v>
      </c>
      <c r="F637">
        <v>15</v>
      </c>
      <c r="G637">
        <v>124</v>
      </c>
      <c r="H637">
        <v>6.1142022623279996E-4</v>
      </c>
      <c r="I637">
        <v>12</v>
      </c>
      <c r="J637">
        <v>0</v>
      </c>
      <c r="K637">
        <v>0</v>
      </c>
      <c r="L637">
        <v>0</v>
      </c>
      <c r="M637">
        <v>2</v>
      </c>
      <c r="N637">
        <v>0.48408782375052212</v>
      </c>
      <c r="O637">
        <v>-0.36838236637602001</v>
      </c>
      <c r="P637">
        <v>73930605.943475932</v>
      </c>
      <c r="Q637">
        <v>0</v>
      </c>
      <c r="R637" t="s">
        <v>464</v>
      </c>
      <c r="S637" t="s">
        <v>496</v>
      </c>
      <c r="T637" t="s">
        <v>501</v>
      </c>
      <c r="U637">
        <v>3524</v>
      </c>
      <c r="V637">
        <v>1934</v>
      </c>
      <c r="W637">
        <v>1590</v>
      </c>
    </row>
    <row r="638" spans="1:23" x14ac:dyDescent="0.3">
      <c r="A638" t="s">
        <v>1652</v>
      </c>
      <c r="B638">
        <v>2022</v>
      </c>
      <c r="C638">
        <v>2.5765740180102181</v>
      </c>
      <c r="D638">
        <v>1760</v>
      </c>
      <c r="E638">
        <v>0</v>
      </c>
      <c r="F638">
        <v>44</v>
      </c>
      <c r="G638">
        <v>88</v>
      </c>
      <c r="H638">
        <v>1.5357970316335001E-3</v>
      </c>
      <c r="I638">
        <v>5</v>
      </c>
      <c r="J638">
        <v>0</v>
      </c>
      <c r="K638">
        <v>0</v>
      </c>
      <c r="L638">
        <v>0</v>
      </c>
      <c r="M638">
        <v>3</v>
      </c>
      <c r="N638">
        <v>0.38767464381260602</v>
      </c>
      <c r="O638">
        <v>-0.3859155969190986</v>
      </c>
      <c r="P638">
        <v>37610215.512627907</v>
      </c>
      <c r="Q638">
        <v>0</v>
      </c>
      <c r="R638" t="s">
        <v>464</v>
      </c>
      <c r="S638" t="s">
        <v>496</v>
      </c>
      <c r="T638" t="s">
        <v>502</v>
      </c>
      <c r="U638">
        <v>1665</v>
      </c>
      <c r="V638">
        <v>1003</v>
      </c>
      <c r="W638">
        <v>662</v>
      </c>
    </row>
    <row r="639" spans="1:23" x14ac:dyDescent="0.3">
      <c r="A639" t="s">
        <v>1653</v>
      </c>
      <c r="B639">
        <v>2022</v>
      </c>
      <c r="C639">
        <v>1.1681663658262009</v>
      </c>
      <c r="D639">
        <v>1073</v>
      </c>
      <c r="E639">
        <v>0</v>
      </c>
      <c r="F639">
        <v>1</v>
      </c>
      <c r="G639">
        <v>54</v>
      </c>
      <c r="H639">
        <v>1.4093934700718999E-3</v>
      </c>
      <c r="I639">
        <v>6</v>
      </c>
      <c r="J639">
        <v>0</v>
      </c>
      <c r="K639">
        <v>0</v>
      </c>
      <c r="L639">
        <v>0</v>
      </c>
      <c r="M639">
        <v>2</v>
      </c>
      <c r="N639">
        <v>0.49342525730067011</v>
      </c>
      <c r="O639">
        <v>-0.32531325971523201</v>
      </c>
      <c r="P639">
        <v>23970307.839416452</v>
      </c>
      <c r="Q639">
        <v>0</v>
      </c>
      <c r="R639" t="s">
        <v>503</v>
      </c>
      <c r="S639" t="s">
        <v>503</v>
      </c>
      <c r="T639" t="s">
        <v>504</v>
      </c>
      <c r="U639">
        <v>1025</v>
      </c>
      <c r="V639">
        <v>184</v>
      </c>
      <c r="W639">
        <v>841</v>
      </c>
    </row>
    <row r="640" spans="1:23" x14ac:dyDescent="0.3">
      <c r="A640" t="s">
        <v>1654</v>
      </c>
      <c r="B640">
        <v>2022</v>
      </c>
      <c r="C640">
        <v>0.77436472153633706</v>
      </c>
      <c r="D640">
        <v>2213</v>
      </c>
      <c r="E640">
        <v>0</v>
      </c>
      <c r="F640">
        <v>1</v>
      </c>
      <c r="G640">
        <v>129</v>
      </c>
      <c r="H640">
        <v>4.1643074424999998E-4</v>
      </c>
      <c r="I640">
        <v>2</v>
      </c>
      <c r="J640">
        <v>0</v>
      </c>
      <c r="K640">
        <v>0</v>
      </c>
      <c r="L640">
        <v>0</v>
      </c>
      <c r="M640">
        <v>3</v>
      </c>
      <c r="N640">
        <v>0.48442441346187842</v>
      </c>
      <c r="O640">
        <v>-0.3314908574598639</v>
      </c>
      <c r="P640">
        <v>71938586.454114854</v>
      </c>
      <c r="Q640">
        <v>0</v>
      </c>
      <c r="R640" t="s">
        <v>503</v>
      </c>
      <c r="S640" t="s">
        <v>503</v>
      </c>
      <c r="T640" t="s">
        <v>505</v>
      </c>
      <c r="U640">
        <v>2111</v>
      </c>
      <c r="V640">
        <v>369</v>
      </c>
      <c r="W640">
        <v>1742</v>
      </c>
    </row>
    <row r="641" spans="1:23" x14ac:dyDescent="0.3">
      <c r="A641" t="s">
        <v>1655</v>
      </c>
      <c r="B641">
        <v>2022</v>
      </c>
      <c r="C641">
        <v>0.88036339012429876</v>
      </c>
      <c r="D641">
        <v>1368</v>
      </c>
      <c r="E641">
        <v>0</v>
      </c>
      <c r="F641">
        <v>51</v>
      </c>
      <c r="G641">
        <v>65</v>
      </c>
      <c r="H641">
        <v>9.7464920888210005E-4</v>
      </c>
      <c r="I641">
        <v>9</v>
      </c>
      <c r="J641">
        <v>0</v>
      </c>
      <c r="K641">
        <v>0</v>
      </c>
      <c r="L641">
        <v>0</v>
      </c>
      <c r="M641">
        <v>4</v>
      </c>
      <c r="N641">
        <v>0.52639878849390909</v>
      </c>
      <c r="O641">
        <v>-0.27225165895460568</v>
      </c>
      <c r="P641">
        <v>67078879.769561611</v>
      </c>
      <c r="Q641">
        <v>0</v>
      </c>
      <c r="R641" t="s">
        <v>503</v>
      </c>
      <c r="S641" t="s">
        <v>503</v>
      </c>
      <c r="T641" t="s">
        <v>511</v>
      </c>
      <c r="U641">
        <v>1300</v>
      </c>
      <c r="V641">
        <v>829</v>
      </c>
      <c r="W641">
        <v>471</v>
      </c>
    </row>
    <row r="642" spans="1:23" x14ac:dyDescent="0.3">
      <c r="A642" t="s">
        <v>1656</v>
      </c>
      <c r="B642">
        <v>2022</v>
      </c>
      <c r="C642">
        <v>0.66650030712007025</v>
      </c>
      <c r="D642">
        <v>1101</v>
      </c>
      <c r="E642">
        <v>0</v>
      </c>
      <c r="F642">
        <v>3</v>
      </c>
      <c r="G642">
        <v>107</v>
      </c>
      <c r="H642">
        <v>4.9540918790499998E-4</v>
      </c>
      <c r="I642">
        <v>4</v>
      </c>
      <c r="J642">
        <v>0</v>
      </c>
      <c r="K642">
        <v>0</v>
      </c>
      <c r="L642">
        <v>0</v>
      </c>
      <c r="M642">
        <v>2</v>
      </c>
      <c r="N642">
        <v>0.52945930237103644</v>
      </c>
      <c r="O642">
        <v>-0.33220619670223328</v>
      </c>
      <c r="P642">
        <v>101913884.5929054</v>
      </c>
      <c r="Q642">
        <v>0</v>
      </c>
      <c r="R642" t="s">
        <v>503</v>
      </c>
      <c r="S642" t="s">
        <v>503</v>
      </c>
      <c r="T642" t="s">
        <v>125</v>
      </c>
      <c r="U642">
        <v>1051</v>
      </c>
      <c r="V642">
        <v>146</v>
      </c>
      <c r="W642">
        <v>905</v>
      </c>
    </row>
    <row r="643" spans="1:23" x14ac:dyDescent="0.3">
      <c r="A643" t="s">
        <v>1657</v>
      </c>
      <c r="B643">
        <v>2022</v>
      </c>
      <c r="C643">
        <v>1.102564331017523</v>
      </c>
      <c r="D643">
        <v>3897</v>
      </c>
      <c r="E643">
        <v>0</v>
      </c>
      <c r="F643">
        <v>1</v>
      </c>
      <c r="G643">
        <v>96</v>
      </c>
      <c r="H643">
        <v>3.2797575242810001E-4</v>
      </c>
      <c r="I643">
        <v>2</v>
      </c>
      <c r="J643">
        <v>0</v>
      </c>
      <c r="K643">
        <v>0</v>
      </c>
      <c r="L643">
        <v>0</v>
      </c>
      <c r="M643">
        <v>1</v>
      </c>
      <c r="N643">
        <v>0.50420011189954705</v>
      </c>
      <c r="O643">
        <v>-0.33415379682478952</v>
      </c>
      <c r="P643">
        <v>91973565.251810595</v>
      </c>
      <c r="Q643">
        <v>0</v>
      </c>
      <c r="R643" t="s">
        <v>503</v>
      </c>
      <c r="S643" t="s">
        <v>503</v>
      </c>
      <c r="T643" t="s">
        <v>512</v>
      </c>
      <c r="U643">
        <v>3718</v>
      </c>
      <c r="V643">
        <v>656</v>
      </c>
      <c r="W643">
        <v>3062</v>
      </c>
    </row>
    <row r="644" spans="1:23" x14ac:dyDescent="0.3">
      <c r="A644" t="s">
        <v>1658</v>
      </c>
      <c r="B644">
        <v>2022</v>
      </c>
      <c r="C644">
        <v>0.5533196459342089</v>
      </c>
      <c r="D644">
        <v>1481</v>
      </c>
      <c r="E644">
        <v>0</v>
      </c>
      <c r="F644">
        <v>15</v>
      </c>
      <c r="G644">
        <v>70</v>
      </c>
      <c r="H644">
        <v>9.5736206446019999E-4</v>
      </c>
      <c r="I644">
        <v>2</v>
      </c>
      <c r="J644">
        <v>0</v>
      </c>
      <c r="K644">
        <v>0</v>
      </c>
      <c r="L644">
        <v>0</v>
      </c>
      <c r="M644">
        <v>3</v>
      </c>
      <c r="N644">
        <v>0.4826476061373205</v>
      </c>
      <c r="O644">
        <v>-0.25615350201989617</v>
      </c>
      <c r="P644">
        <v>267600363.38128841</v>
      </c>
      <c r="Q644">
        <v>0</v>
      </c>
      <c r="R644" t="s">
        <v>503</v>
      </c>
      <c r="S644" t="s">
        <v>503</v>
      </c>
      <c r="T644" t="s">
        <v>514</v>
      </c>
      <c r="U644">
        <v>1413</v>
      </c>
      <c r="V644">
        <v>644</v>
      </c>
      <c r="W644">
        <v>769</v>
      </c>
    </row>
    <row r="645" spans="1:23" x14ac:dyDescent="0.3">
      <c r="A645" t="s">
        <v>1659</v>
      </c>
      <c r="B645">
        <v>2022</v>
      </c>
      <c r="C645">
        <v>1.5738922743426911</v>
      </c>
      <c r="D645">
        <v>1575</v>
      </c>
      <c r="E645">
        <v>0</v>
      </c>
      <c r="F645">
        <v>1</v>
      </c>
      <c r="G645">
        <v>52</v>
      </c>
      <c r="H645">
        <v>1.140813763432E-3</v>
      </c>
      <c r="I645">
        <v>3</v>
      </c>
      <c r="J645">
        <v>0</v>
      </c>
      <c r="K645">
        <v>0</v>
      </c>
      <c r="L645">
        <v>0</v>
      </c>
      <c r="M645">
        <v>1</v>
      </c>
      <c r="N645">
        <v>0.4899451868489742</v>
      </c>
      <c r="O645">
        <v>-0.34798676169177978</v>
      </c>
      <c r="P645">
        <v>148057766.3201468</v>
      </c>
      <c r="Q645">
        <v>0</v>
      </c>
      <c r="R645" t="s">
        <v>503</v>
      </c>
      <c r="S645" t="s">
        <v>503</v>
      </c>
      <c r="T645" t="s">
        <v>515</v>
      </c>
      <c r="U645">
        <v>1502</v>
      </c>
      <c r="V645">
        <v>716</v>
      </c>
      <c r="W645">
        <v>786</v>
      </c>
    </row>
    <row r="646" spans="1:23" x14ac:dyDescent="0.3">
      <c r="A646" t="s">
        <v>1660</v>
      </c>
      <c r="B646">
        <v>2022</v>
      </c>
      <c r="C646">
        <v>0.50455145336636387</v>
      </c>
      <c r="D646">
        <v>1499</v>
      </c>
      <c r="E646">
        <v>0</v>
      </c>
      <c r="F646">
        <v>1</v>
      </c>
      <c r="G646">
        <v>40</v>
      </c>
      <c r="H646">
        <v>5.6417236952229996E-4</v>
      </c>
      <c r="I646">
        <v>13</v>
      </c>
      <c r="J646">
        <v>0</v>
      </c>
      <c r="K646">
        <v>0</v>
      </c>
      <c r="L646">
        <v>0</v>
      </c>
      <c r="M646">
        <v>15</v>
      </c>
      <c r="N646">
        <v>0.4704347226526604</v>
      </c>
      <c r="O646">
        <v>-0.40173156922293379</v>
      </c>
      <c r="P646">
        <v>192704810.78503671</v>
      </c>
      <c r="Q646">
        <v>0</v>
      </c>
      <c r="R646" t="s">
        <v>503</v>
      </c>
      <c r="S646" t="s">
        <v>516</v>
      </c>
      <c r="T646" t="s">
        <v>518</v>
      </c>
      <c r="U646">
        <v>1430</v>
      </c>
      <c r="V646">
        <v>98</v>
      </c>
      <c r="W646">
        <v>1332</v>
      </c>
    </row>
    <row r="647" spans="1:23" x14ac:dyDescent="0.3">
      <c r="A647" t="s">
        <v>1661</v>
      </c>
      <c r="B647">
        <v>2022</v>
      </c>
      <c r="C647">
        <v>0.7184302241144499</v>
      </c>
      <c r="D647">
        <v>2788</v>
      </c>
      <c r="E647">
        <v>0</v>
      </c>
      <c r="F647">
        <v>50</v>
      </c>
      <c r="G647">
        <v>136</v>
      </c>
      <c r="H647">
        <v>4.5339452501229999E-4</v>
      </c>
      <c r="I647">
        <v>8</v>
      </c>
      <c r="J647">
        <v>0</v>
      </c>
      <c r="K647">
        <v>0</v>
      </c>
      <c r="L647">
        <v>0</v>
      </c>
      <c r="M647">
        <v>8</v>
      </c>
      <c r="N647">
        <v>0.429364419231409</v>
      </c>
      <c r="O647">
        <v>-0.4206647359528588</v>
      </c>
      <c r="P647">
        <v>93438317.975341007</v>
      </c>
      <c r="Q647">
        <v>0</v>
      </c>
      <c r="R647" t="s">
        <v>503</v>
      </c>
      <c r="S647" t="s">
        <v>516</v>
      </c>
      <c r="T647" t="s">
        <v>519</v>
      </c>
      <c r="U647">
        <v>2658</v>
      </c>
      <c r="V647">
        <v>753</v>
      </c>
      <c r="W647">
        <v>1905</v>
      </c>
    </row>
    <row r="648" spans="1:23" x14ac:dyDescent="0.3">
      <c r="A648" t="s">
        <v>1662</v>
      </c>
      <c r="B648">
        <v>2022</v>
      </c>
      <c r="C648">
        <v>0.52067043895770526</v>
      </c>
      <c r="D648">
        <v>1454</v>
      </c>
      <c r="E648">
        <v>0</v>
      </c>
      <c r="F648">
        <v>69</v>
      </c>
      <c r="G648">
        <v>136</v>
      </c>
      <c r="H648">
        <v>4.019218253641E-4</v>
      </c>
      <c r="I648">
        <v>1</v>
      </c>
      <c r="J648">
        <v>0</v>
      </c>
      <c r="K648">
        <v>0</v>
      </c>
      <c r="L648">
        <v>0</v>
      </c>
      <c r="M648">
        <v>4</v>
      </c>
      <c r="N648">
        <v>0.39251180811467862</v>
      </c>
      <c r="O648">
        <v>-0.3922153930958025</v>
      </c>
      <c r="P648">
        <v>98617732.232374087</v>
      </c>
      <c r="Q648">
        <v>0</v>
      </c>
      <c r="R648" t="s">
        <v>503</v>
      </c>
      <c r="S648" t="s">
        <v>516</v>
      </c>
      <c r="T648" t="s">
        <v>521</v>
      </c>
      <c r="U648">
        <v>1381</v>
      </c>
      <c r="V648">
        <v>136</v>
      </c>
      <c r="W648">
        <v>1245</v>
      </c>
    </row>
    <row r="649" spans="1:23" x14ac:dyDescent="0.3">
      <c r="A649" t="s">
        <v>1663</v>
      </c>
      <c r="B649">
        <v>2022</v>
      </c>
      <c r="C649">
        <v>0.86139736026429137</v>
      </c>
      <c r="D649">
        <v>4650</v>
      </c>
      <c r="E649">
        <v>0</v>
      </c>
      <c r="F649">
        <v>80</v>
      </c>
      <c r="G649">
        <v>198</v>
      </c>
      <c r="H649">
        <v>2.0173158154829999E-4</v>
      </c>
      <c r="I649">
        <v>10</v>
      </c>
      <c r="J649">
        <v>0</v>
      </c>
      <c r="K649">
        <v>0</v>
      </c>
      <c r="L649">
        <v>0</v>
      </c>
      <c r="M649">
        <v>3</v>
      </c>
      <c r="N649">
        <v>0.47987316729580171</v>
      </c>
      <c r="O649">
        <v>-0.35682081717635</v>
      </c>
      <c r="P649">
        <v>202974125.57218</v>
      </c>
      <c r="Q649">
        <v>0</v>
      </c>
      <c r="R649" t="s">
        <v>503</v>
      </c>
      <c r="S649" t="s">
        <v>522</v>
      </c>
      <c r="T649" t="s">
        <v>156</v>
      </c>
      <c r="U649">
        <v>4437</v>
      </c>
      <c r="V649">
        <v>1271</v>
      </c>
      <c r="W649">
        <v>3166</v>
      </c>
    </row>
    <row r="650" spans="1:23" x14ac:dyDescent="0.3">
      <c r="A650" t="s">
        <v>1664</v>
      </c>
      <c r="B650">
        <v>2022</v>
      </c>
      <c r="C650">
        <v>0.89931267390508174</v>
      </c>
      <c r="D650">
        <v>2015</v>
      </c>
      <c r="E650">
        <v>0</v>
      </c>
      <c r="F650">
        <v>1</v>
      </c>
      <c r="G650">
        <v>108</v>
      </c>
      <c r="H650">
        <v>4.584520736547E-4</v>
      </c>
      <c r="I650">
        <v>4</v>
      </c>
      <c r="J650">
        <v>0</v>
      </c>
      <c r="K650">
        <v>0</v>
      </c>
      <c r="L650">
        <v>0</v>
      </c>
      <c r="M650">
        <v>0</v>
      </c>
      <c r="N650">
        <v>0.36873763437431001</v>
      </c>
      <c r="O650">
        <v>-0.37695096655727811</v>
      </c>
      <c r="P650">
        <v>146726418.68647271</v>
      </c>
      <c r="Q650">
        <v>0</v>
      </c>
      <c r="R650" t="s">
        <v>503</v>
      </c>
      <c r="S650" t="s">
        <v>522</v>
      </c>
      <c r="T650" t="s">
        <v>524</v>
      </c>
      <c r="U650">
        <v>1921</v>
      </c>
      <c r="V650">
        <v>1220</v>
      </c>
      <c r="W650">
        <v>701</v>
      </c>
    </row>
    <row r="651" spans="1:23" x14ac:dyDescent="0.3">
      <c r="A651" t="s">
        <v>1665</v>
      </c>
      <c r="B651">
        <v>2022</v>
      </c>
      <c r="C651">
        <v>0.61023441349169405</v>
      </c>
      <c r="D651">
        <v>480</v>
      </c>
      <c r="E651">
        <v>0</v>
      </c>
      <c r="F651">
        <v>19</v>
      </c>
      <c r="G651">
        <v>24</v>
      </c>
      <c r="H651">
        <v>1.6792376261177001E-3</v>
      </c>
      <c r="I651">
        <v>3</v>
      </c>
      <c r="J651">
        <v>0</v>
      </c>
      <c r="K651">
        <v>0</v>
      </c>
      <c r="L651">
        <v>0</v>
      </c>
      <c r="M651">
        <v>2</v>
      </c>
      <c r="N651">
        <v>0.51352128332277691</v>
      </c>
      <c r="O651">
        <v>-0.36644811673099431</v>
      </c>
      <c r="P651">
        <v>49029171.31648986</v>
      </c>
      <c r="Q651">
        <v>0</v>
      </c>
      <c r="R651" t="s">
        <v>503</v>
      </c>
      <c r="S651" t="s">
        <v>522</v>
      </c>
      <c r="T651" t="s">
        <v>525</v>
      </c>
      <c r="U651">
        <v>457</v>
      </c>
      <c r="V651">
        <v>176</v>
      </c>
      <c r="W651">
        <v>281</v>
      </c>
    </row>
    <row r="652" spans="1:23" x14ac:dyDescent="0.3">
      <c r="A652" t="s">
        <v>1666</v>
      </c>
      <c r="B652">
        <v>2022</v>
      </c>
      <c r="C652">
        <v>0.90250153498212204</v>
      </c>
      <c r="D652">
        <v>1222</v>
      </c>
      <c r="E652">
        <v>0</v>
      </c>
      <c r="F652">
        <v>149</v>
      </c>
      <c r="G652">
        <v>56</v>
      </c>
      <c r="H652">
        <v>1.2642124576178E-3</v>
      </c>
      <c r="I652">
        <v>9</v>
      </c>
      <c r="J652">
        <v>0</v>
      </c>
      <c r="K652">
        <v>0</v>
      </c>
      <c r="L652">
        <v>0</v>
      </c>
      <c r="M652">
        <v>2</v>
      </c>
      <c r="N652">
        <v>0.42636042825102938</v>
      </c>
      <c r="O652">
        <v>-0.38096454880145753</v>
      </c>
      <c r="P652">
        <v>26844880.512402929</v>
      </c>
      <c r="Q652">
        <v>0</v>
      </c>
      <c r="R652" t="s">
        <v>503</v>
      </c>
      <c r="S652" t="s">
        <v>526</v>
      </c>
      <c r="T652" t="s">
        <v>527</v>
      </c>
      <c r="U652">
        <v>1165</v>
      </c>
      <c r="V652">
        <v>292</v>
      </c>
      <c r="W652">
        <v>873</v>
      </c>
    </row>
    <row r="653" spans="1:23" x14ac:dyDescent="0.3">
      <c r="A653" t="s">
        <v>1667</v>
      </c>
      <c r="B653">
        <v>2022</v>
      </c>
      <c r="C653">
        <v>0.94486255887884996</v>
      </c>
      <c r="D653">
        <v>3430</v>
      </c>
      <c r="E653">
        <v>0</v>
      </c>
      <c r="F653">
        <v>35</v>
      </c>
      <c r="G653">
        <v>96</v>
      </c>
      <c r="H653">
        <v>4.5796365115560001E-4</v>
      </c>
      <c r="I653">
        <v>9</v>
      </c>
      <c r="J653">
        <v>0</v>
      </c>
      <c r="K653">
        <v>0</v>
      </c>
      <c r="L653">
        <v>0</v>
      </c>
      <c r="M653">
        <v>3</v>
      </c>
      <c r="N653">
        <v>0.41946445800698962</v>
      </c>
      <c r="O653">
        <v>-0.33570579078969481</v>
      </c>
      <c r="P653">
        <v>82017525.920567125</v>
      </c>
      <c r="Q653">
        <v>0</v>
      </c>
      <c r="R653" t="s">
        <v>503</v>
      </c>
      <c r="S653" t="s">
        <v>526</v>
      </c>
      <c r="T653" t="s">
        <v>528</v>
      </c>
      <c r="U653">
        <v>3273</v>
      </c>
      <c r="V653">
        <v>830</v>
      </c>
      <c r="W653">
        <v>2443</v>
      </c>
    </row>
    <row r="654" spans="1:23" x14ac:dyDescent="0.3">
      <c r="A654" t="s">
        <v>1668</v>
      </c>
      <c r="B654">
        <v>2022</v>
      </c>
      <c r="C654">
        <v>0.62945708653065358</v>
      </c>
      <c r="D654">
        <v>2679</v>
      </c>
      <c r="E654">
        <v>0</v>
      </c>
      <c r="F654">
        <v>92</v>
      </c>
      <c r="G654">
        <v>149</v>
      </c>
      <c r="H654">
        <v>3.4774510521960001E-4</v>
      </c>
      <c r="I654">
        <v>3</v>
      </c>
      <c r="J654">
        <v>0</v>
      </c>
      <c r="K654">
        <v>0</v>
      </c>
      <c r="L654">
        <v>0</v>
      </c>
      <c r="M654">
        <v>2</v>
      </c>
      <c r="N654">
        <v>0.35528407602628698</v>
      </c>
      <c r="O654">
        <v>-0.36801994776057251</v>
      </c>
      <c r="P654">
        <v>139382276.9331007</v>
      </c>
      <c r="Q654">
        <v>0</v>
      </c>
      <c r="R654" t="s">
        <v>503</v>
      </c>
      <c r="S654" t="s">
        <v>526</v>
      </c>
      <c r="T654" t="s">
        <v>442</v>
      </c>
      <c r="U654">
        <v>2552</v>
      </c>
      <c r="V654">
        <v>555</v>
      </c>
      <c r="W654">
        <v>1997</v>
      </c>
    </row>
    <row r="655" spans="1:23" x14ac:dyDescent="0.3">
      <c r="A655" t="s">
        <v>1669</v>
      </c>
      <c r="B655">
        <v>2022</v>
      </c>
      <c r="C655">
        <v>0.66943191708318783</v>
      </c>
      <c r="D655">
        <v>740</v>
      </c>
      <c r="E655">
        <v>0</v>
      </c>
      <c r="F655">
        <v>15</v>
      </c>
      <c r="G655">
        <v>33</v>
      </c>
      <c r="H655">
        <v>1.5910699002502E-3</v>
      </c>
      <c r="I655">
        <v>4</v>
      </c>
      <c r="J655">
        <v>0</v>
      </c>
      <c r="K655">
        <v>0</v>
      </c>
      <c r="L655">
        <v>0</v>
      </c>
      <c r="M655">
        <v>1</v>
      </c>
      <c r="N655">
        <v>0.38867860435556573</v>
      </c>
      <c r="O655">
        <v>-0.37307600365325722</v>
      </c>
      <c r="P655">
        <v>34911504.438463166</v>
      </c>
      <c r="Q655">
        <v>0</v>
      </c>
      <c r="R655" t="s">
        <v>503</v>
      </c>
      <c r="S655" t="s">
        <v>526</v>
      </c>
      <c r="T655" t="s">
        <v>529</v>
      </c>
      <c r="U655">
        <v>702</v>
      </c>
      <c r="V655">
        <v>59</v>
      </c>
      <c r="W655">
        <v>643</v>
      </c>
    </row>
    <row r="656" spans="1:23" x14ac:dyDescent="0.3">
      <c r="A656" t="s">
        <v>1670</v>
      </c>
      <c r="B656">
        <v>2022</v>
      </c>
      <c r="C656">
        <v>0.96825399710652282</v>
      </c>
      <c r="D656">
        <v>3634</v>
      </c>
      <c r="E656">
        <v>0</v>
      </c>
      <c r="F656">
        <v>7</v>
      </c>
      <c r="G656">
        <v>141</v>
      </c>
      <c r="H656">
        <v>2.37865789587E-4</v>
      </c>
      <c r="I656">
        <v>3</v>
      </c>
      <c r="J656">
        <v>0</v>
      </c>
      <c r="K656">
        <v>0</v>
      </c>
      <c r="L656">
        <v>0</v>
      </c>
      <c r="M656">
        <v>3</v>
      </c>
      <c r="N656">
        <v>0.47688544564490881</v>
      </c>
      <c r="O656">
        <v>-0.36462706605841899</v>
      </c>
      <c r="P656">
        <v>101211894.744528</v>
      </c>
      <c r="Q656">
        <v>0</v>
      </c>
      <c r="R656" t="s">
        <v>503</v>
      </c>
      <c r="S656" t="s">
        <v>530</v>
      </c>
      <c r="T656" t="s">
        <v>530</v>
      </c>
      <c r="U656">
        <v>3466</v>
      </c>
      <c r="V656">
        <v>1701</v>
      </c>
      <c r="W656">
        <v>1765</v>
      </c>
    </row>
    <row r="657" spans="1:23" x14ac:dyDescent="0.3">
      <c r="A657" t="s">
        <v>1671</v>
      </c>
      <c r="B657">
        <v>2022</v>
      </c>
      <c r="C657">
        <v>0.88560201198791988</v>
      </c>
      <c r="D657">
        <v>4342</v>
      </c>
      <c r="E657">
        <v>0</v>
      </c>
      <c r="F657">
        <v>62</v>
      </c>
      <c r="G657">
        <v>174</v>
      </c>
      <c r="H657">
        <v>6.582511090845E-4</v>
      </c>
      <c r="I657">
        <v>6</v>
      </c>
      <c r="J657">
        <v>0</v>
      </c>
      <c r="K657">
        <v>0</v>
      </c>
      <c r="L657">
        <v>0</v>
      </c>
      <c r="M657">
        <v>8</v>
      </c>
      <c r="N657">
        <v>0.49663198429683508</v>
      </c>
      <c r="O657">
        <v>-0.31013231900324489</v>
      </c>
      <c r="P657">
        <v>123031019.8209542</v>
      </c>
      <c r="Q657">
        <v>0</v>
      </c>
      <c r="R657" t="s">
        <v>503</v>
      </c>
      <c r="S657" t="s">
        <v>533</v>
      </c>
      <c r="T657" t="s">
        <v>97</v>
      </c>
      <c r="U657">
        <v>4140</v>
      </c>
      <c r="V657">
        <v>2152</v>
      </c>
      <c r="W657">
        <v>1988</v>
      </c>
    </row>
    <row r="658" spans="1:23" x14ac:dyDescent="0.3">
      <c r="A658" t="s">
        <v>1672</v>
      </c>
      <c r="B658">
        <v>2022</v>
      </c>
      <c r="C658">
        <v>0.68538879847148781</v>
      </c>
      <c r="D658">
        <v>2270</v>
      </c>
      <c r="E658">
        <v>0</v>
      </c>
      <c r="F658">
        <v>63</v>
      </c>
      <c r="G658">
        <v>50</v>
      </c>
      <c r="H658">
        <v>5.6353413248890003E-4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0.43043401975499029</v>
      </c>
      <c r="O658">
        <v>-0.39816774451525822</v>
      </c>
      <c r="P658">
        <v>77045609.057493582</v>
      </c>
      <c r="Q658">
        <v>0</v>
      </c>
      <c r="R658" t="s">
        <v>503</v>
      </c>
      <c r="S658" t="s">
        <v>533</v>
      </c>
      <c r="T658" t="s">
        <v>335</v>
      </c>
      <c r="U658">
        <v>2163</v>
      </c>
      <c r="V658">
        <v>323</v>
      </c>
      <c r="W658">
        <v>1840</v>
      </c>
    </row>
    <row r="659" spans="1:23" x14ac:dyDescent="0.3">
      <c r="A659" t="s">
        <v>1673</v>
      </c>
      <c r="B659">
        <v>2022</v>
      </c>
      <c r="C659">
        <v>0.5324890557002433</v>
      </c>
      <c r="D659">
        <v>2149</v>
      </c>
      <c r="E659">
        <v>0</v>
      </c>
      <c r="F659">
        <v>19</v>
      </c>
      <c r="G659">
        <v>46</v>
      </c>
      <c r="H659">
        <v>4.144211361459E-4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0.45655503533937108</v>
      </c>
      <c r="O659">
        <v>-0.34852840671351998</v>
      </c>
      <c r="P659">
        <v>97161330.2842336</v>
      </c>
      <c r="Q659">
        <v>0</v>
      </c>
      <c r="R659" t="s">
        <v>503</v>
      </c>
      <c r="S659" t="s">
        <v>533</v>
      </c>
      <c r="T659" t="s">
        <v>534</v>
      </c>
      <c r="U659">
        <v>2050</v>
      </c>
      <c r="V659">
        <v>225</v>
      </c>
      <c r="W659">
        <v>1825</v>
      </c>
    </row>
    <row r="660" spans="1:23" x14ac:dyDescent="0.3">
      <c r="A660" t="s">
        <v>1674</v>
      </c>
      <c r="B660">
        <v>2022</v>
      </c>
      <c r="C660">
        <v>0.91859152448232839</v>
      </c>
      <c r="D660">
        <v>1519</v>
      </c>
      <c r="E660">
        <v>0</v>
      </c>
      <c r="F660">
        <v>77</v>
      </c>
      <c r="G660">
        <v>56</v>
      </c>
      <c r="H660">
        <v>7.9871950610969997E-4</v>
      </c>
      <c r="I660">
        <v>4</v>
      </c>
      <c r="J660">
        <v>0</v>
      </c>
      <c r="K660">
        <v>0</v>
      </c>
      <c r="L660">
        <v>0</v>
      </c>
      <c r="M660">
        <v>3</v>
      </c>
      <c r="N660">
        <v>0.56740091557745442</v>
      </c>
      <c r="O660">
        <v>-0.3059568726900172</v>
      </c>
      <c r="P660">
        <v>76946782.249056697</v>
      </c>
      <c r="Q660">
        <v>0</v>
      </c>
      <c r="R660" t="s">
        <v>503</v>
      </c>
      <c r="S660" t="s">
        <v>533</v>
      </c>
      <c r="T660" t="s">
        <v>535</v>
      </c>
      <c r="U660">
        <v>1450</v>
      </c>
      <c r="V660">
        <v>171</v>
      </c>
      <c r="W660">
        <v>1279</v>
      </c>
    </row>
    <row r="661" spans="1:23" x14ac:dyDescent="0.3">
      <c r="A661" t="s">
        <v>1675</v>
      </c>
      <c r="B661">
        <v>2022</v>
      </c>
      <c r="C661">
        <v>1.0798060165540819</v>
      </c>
      <c r="D661">
        <v>1956</v>
      </c>
      <c r="E661">
        <v>0</v>
      </c>
      <c r="F661">
        <v>4</v>
      </c>
      <c r="G661">
        <v>99</v>
      </c>
      <c r="H661">
        <v>6.5315131254269998E-4</v>
      </c>
      <c r="I661">
        <v>2</v>
      </c>
      <c r="J661">
        <v>0</v>
      </c>
      <c r="K661">
        <v>0</v>
      </c>
      <c r="L661">
        <v>0</v>
      </c>
      <c r="M661">
        <v>4</v>
      </c>
      <c r="N661">
        <v>0.42443188995480902</v>
      </c>
      <c r="O661">
        <v>-0.40592832508657939</v>
      </c>
      <c r="P661">
        <v>41323819.931859978</v>
      </c>
      <c r="Q661">
        <v>0</v>
      </c>
      <c r="R661" t="s">
        <v>503</v>
      </c>
      <c r="S661" t="s">
        <v>533</v>
      </c>
      <c r="T661" t="s">
        <v>536</v>
      </c>
      <c r="U661">
        <v>1865</v>
      </c>
      <c r="V661">
        <v>361</v>
      </c>
      <c r="W661">
        <v>1504</v>
      </c>
    </row>
    <row r="662" spans="1:23" x14ac:dyDescent="0.3">
      <c r="A662" t="s">
        <v>1676</v>
      </c>
      <c r="B662">
        <v>2022</v>
      </c>
      <c r="C662">
        <v>0.75602118398930351</v>
      </c>
      <c r="D662">
        <v>1727</v>
      </c>
      <c r="E662">
        <v>0</v>
      </c>
      <c r="F662">
        <v>277</v>
      </c>
      <c r="G662">
        <v>119</v>
      </c>
      <c r="H662">
        <v>8.9273512941930001E-4</v>
      </c>
      <c r="I662">
        <v>3</v>
      </c>
      <c r="J662">
        <v>0</v>
      </c>
      <c r="K662">
        <v>0</v>
      </c>
      <c r="L662">
        <v>0</v>
      </c>
      <c r="M662">
        <v>7</v>
      </c>
      <c r="N662">
        <v>0.5277258674789036</v>
      </c>
      <c r="O662">
        <v>-0.34743550530474132</v>
      </c>
      <c r="P662">
        <v>72654153.799988613</v>
      </c>
      <c r="Q662">
        <v>0</v>
      </c>
      <c r="R662" t="s">
        <v>503</v>
      </c>
      <c r="S662" t="s">
        <v>533</v>
      </c>
      <c r="T662" t="s">
        <v>315</v>
      </c>
      <c r="U662">
        <v>1647</v>
      </c>
      <c r="V662">
        <v>496</v>
      </c>
      <c r="W662">
        <v>1151</v>
      </c>
    </row>
    <row r="663" spans="1:23" x14ac:dyDescent="0.3">
      <c r="A663" t="s">
        <v>1677</v>
      </c>
      <c r="B663">
        <v>2022</v>
      </c>
      <c r="C663">
        <v>0.62514019246934671</v>
      </c>
      <c r="D663">
        <v>2517</v>
      </c>
      <c r="E663">
        <v>0</v>
      </c>
      <c r="F663">
        <v>17</v>
      </c>
      <c r="G663">
        <v>90</v>
      </c>
      <c r="H663">
        <v>3.5758711608020001E-4</v>
      </c>
      <c r="I663">
        <v>2</v>
      </c>
      <c r="J663">
        <v>0</v>
      </c>
      <c r="K663">
        <v>0</v>
      </c>
      <c r="L663">
        <v>0</v>
      </c>
      <c r="M663">
        <v>7</v>
      </c>
      <c r="N663">
        <v>0.44751567558870431</v>
      </c>
      <c r="O663">
        <v>-0.381589050509066</v>
      </c>
      <c r="P663">
        <v>103958921.3406968</v>
      </c>
      <c r="Q663">
        <v>0</v>
      </c>
      <c r="R663" t="s">
        <v>503</v>
      </c>
      <c r="S663" t="s">
        <v>538</v>
      </c>
      <c r="T663" t="s">
        <v>539</v>
      </c>
      <c r="U663">
        <v>2402</v>
      </c>
      <c r="V663">
        <v>798</v>
      </c>
      <c r="W663">
        <v>1604</v>
      </c>
    </row>
    <row r="664" spans="1:23" x14ac:dyDescent="0.3">
      <c r="A664" t="s">
        <v>1678</v>
      </c>
      <c r="B664">
        <v>2022</v>
      </c>
      <c r="C664">
        <v>0.60587111092380319</v>
      </c>
      <c r="D664">
        <v>1033</v>
      </c>
      <c r="E664">
        <v>0</v>
      </c>
      <c r="F664">
        <v>3</v>
      </c>
      <c r="G664">
        <v>74</v>
      </c>
      <c r="H664">
        <v>5.1598871299459999E-4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0.47895480291777481</v>
      </c>
      <c r="O664">
        <v>-0.41173605690279619</v>
      </c>
      <c r="P664">
        <v>97153582.209024802</v>
      </c>
      <c r="Q664">
        <v>0</v>
      </c>
      <c r="R664" t="s">
        <v>503</v>
      </c>
      <c r="S664" t="s">
        <v>538</v>
      </c>
      <c r="T664" t="s">
        <v>541</v>
      </c>
      <c r="U664">
        <v>986</v>
      </c>
      <c r="V664">
        <v>368</v>
      </c>
      <c r="W664">
        <v>618</v>
      </c>
    </row>
    <row r="665" spans="1:23" x14ac:dyDescent="0.3">
      <c r="A665" t="s">
        <v>1679</v>
      </c>
      <c r="B665">
        <v>2022</v>
      </c>
      <c r="C665">
        <v>0.63848801392754473</v>
      </c>
      <c r="D665">
        <v>1804</v>
      </c>
      <c r="E665">
        <v>0</v>
      </c>
      <c r="F665">
        <v>39</v>
      </c>
      <c r="G665">
        <v>52</v>
      </c>
      <c r="H665">
        <v>3.9785141269249998E-4</v>
      </c>
      <c r="I665">
        <v>6</v>
      </c>
      <c r="J665">
        <v>0</v>
      </c>
      <c r="K665">
        <v>0</v>
      </c>
      <c r="L665">
        <v>0</v>
      </c>
      <c r="M665">
        <v>0</v>
      </c>
      <c r="N665">
        <v>0.4034968778404121</v>
      </c>
      <c r="O665">
        <v>-0.39445361407083368</v>
      </c>
      <c r="P665">
        <v>111192648.1272153</v>
      </c>
      <c r="Q665">
        <v>0</v>
      </c>
      <c r="R665" t="s">
        <v>503</v>
      </c>
      <c r="S665" t="s">
        <v>538</v>
      </c>
      <c r="T665" t="s">
        <v>542</v>
      </c>
      <c r="U665">
        <v>1716</v>
      </c>
      <c r="V665">
        <v>517</v>
      </c>
      <c r="W665">
        <v>1199</v>
      </c>
    </row>
    <row r="666" spans="1:23" x14ac:dyDescent="0.3">
      <c r="A666" t="s">
        <v>1680</v>
      </c>
      <c r="B666">
        <v>2022</v>
      </c>
      <c r="C666">
        <v>0.5382248482533174</v>
      </c>
      <c r="D666">
        <v>1034</v>
      </c>
      <c r="E666">
        <v>0</v>
      </c>
      <c r="F666">
        <v>143</v>
      </c>
      <c r="G666">
        <v>37</v>
      </c>
      <c r="H666">
        <v>1.2091845611664001E-3</v>
      </c>
      <c r="I666">
        <v>5</v>
      </c>
      <c r="J666">
        <v>0</v>
      </c>
      <c r="K666">
        <v>0</v>
      </c>
      <c r="L666">
        <v>0</v>
      </c>
      <c r="M666">
        <v>2</v>
      </c>
      <c r="N666">
        <v>0.44250252683433111</v>
      </c>
      <c r="O666">
        <v>-0.38226348607131128</v>
      </c>
      <c r="P666">
        <v>89674771.166800037</v>
      </c>
      <c r="Q666">
        <v>0</v>
      </c>
      <c r="R666" t="s">
        <v>503</v>
      </c>
      <c r="S666" t="s">
        <v>543</v>
      </c>
      <c r="T666" t="s">
        <v>544</v>
      </c>
      <c r="U666">
        <v>985</v>
      </c>
      <c r="V666">
        <v>141</v>
      </c>
      <c r="W666">
        <v>844</v>
      </c>
    </row>
    <row r="667" spans="1:23" x14ac:dyDescent="0.3">
      <c r="A667" t="s">
        <v>1681</v>
      </c>
      <c r="B667">
        <v>2022</v>
      </c>
      <c r="C667">
        <v>0.62876806109555206</v>
      </c>
      <c r="D667">
        <v>1428</v>
      </c>
      <c r="E667">
        <v>0</v>
      </c>
      <c r="F667">
        <v>12</v>
      </c>
      <c r="G667">
        <v>90</v>
      </c>
      <c r="H667">
        <v>4.7258789979220001E-4</v>
      </c>
      <c r="I667">
        <v>4</v>
      </c>
      <c r="J667">
        <v>0</v>
      </c>
      <c r="K667">
        <v>0</v>
      </c>
      <c r="L667">
        <v>0</v>
      </c>
      <c r="M667">
        <v>1</v>
      </c>
      <c r="N667">
        <v>0.48806783792993791</v>
      </c>
      <c r="O667">
        <v>-0.38670063061570797</v>
      </c>
      <c r="P667">
        <v>68583212.307331756</v>
      </c>
      <c r="Q667">
        <v>0</v>
      </c>
      <c r="R667" t="s">
        <v>503</v>
      </c>
      <c r="S667" t="s">
        <v>543</v>
      </c>
      <c r="T667" t="s">
        <v>218</v>
      </c>
      <c r="U667">
        <v>1360</v>
      </c>
      <c r="V667">
        <v>224</v>
      </c>
      <c r="W667">
        <v>1136</v>
      </c>
    </row>
    <row r="668" spans="1:23" x14ac:dyDescent="0.3">
      <c r="A668" t="s">
        <v>1682</v>
      </c>
      <c r="B668">
        <v>2022</v>
      </c>
      <c r="C668">
        <v>0.87399559984156516</v>
      </c>
      <c r="D668">
        <v>665</v>
      </c>
      <c r="E668">
        <v>0</v>
      </c>
      <c r="F668">
        <v>1</v>
      </c>
      <c r="G668">
        <v>43</v>
      </c>
      <c r="H668">
        <v>1.9113398545131E-3</v>
      </c>
      <c r="I668">
        <v>3</v>
      </c>
      <c r="J668">
        <v>0</v>
      </c>
      <c r="K668">
        <v>0</v>
      </c>
      <c r="L668">
        <v>0</v>
      </c>
      <c r="M668">
        <v>1</v>
      </c>
      <c r="N668">
        <v>0.54392435184974453</v>
      </c>
      <c r="O668">
        <v>-0.38057920266616718</v>
      </c>
      <c r="P668">
        <v>45058320.951518051</v>
      </c>
      <c r="Q668">
        <v>0</v>
      </c>
      <c r="R668" t="s">
        <v>503</v>
      </c>
      <c r="S668" t="s">
        <v>543</v>
      </c>
      <c r="T668" t="s">
        <v>545</v>
      </c>
      <c r="U668">
        <v>629</v>
      </c>
      <c r="V668">
        <v>346</v>
      </c>
      <c r="W668">
        <v>283</v>
      </c>
    </row>
    <row r="669" spans="1:23" x14ac:dyDescent="0.3">
      <c r="A669" t="s">
        <v>1683</v>
      </c>
      <c r="B669">
        <v>2022</v>
      </c>
      <c r="C669">
        <v>0.88609306343715344</v>
      </c>
      <c r="D669">
        <v>12705</v>
      </c>
      <c r="E669">
        <v>0</v>
      </c>
      <c r="F669">
        <v>302</v>
      </c>
      <c r="G669">
        <v>448</v>
      </c>
      <c r="H669">
        <v>6.9348080471318683E-5</v>
      </c>
      <c r="I669">
        <v>7</v>
      </c>
      <c r="J669">
        <v>0</v>
      </c>
      <c r="K669">
        <v>0</v>
      </c>
      <c r="L669">
        <v>0</v>
      </c>
      <c r="M669">
        <v>25</v>
      </c>
      <c r="N669">
        <v>0.40203136495738512</v>
      </c>
      <c r="O669">
        <v>-0.38782807668850988</v>
      </c>
      <c r="P669">
        <v>441121767.66036153</v>
      </c>
      <c r="Q669">
        <v>0</v>
      </c>
      <c r="R669" t="s">
        <v>503</v>
      </c>
      <c r="S669" t="s">
        <v>546</v>
      </c>
      <c r="T669" t="s">
        <v>547</v>
      </c>
      <c r="U669">
        <v>12110</v>
      </c>
      <c r="V669">
        <v>6368</v>
      </c>
      <c r="W669">
        <v>5742</v>
      </c>
    </row>
    <row r="670" spans="1:23" x14ac:dyDescent="0.3">
      <c r="A670" t="s">
        <v>1684</v>
      </c>
      <c r="B670">
        <v>2022</v>
      </c>
      <c r="C670">
        <v>0.59731180413607976</v>
      </c>
      <c r="D670">
        <v>2524</v>
      </c>
      <c r="E670">
        <v>0</v>
      </c>
      <c r="F670">
        <v>23</v>
      </c>
      <c r="G670">
        <v>87</v>
      </c>
      <c r="H670">
        <v>2.402401986085E-4</v>
      </c>
      <c r="I670">
        <v>8</v>
      </c>
      <c r="J670">
        <v>0</v>
      </c>
      <c r="K670">
        <v>0</v>
      </c>
      <c r="L670">
        <v>0</v>
      </c>
      <c r="M670">
        <v>0</v>
      </c>
      <c r="N670">
        <v>0.44724781022617122</v>
      </c>
      <c r="O670">
        <v>-0.371012641577527</v>
      </c>
      <c r="P670">
        <v>279336681.02647561</v>
      </c>
      <c r="Q670">
        <v>0</v>
      </c>
      <c r="R670" t="s">
        <v>503</v>
      </c>
      <c r="S670" t="s">
        <v>546</v>
      </c>
      <c r="T670" t="s">
        <v>549</v>
      </c>
      <c r="U670">
        <v>2406</v>
      </c>
      <c r="V670">
        <v>512</v>
      </c>
      <c r="W670">
        <v>1894</v>
      </c>
    </row>
    <row r="671" spans="1:23" x14ac:dyDescent="0.3">
      <c r="A671" t="s">
        <v>1685</v>
      </c>
      <c r="B671">
        <v>2022</v>
      </c>
      <c r="C671">
        <v>0.63030265837082922</v>
      </c>
      <c r="D671">
        <v>1761</v>
      </c>
      <c r="E671">
        <v>0</v>
      </c>
      <c r="F671">
        <v>3</v>
      </c>
      <c r="G671">
        <v>55</v>
      </c>
      <c r="H671">
        <v>4.4493789869089998E-4</v>
      </c>
      <c r="I671">
        <v>6</v>
      </c>
      <c r="J671">
        <v>0</v>
      </c>
      <c r="K671">
        <v>0</v>
      </c>
      <c r="L671">
        <v>0</v>
      </c>
      <c r="M671">
        <v>1</v>
      </c>
      <c r="N671">
        <v>0.5205031784923233</v>
      </c>
      <c r="O671">
        <v>-0.3198331911244674</v>
      </c>
      <c r="P671">
        <v>98021829.914275318</v>
      </c>
      <c r="Q671">
        <v>0</v>
      </c>
      <c r="R671" t="s">
        <v>503</v>
      </c>
      <c r="S671" t="s">
        <v>546</v>
      </c>
      <c r="T671" t="s">
        <v>550</v>
      </c>
      <c r="U671">
        <v>1679</v>
      </c>
      <c r="V671">
        <v>504</v>
      </c>
      <c r="W671">
        <v>1175</v>
      </c>
    </row>
    <row r="672" spans="1:23" x14ac:dyDescent="0.3">
      <c r="A672" t="s">
        <v>1686</v>
      </c>
      <c r="B672">
        <v>2022</v>
      </c>
      <c r="C672">
        <v>0.64381348527523363</v>
      </c>
      <c r="D672">
        <v>1129</v>
      </c>
      <c r="E672">
        <v>0</v>
      </c>
      <c r="F672">
        <v>1</v>
      </c>
      <c r="G672">
        <v>53</v>
      </c>
      <c r="H672">
        <v>7.8554089048839997E-4</v>
      </c>
      <c r="I672">
        <v>3</v>
      </c>
      <c r="J672">
        <v>0</v>
      </c>
      <c r="K672">
        <v>0</v>
      </c>
      <c r="L672">
        <v>0</v>
      </c>
      <c r="M672">
        <v>1</v>
      </c>
      <c r="N672">
        <v>0.44854985864522412</v>
      </c>
      <c r="O672">
        <v>-0.3868536318076703</v>
      </c>
      <c r="P672">
        <v>35044709.064901993</v>
      </c>
      <c r="Q672">
        <v>0</v>
      </c>
      <c r="R672" t="s">
        <v>503</v>
      </c>
      <c r="S672" t="s">
        <v>546</v>
      </c>
      <c r="T672" t="s">
        <v>149</v>
      </c>
      <c r="U672">
        <v>1077</v>
      </c>
      <c r="V672">
        <v>379</v>
      </c>
      <c r="W672">
        <v>698</v>
      </c>
    </row>
    <row r="673" spans="1:23" x14ac:dyDescent="0.3">
      <c r="A673" t="s">
        <v>1687</v>
      </c>
      <c r="B673">
        <v>2022</v>
      </c>
      <c r="C673">
        <v>0.81859505469864791</v>
      </c>
      <c r="D673">
        <v>1820</v>
      </c>
      <c r="E673">
        <v>0</v>
      </c>
      <c r="F673">
        <v>8</v>
      </c>
      <c r="G673">
        <v>97</v>
      </c>
      <c r="H673">
        <v>5.7060621495229997E-4</v>
      </c>
      <c r="I673">
        <v>3</v>
      </c>
      <c r="J673">
        <v>0</v>
      </c>
      <c r="K673">
        <v>0</v>
      </c>
      <c r="L673">
        <v>0</v>
      </c>
      <c r="M673">
        <v>1</v>
      </c>
      <c r="N673">
        <v>0.3745378520156562</v>
      </c>
      <c r="O673">
        <v>-0.41580319245530911</v>
      </c>
      <c r="P673">
        <v>52367802.052866973</v>
      </c>
      <c r="Q673">
        <v>0</v>
      </c>
      <c r="R673" t="s">
        <v>503</v>
      </c>
      <c r="S673" t="s">
        <v>546</v>
      </c>
      <c r="T673" t="s">
        <v>552</v>
      </c>
      <c r="U673">
        <v>1734</v>
      </c>
      <c r="V673">
        <v>809</v>
      </c>
      <c r="W673">
        <v>925</v>
      </c>
    </row>
    <row r="674" spans="1:23" x14ac:dyDescent="0.3">
      <c r="A674" t="s">
        <v>1688</v>
      </c>
      <c r="B674">
        <v>2022</v>
      </c>
      <c r="C674">
        <v>0.85994484404759974</v>
      </c>
      <c r="D674">
        <v>1297</v>
      </c>
      <c r="E674">
        <v>0</v>
      </c>
      <c r="F674">
        <v>4</v>
      </c>
      <c r="G674">
        <v>46</v>
      </c>
      <c r="H674">
        <v>1.2382139474994001E-3</v>
      </c>
      <c r="I674">
        <v>1</v>
      </c>
      <c r="J674">
        <v>0</v>
      </c>
      <c r="K674">
        <v>0</v>
      </c>
      <c r="L674">
        <v>0</v>
      </c>
      <c r="M674">
        <v>1</v>
      </c>
      <c r="N674">
        <v>0.35893200445310952</v>
      </c>
      <c r="O674">
        <v>-0.40516911560663488</v>
      </c>
      <c r="P674">
        <v>21823613.130669199</v>
      </c>
      <c r="Q674">
        <v>0</v>
      </c>
      <c r="R674" t="s">
        <v>503</v>
      </c>
      <c r="S674" t="s">
        <v>546</v>
      </c>
      <c r="T674" t="s">
        <v>553</v>
      </c>
      <c r="U674">
        <v>1237</v>
      </c>
      <c r="V674">
        <v>546</v>
      </c>
      <c r="W674">
        <v>691</v>
      </c>
    </row>
    <row r="675" spans="1:23" x14ac:dyDescent="0.3">
      <c r="A675" t="s">
        <v>1689</v>
      </c>
      <c r="B675">
        <v>2022</v>
      </c>
      <c r="C675">
        <v>0.6193843112651094</v>
      </c>
      <c r="D675">
        <v>1400</v>
      </c>
      <c r="E675">
        <v>0</v>
      </c>
      <c r="F675">
        <v>26</v>
      </c>
      <c r="G675">
        <v>74</v>
      </c>
      <c r="H675">
        <v>4.3047564653429999E-4</v>
      </c>
      <c r="I675">
        <v>3</v>
      </c>
      <c r="J675">
        <v>0</v>
      </c>
      <c r="K675">
        <v>0</v>
      </c>
      <c r="L675">
        <v>0</v>
      </c>
      <c r="M675">
        <v>6</v>
      </c>
      <c r="N675">
        <v>0.3923488851481971</v>
      </c>
      <c r="O675">
        <v>-0.27883159394845769</v>
      </c>
      <c r="P675">
        <v>79938131.097480521</v>
      </c>
      <c r="Q675">
        <v>0</v>
      </c>
      <c r="R675" t="s">
        <v>503</v>
      </c>
      <c r="S675" t="s">
        <v>554</v>
      </c>
      <c r="T675" t="s">
        <v>556</v>
      </c>
      <c r="U675">
        <v>1335</v>
      </c>
      <c r="V675">
        <v>631</v>
      </c>
      <c r="W675">
        <v>704</v>
      </c>
    </row>
    <row r="676" spans="1:23" x14ac:dyDescent="0.3">
      <c r="A676" t="s">
        <v>1690</v>
      </c>
      <c r="B676">
        <v>2022</v>
      </c>
      <c r="C676">
        <v>0.73192381590534794</v>
      </c>
      <c r="D676">
        <v>1215</v>
      </c>
      <c r="E676">
        <v>0</v>
      </c>
      <c r="F676">
        <v>1</v>
      </c>
      <c r="G676">
        <v>42</v>
      </c>
      <c r="H676">
        <v>9.5373438994440004E-4</v>
      </c>
      <c r="I676">
        <v>1</v>
      </c>
      <c r="J676">
        <v>0</v>
      </c>
      <c r="K676">
        <v>0</v>
      </c>
      <c r="L676">
        <v>0</v>
      </c>
      <c r="M676">
        <v>6</v>
      </c>
      <c r="N676">
        <v>0.43056056322968</v>
      </c>
      <c r="O676">
        <v>-0.28623153929427209</v>
      </c>
      <c r="P676">
        <v>27715350.116702739</v>
      </c>
      <c r="Q676">
        <v>0</v>
      </c>
      <c r="R676" t="s">
        <v>503</v>
      </c>
      <c r="S676" t="s">
        <v>554</v>
      </c>
      <c r="T676" t="s">
        <v>557</v>
      </c>
      <c r="U676">
        <v>1157</v>
      </c>
      <c r="V676">
        <v>410</v>
      </c>
      <c r="W676">
        <v>747</v>
      </c>
    </row>
    <row r="677" spans="1:23" x14ac:dyDescent="0.3">
      <c r="A677" t="s">
        <v>1691</v>
      </c>
      <c r="B677">
        <v>2022</v>
      </c>
      <c r="C677">
        <v>0.58062065486673553</v>
      </c>
      <c r="D677">
        <v>2541</v>
      </c>
      <c r="E677">
        <v>0</v>
      </c>
      <c r="F677">
        <v>48</v>
      </c>
      <c r="G677">
        <v>116</v>
      </c>
      <c r="H677">
        <v>3.506311144798E-4</v>
      </c>
      <c r="I677">
        <v>10</v>
      </c>
      <c r="J677">
        <v>0</v>
      </c>
      <c r="K677">
        <v>0</v>
      </c>
      <c r="L677">
        <v>0</v>
      </c>
      <c r="M677">
        <v>17</v>
      </c>
      <c r="N677">
        <v>0.46035407447560101</v>
      </c>
      <c r="O677">
        <v>-0.33566601197660878</v>
      </c>
      <c r="P677">
        <v>203758358.20783439</v>
      </c>
      <c r="Q677">
        <v>0</v>
      </c>
      <c r="R677" t="s">
        <v>503</v>
      </c>
      <c r="S677" t="s">
        <v>554</v>
      </c>
      <c r="T677" t="s">
        <v>558</v>
      </c>
      <c r="U677">
        <v>2423</v>
      </c>
      <c r="V677">
        <v>1048</v>
      </c>
      <c r="W677">
        <v>1375</v>
      </c>
    </row>
    <row r="678" spans="1:23" x14ac:dyDescent="0.3">
      <c r="A678" t="s">
        <v>1692</v>
      </c>
      <c r="B678">
        <v>2022</v>
      </c>
      <c r="C678">
        <v>0.94748640797564665</v>
      </c>
      <c r="D678">
        <v>1371</v>
      </c>
      <c r="E678">
        <v>0</v>
      </c>
      <c r="F678">
        <v>31</v>
      </c>
      <c r="G678">
        <v>66</v>
      </c>
      <c r="H678">
        <v>2.0153802246435002E-3</v>
      </c>
      <c r="I678">
        <v>1</v>
      </c>
      <c r="J678">
        <v>0</v>
      </c>
      <c r="K678">
        <v>0</v>
      </c>
      <c r="L678">
        <v>0</v>
      </c>
      <c r="M678">
        <v>6</v>
      </c>
      <c r="N678">
        <v>0.50401687603263168</v>
      </c>
      <c r="O678">
        <v>-0.29337521687888668</v>
      </c>
      <c r="P678">
        <v>28084599.110742379</v>
      </c>
      <c r="Q678">
        <v>0</v>
      </c>
      <c r="R678" t="s">
        <v>503</v>
      </c>
      <c r="S678" t="s">
        <v>554</v>
      </c>
      <c r="T678" t="s">
        <v>559</v>
      </c>
      <c r="U678">
        <v>1308</v>
      </c>
      <c r="V678">
        <v>584</v>
      </c>
      <c r="W678">
        <v>724</v>
      </c>
    </row>
    <row r="679" spans="1:23" x14ac:dyDescent="0.3">
      <c r="A679" t="s">
        <v>1693</v>
      </c>
      <c r="B679">
        <v>2022</v>
      </c>
      <c r="C679">
        <v>0.63385683384285874</v>
      </c>
      <c r="D679">
        <v>1097</v>
      </c>
      <c r="E679">
        <v>0</v>
      </c>
      <c r="F679">
        <v>64</v>
      </c>
      <c r="G679">
        <v>76</v>
      </c>
      <c r="H679">
        <v>1.1627789813088E-3</v>
      </c>
      <c r="I679">
        <v>11</v>
      </c>
      <c r="J679">
        <v>0</v>
      </c>
      <c r="K679">
        <v>0</v>
      </c>
      <c r="L679">
        <v>0</v>
      </c>
      <c r="M679">
        <v>0</v>
      </c>
      <c r="N679">
        <v>0.45613540159942861</v>
      </c>
      <c r="O679">
        <v>-0.29317393418734039</v>
      </c>
      <c r="P679">
        <v>56295762.574709222</v>
      </c>
      <c r="Q679">
        <v>0</v>
      </c>
      <c r="R679" t="s">
        <v>503</v>
      </c>
      <c r="S679" t="s">
        <v>554</v>
      </c>
      <c r="T679" t="s">
        <v>560</v>
      </c>
      <c r="U679">
        <v>1047</v>
      </c>
      <c r="V679">
        <v>282</v>
      </c>
      <c r="W679">
        <v>765</v>
      </c>
    </row>
    <row r="680" spans="1:23" x14ac:dyDescent="0.3">
      <c r="A680" t="s">
        <v>1694</v>
      </c>
      <c r="B680">
        <v>2022</v>
      </c>
      <c r="C680">
        <v>1.0103704371411311</v>
      </c>
      <c r="D680">
        <v>1626</v>
      </c>
      <c r="E680">
        <v>0</v>
      </c>
      <c r="F680">
        <v>2</v>
      </c>
      <c r="G680">
        <v>34</v>
      </c>
      <c r="H680">
        <v>7.1476206636519998E-4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0.50098506856109204</v>
      </c>
      <c r="O680">
        <v>-0.34313071682995078</v>
      </c>
      <c r="P680">
        <v>45089128.104276262</v>
      </c>
      <c r="Q680">
        <v>0</v>
      </c>
      <c r="R680" t="s">
        <v>503</v>
      </c>
      <c r="S680" t="s">
        <v>561</v>
      </c>
      <c r="T680" t="s">
        <v>370</v>
      </c>
      <c r="U680">
        <v>1553</v>
      </c>
      <c r="V680">
        <v>319</v>
      </c>
      <c r="W680">
        <v>1234</v>
      </c>
    </row>
    <row r="681" spans="1:23" x14ac:dyDescent="0.3">
      <c r="A681" t="s">
        <v>1695</v>
      </c>
      <c r="B681">
        <v>2022</v>
      </c>
      <c r="C681">
        <v>1.036842277057362</v>
      </c>
      <c r="D681">
        <v>4280</v>
      </c>
      <c r="E681">
        <v>0</v>
      </c>
      <c r="F681">
        <v>5</v>
      </c>
      <c r="G681">
        <v>115</v>
      </c>
      <c r="H681">
        <v>4.8525343793080002E-4</v>
      </c>
      <c r="I681">
        <v>2</v>
      </c>
      <c r="J681">
        <v>0</v>
      </c>
      <c r="K681">
        <v>0</v>
      </c>
      <c r="L681">
        <v>0</v>
      </c>
      <c r="M681">
        <v>2</v>
      </c>
      <c r="N681">
        <v>0.5148890668132946</v>
      </c>
      <c r="O681">
        <v>-0.35206588889431412</v>
      </c>
      <c r="P681">
        <v>118724757.39780059</v>
      </c>
      <c r="Q681">
        <v>0</v>
      </c>
      <c r="R681" t="s">
        <v>503</v>
      </c>
      <c r="S681" t="s">
        <v>561</v>
      </c>
      <c r="T681" t="s">
        <v>569</v>
      </c>
      <c r="U681">
        <v>4086</v>
      </c>
      <c r="V681">
        <v>1414</v>
      </c>
      <c r="W681">
        <v>2672</v>
      </c>
    </row>
    <row r="682" spans="1:23" x14ac:dyDescent="0.3">
      <c r="A682" t="s">
        <v>1696</v>
      </c>
      <c r="B682">
        <v>2022</v>
      </c>
      <c r="C682">
        <v>0.62171345242352294</v>
      </c>
      <c r="D682">
        <v>3850</v>
      </c>
      <c r="E682">
        <v>0</v>
      </c>
      <c r="F682">
        <v>60</v>
      </c>
      <c r="G682">
        <v>178</v>
      </c>
      <c r="H682">
        <v>2.7862911218430001E-4</v>
      </c>
      <c r="I682">
        <v>29</v>
      </c>
      <c r="J682">
        <v>0</v>
      </c>
      <c r="K682">
        <v>0</v>
      </c>
      <c r="L682">
        <v>0</v>
      </c>
      <c r="M682">
        <v>3</v>
      </c>
      <c r="N682">
        <v>0.47640215460480129</v>
      </c>
      <c r="O682">
        <v>-0.38511339871607603</v>
      </c>
      <c r="P682">
        <v>293860267.15217823</v>
      </c>
      <c r="Q682">
        <v>0</v>
      </c>
      <c r="R682" t="s">
        <v>503</v>
      </c>
      <c r="S682" t="s">
        <v>571</v>
      </c>
      <c r="T682" t="s">
        <v>571</v>
      </c>
      <c r="U682">
        <v>3670</v>
      </c>
      <c r="V682">
        <v>880</v>
      </c>
      <c r="W682">
        <v>2790</v>
      </c>
    </row>
    <row r="683" spans="1:23" x14ac:dyDescent="0.3">
      <c r="A683" t="s">
        <v>1697</v>
      </c>
      <c r="B683">
        <v>2022</v>
      </c>
      <c r="C683">
        <v>0.5568600429144992</v>
      </c>
      <c r="D683">
        <v>911</v>
      </c>
      <c r="E683">
        <v>0</v>
      </c>
      <c r="F683">
        <v>1</v>
      </c>
      <c r="G683">
        <v>69</v>
      </c>
      <c r="H683">
        <v>8.7560615620219996E-4</v>
      </c>
      <c r="I683">
        <v>4</v>
      </c>
      <c r="J683">
        <v>0.22222222222222221</v>
      </c>
      <c r="K683">
        <v>1</v>
      </c>
      <c r="L683">
        <v>0</v>
      </c>
      <c r="M683">
        <v>4</v>
      </c>
      <c r="N683">
        <v>0.3547629316294636</v>
      </c>
      <c r="O683">
        <v>-0.36917105753992058</v>
      </c>
      <c r="P683">
        <v>170636138.13951799</v>
      </c>
      <c r="Q683">
        <v>0</v>
      </c>
      <c r="R683" t="s">
        <v>503</v>
      </c>
      <c r="S683" t="s">
        <v>574</v>
      </c>
      <c r="T683" t="s">
        <v>575</v>
      </c>
      <c r="U683">
        <v>868</v>
      </c>
      <c r="V683">
        <v>435</v>
      </c>
      <c r="W683">
        <v>433</v>
      </c>
    </row>
    <row r="684" spans="1:23" x14ac:dyDescent="0.3">
      <c r="A684" t="s">
        <v>1698</v>
      </c>
      <c r="B684">
        <v>2022</v>
      </c>
      <c r="C684">
        <v>0.51827529453810872</v>
      </c>
      <c r="D684">
        <v>2007</v>
      </c>
      <c r="E684">
        <v>0</v>
      </c>
      <c r="F684">
        <v>2</v>
      </c>
      <c r="G684">
        <v>101</v>
      </c>
      <c r="H684">
        <v>4.3411347360079998E-4</v>
      </c>
      <c r="I684">
        <v>5</v>
      </c>
      <c r="J684">
        <v>0</v>
      </c>
      <c r="K684">
        <v>0</v>
      </c>
      <c r="L684">
        <v>0</v>
      </c>
      <c r="M684">
        <v>12</v>
      </c>
      <c r="N684">
        <v>0.31793201532415599</v>
      </c>
      <c r="O684">
        <v>-0.37706955730502351</v>
      </c>
      <c r="P684">
        <v>189587510.5228329</v>
      </c>
      <c r="Q684">
        <v>0</v>
      </c>
      <c r="R684" t="s">
        <v>503</v>
      </c>
      <c r="S684" t="s">
        <v>574</v>
      </c>
      <c r="T684" t="s">
        <v>576</v>
      </c>
      <c r="U684">
        <v>1913</v>
      </c>
      <c r="V684">
        <v>586</v>
      </c>
      <c r="W684">
        <v>1327</v>
      </c>
    </row>
    <row r="685" spans="1:23" x14ac:dyDescent="0.3">
      <c r="A685" t="s">
        <v>1699</v>
      </c>
      <c r="B685">
        <v>2022</v>
      </c>
      <c r="C685">
        <v>0.48958454835670617</v>
      </c>
      <c r="D685">
        <v>1768</v>
      </c>
      <c r="E685">
        <v>0</v>
      </c>
      <c r="F685">
        <v>2</v>
      </c>
      <c r="G685">
        <v>139</v>
      </c>
      <c r="H685">
        <v>3.9967736638429999E-4</v>
      </c>
      <c r="I685">
        <v>10</v>
      </c>
      <c r="J685">
        <v>0</v>
      </c>
      <c r="K685">
        <v>0</v>
      </c>
      <c r="L685">
        <v>0</v>
      </c>
      <c r="M685">
        <v>10</v>
      </c>
      <c r="N685">
        <v>0.21074500084702069</v>
      </c>
      <c r="O685">
        <v>-0.37674263570317629</v>
      </c>
      <c r="P685">
        <v>231583457.98253191</v>
      </c>
      <c r="Q685">
        <v>0</v>
      </c>
      <c r="R685" t="s">
        <v>503</v>
      </c>
      <c r="S685" t="s">
        <v>574</v>
      </c>
      <c r="T685" t="s">
        <v>577</v>
      </c>
      <c r="U685">
        <v>1685</v>
      </c>
      <c r="V685">
        <v>410</v>
      </c>
      <c r="W685">
        <v>1275</v>
      </c>
    </row>
    <row r="686" spans="1:23" x14ac:dyDescent="0.3">
      <c r="A686" t="s">
        <v>1700</v>
      </c>
      <c r="B686">
        <v>2022</v>
      </c>
      <c r="C686">
        <v>0.52926816898179041</v>
      </c>
      <c r="D686">
        <v>2702</v>
      </c>
      <c r="E686">
        <v>0</v>
      </c>
      <c r="F686">
        <v>64</v>
      </c>
      <c r="G686">
        <v>133</v>
      </c>
      <c r="H686">
        <v>3.5310727853369998E-4</v>
      </c>
      <c r="I686">
        <v>12</v>
      </c>
      <c r="J686">
        <v>0</v>
      </c>
      <c r="K686">
        <v>0</v>
      </c>
      <c r="L686">
        <v>0</v>
      </c>
      <c r="M686">
        <v>19</v>
      </c>
      <c r="N686">
        <v>0.3736916743924642</v>
      </c>
      <c r="O686">
        <v>-0.38575411653485292</v>
      </c>
      <c r="P686">
        <v>174189461.63801959</v>
      </c>
      <c r="Q686">
        <v>0</v>
      </c>
      <c r="R686" t="s">
        <v>503</v>
      </c>
      <c r="S686" t="s">
        <v>574</v>
      </c>
      <c r="T686" t="s">
        <v>578</v>
      </c>
      <c r="U686">
        <v>2574</v>
      </c>
      <c r="V686">
        <v>632</v>
      </c>
      <c r="W686">
        <v>1942</v>
      </c>
    </row>
    <row r="687" spans="1:23" x14ac:dyDescent="0.3">
      <c r="A687" t="s">
        <v>1701</v>
      </c>
      <c r="B687">
        <v>2022</v>
      </c>
      <c r="C687">
        <v>0.74935578185917751</v>
      </c>
      <c r="D687">
        <v>2162</v>
      </c>
      <c r="E687">
        <v>0</v>
      </c>
      <c r="F687">
        <v>80</v>
      </c>
      <c r="G687">
        <v>72</v>
      </c>
      <c r="H687">
        <v>7.8616110113049998E-4</v>
      </c>
      <c r="I687">
        <v>5</v>
      </c>
      <c r="J687">
        <v>0</v>
      </c>
      <c r="K687">
        <v>0</v>
      </c>
      <c r="L687">
        <v>0</v>
      </c>
      <c r="M687">
        <v>1</v>
      </c>
      <c r="N687">
        <v>0.3615922900257868</v>
      </c>
      <c r="O687">
        <v>-0.36095062023280922</v>
      </c>
      <c r="P687">
        <v>43180880.265264571</v>
      </c>
      <c r="Q687">
        <v>0</v>
      </c>
      <c r="R687" t="s">
        <v>503</v>
      </c>
      <c r="S687" t="s">
        <v>581</v>
      </c>
      <c r="T687" t="s">
        <v>583</v>
      </c>
      <c r="U687">
        <v>2059</v>
      </c>
      <c r="V687">
        <v>397</v>
      </c>
      <c r="W687">
        <v>1662</v>
      </c>
    </row>
    <row r="688" spans="1:23" x14ac:dyDescent="0.3">
      <c r="A688" t="s">
        <v>1702</v>
      </c>
      <c r="B688">
        <v>2022</v>
      </c>
      <c r="C688">
        <v>0.62592662693831846</v>
      </c>
      <c r="D688">
        <v>3105</v>
      </c>
      <c r="E688">
        <v>0</v>
      </c>
      <c r="F688">
        <v>47</v>
      </c>
      <c r="G688">
        <v>138</v>
      </c>
      <c r="H688">
        <v>2.7666321617230002E-4</v>
      </c>
      <c r="I688">
        <v>16</v>
      </c>
      <c r="J688">
        <v>0</v>
      </c>
      <c r="K688">
        <v>0</v>
      </c>
      <c r="L688">
        <v>0</v>
      </c>
      <c r="M688">
        <v>1</v>
      </c>
      <c r="N688">
        <v>0.36364730965188141</v>
      </c>
      <c r="O688">
        <v>-0.36507381635680269</v>
      </c>
      <c r="P688">
        <v>92012779.016570807</v>
      </c>
      <c r="Q688">
        <v>0</v>
      </c>
      <c r="R688" t="s">
        <v>503</v>
      </c>
      <c r="S688" t="s">
        <v>581</v>
      </c>
      <c r="T688" t="s">
        <v>584</v>
      </c>
      <c r="U688">
        <v>2961</v>
      </c>
      <c r="V688">
        <v>151</v>
      </c>
      <c r="W688">
        <v>2810</v>
      </c>
    </row>
    <row r="689" spans="1:23" x14ac:dyDescent="0.3">
      <c r="A689" t="s">
        <v>1703</v>
      </c>
      <c r="B689">
        <v>2022</v>
      </c>
      <c r="C689">
        <v>0.80446912035483187</v>
      </c>
      <c r="D689">
        <v>2682</v>
      </c>
      <c r="E689">
        <v>0</v>
      </c>
      <c r="F689">
        <v>4</v>
      </c>
      <c r="G689">
        <v>86</v>
      </c>
      <c r="H689">
        <v>4.227116451526E-4</v>
      </c>
      <c r="I689">
        <v>3</v>
      </c>
      <c r="J689">
        <v>0</v>
      </c>
      <c r="K689">
        <v>0</v>
      </c>
      <c r="L689">
        <v>0</v>
      </c>
      <c r="M689">
        <v>1</v>
      </c>
      <c r="N689">
        <v>0.4787952136525051</v>
      </c>
      <c r="O689">
        <v>-0.4007099326315236</v>
      </c>
      <c r="P689">
        <v>92276414.021390736</v>
      </c>
      <c r="Q689">
        <v>0</v>
      </c>
      <c r="R689" t="s">
        <v>503</v>
      </c>
      <c r="S689" t="s">
        <v>585</v>
      </c>
      <c r="T689" t="s">
        <v>585</v>
      </c>
      <c r="U689">
        <v>2558</v>
      </c>
      <c r="V689">
        <v>1010</v>
      </c>
      <c r="W689">
        <v>1548</v>
      </c>
    </row>
    <row r="690" spans="1:23" x14ac:dyDescent="0.3">
      <c r="A690" t="s">
        <v>1704</v>
      </c>
      <c r="B690">
        <v>2022</v>
      </c>
      <c r="C690">
        <v>0.60340840180830413</v>
      </c>
      <c r="D690">
        <v>1172</v>
      </c>
      <c r="E690">
        <v>0</v>
      </c>
      <c r="F690">
        <v>6</v>
      </c>
      <c r="G690">
        <v>59</v>
      </c>
      <c r="H690">
        <v>6.2675324280489996E-4</v>
      </c>
      <c r="I690">
        <v>1</v>
      </c>
      <c r="J690">
        <v>0</v>
      </c>
      <c r="K690">
        <v>0</v>
      </c>
      <c r="L690">
        <v>0</v>
      </c>
      <c r="M690">
        <v>1</v>
      </c>
      <c r="N690">
        <v>0.52866337515002571</v>
      </c>
      <c r="O690">
        <v>-0.35286907107996368</v>
      </c>
      <c r="P690">
        <v>107961345.1591354</v>
      </c>
      <c r="Q690">
        <v>0</v>
      </c>
      <c r="R690" t="s">
        <v>503</v>
      </c>
      <c r="S690" t="s">
        <v>585</v>
      </c>
      <c r="T690" t="s">
        <v>587</v>
      </c>
      <c r="U690">
        <v>1119</v>
      </c>
      <c r="V690">
        <v>289</v>
      </c>
      <c r="W690">
        <v>830</v>
      </c>
    </row>
    <row r="691" spans="1:23" x14ac:dyDescent="0.3">
      <c r="A691" t="s">
        <v>1705</v>
      </c>
      <c r="B691">
        <v>2022</v>
      </c>
      <c r="C691">
        <v>1.4286165744544359</v>
      </c>
      <c r="D691">
        <v>3881</v>
      </c>
      <c r="E691">
        <v>0</v>
      </c>
      <c r="F691">
        <v>49</v>
      </c>
      <c r="G691">
        <v>94</v>
      </c>
      <c r="H691">
        <v>4.4842512019410002E-4</v>
      </c>
      <c r="I691">
        <v>4</v>
      </c>
      <c r="J691">
        <v>0</v>
      </c>
      <c r="K691">
        <v>0</v>
      </c>
      <c r="L691">
        <v>0</v>
      </c>
      <c r="M691">
        <v>3</v>
      </c>
      <c r="N691">
        <v>0.50944002386938436</v>
      </c>
      <c r="O691">
        <v>-0.34707098307561318</v>
      </c>
      <c r="P691">
        <v>61868913.809367828</v>
      </c>
      <c r="Q691">
        <v>0</v>
      </c>
      <c r="R691" t="s">
        <v>503</v>
      </c>
      <c r="S691" t="s">
        <v>588</v>
      </c>
      <c r="T691" t="s">
        <v>588</v>
      </c>
      <c r="U691">
        <v>3702</v>
      </c>
      <c r="V691">
        <v>1454</v>
      </c>
      <c r="W691">
        <v>2248</v>
      </c>
    </row>
    <row r="692" spans="1:23" x14ac:dyDescent="0.3">
      <c r="A692" t="s">
        <v>1706</v>
      </c>
      <c r="B692">
        <v>2022</v>
      </c>
      <c r="C692">
        <v>0.64687487174691993</v>
      </c>
      <c r="D692">
        <v>484</v>
      </c>
      <c r="E692">
        <v>0</v>
      </c>
      <c r="F692">
        <v>30</v>
      </c>
      <c r="G692">
        <v>25</v>
      </c>
      <c r="H692">
        <v>1.612826653444E-3</v>
      </c>
      <c r="I692">
        <v>10</v>
      </c>
      <c r="J692">
        <v>0</v>
      </c>
      <c r="K692">
        <v>0</v>
      </c>
      <c r="L692">
        <v>0</v>
      </c>
      <c r="M692">
        <v>0</v>
      </c>
      <c r="N692">
        <v>0.49612935957064541</v>
      </c>
      <c r="O692">
        <v>-0.3840364425532376</v>
      </c>
      <c r="P692">
        <v>51910530.451783083</v>
      </c>
      <c r="Q692">
        <v>0</v>
      </c>
      <c r="R692" t="s">
        <v>503</v>
      </c>
      <c r="S692" t="s">
        <v>588</v>
      </c>
      <c r="T692" t="s">
        <v>589</v>
      </c>
      <c r="U692">
        <v>462</v>
      </c>
      <c r="V692">
        <v>61</v>
      </c>
      <c r="W692">
        <v>401</v>
      </c>
    </row>
    <row r="693" spans="1:23" x14ac:dyDescent="0.3">
      <c r="A693" t="s">
        <v>1707</v>
      </c>
      <c r="B693">
        <v>2022</v>
      </c>
      <c r="C693">
        <v>0.88714393740367148</v>
      </c>
      <c r="D693">
        <v>5480</v>
      </c>
      <c r="E693">
        <v>0</v>
      </c>
      <c r="F693">
        <v>214</v>
      </c>
      <c r="G693">
        <v>67</v>
      </c>
      <c r="H693">
        <v>2.0089806447631999E-3</v>
      </c>
      <c r="I693">
        <v>8</v>
      </c>
      <c r="J693">
        <v>0</v>
      </c>
      <c r="K693">
        <v>0</v>
      </c>
      <c r="L693">
        <v>0</v>
      </c>
      <c r="M693">
        <v>2</v>
      </c>
      <c r="P693">
        <v>91430045.76835154</v>
      </c>
      <c r="Q693">
        <v>0</v>
      </c>
      <c r="R693" t="s">
        <v>590</v>
      </c>
      <c r="S693" t="s">
        <v>591</v>
      </c>
      <c r="T693" t="s">
        <v>592</v>
      </c>
      <c r="U693">
        <v>5226</v>
      </c>
      <c r="V693">
        <v>961</v>
      </c>
      <c r="W693">
        <v>4265</v>
      </c>
    </row>
    <row r="694" spans="1:23" x14ac:dyDescent="0.3">
      <c r="A694" t="s">
        <v>1708</v>
      </c>
      <c r="B694">
        <v>2022</v>
      </c>
      <c r="C694">
        <v>0.97598916678687919</v>
      </c>
      <c r="D694">
        <v>19933</v>
      </c>
      <c r="E694">
        <v>0</v>
      </c>
      <c r="F694">
        <v>839</v>
      </c>
      <c r="G694">
        <v>383</v>
      </c>
      <c r="H694">
        <v>3.253354443356E-4</v>
      </c>
      <c r="I694">
        <v>14</v>
      </c>
      <c r="J694">
        <v>0</v>
      </c>
      <c r="K694">
        <v>0</v>
      </c>
      <c r="L694">
        <v>0</v>
      </c>
      <c r="M694">
        <v>2</v>
      </c>
      <c r="N694">
        <v>0.46556201175109618</v>
      </c>
      <c r="O694">
        <v>-0.28844694545719268</v>
      </c>
      <c r="P694">
        <v>344065032.66206801</v>
      </c>
      <c r="Q694">
        <v>0</v>
      </c>
      <c r="R694" t="s">
        <v>590</v>
      </c>
      <c r="S694" t="s">
        <v>591</v>
      </c>
      <c r="T694" t="s">
        <v>593</v>
      </c>
      <c r="U694">
        <v>19008</v>
      </c>
      <c r="V694">
        <v>4099</v>
      </c>
      <c r="W694">
        <v>14909</v>
      </c>
    </row>
    <row r="695" spans="1:23" x14ac:dyDescent="0.3">
      <c r="A695" t="s">
        <v>1709</v>
      </c>
      <c r="B695">
        <v>2022</v>
      </c>
      <c r="C695">
        <v>1.0352165881552231</v>
      </c>
      <c r="D695">
        <v>14772</v>
      </c>
      <c r="E695">
        <v>0</v>
      </c>
      <c r="F695">
        <v>43</v>
      </c>
      <c r="G695">
        <v>184</v>
      </c>
      <c r="H695">
        <v>8.9933214245009998E-4</v>
      </c>
      <c r="I695">
        <v>7</v>
      </c>
      <c r="J695">
        <v>0</v>
      </c>
      <c r="K695">
        <v>0</v>
      </c>
      <c r="L695">
        <v>0</v>
      </c>
      <c r="M695">
        <v>0</v>
      </c>
      <c r="P695">
        <v>187077143.59632099</v>
      </c>
      <c r="Q695">
        <v>0</v>
      </c>
      <c r="R695" t="s">
        <v>590</v>
      </c>
      <c r="S695" t="s">
        <v>591</v>
      </c>
      <c r="T695" t="s">
        <v>91</v>
      </c>
      <c r="U695">
        <v>14093</v>
      </c>
      <c r="V695">
        <v>5110</v>
      </c>
      <c r="W695">
        <v>8983</v>
      </c>
    </row>
    <row r="696" spans="1:23" x14ac:dyDescent="0.3">
      <c r="A696" t="s">
        <v>1710</v>
      </c>
      <c r="B696">
        <v>2022</v>
      </c>
      <c r="C696">
        <v>1.0129232218928901</v>
      </c>
      <c r="D696">
        <v>14244</v>
      </c>
      <c r="E696">
        <v>0</v>
      </c>
      <c r="F696">
        <v>1</v>
      </c>
      <c r="G696">
        <v>148</v>
      </c>
      <c r="H696">
        <v>7.233244559307E-4</v>
      </c>
      <c r="I696">
        <v>25</v>
      </c>
      <c r="J696">
        <v>0</v>
      </c>
      <c r="K696">
        <v>0</v>
      </c>
      <c r="L696">
        <v>0</v>
      </c>
      <c r="M696">
        <v>2</v>
      </c>
      <c r="P696">
        <v>232860605.411879</v>
      </c>
      <c r="Q696">
        <v>0</v>
      </c>
      <c r="R696" t="s">
        <v>590</v>
      </c>
      <c r="S696" t="s">
        <v>595</v>
      </c>
      <c r="T696" t="s">
        <v>596</v>
      </c>
      <c r="U696">
        <v>13581</v>
      </c>
      <c r="V696">
        <v>1494</v>
      </c>
      <c r="W696">
        <v>12087</v>
      </c>
    </row>
    <row r="697" spans="1:23" x14ac:dyDescent="0.3">
      <c r="A697" t="s">
        <v>1711</v>
      </c>
      <c r="B697">
        <v>2022</v>
      </c>
      <c r="C697">
        <v>1.2735212663233311</v>
      </c>
      <c r="D697">
        <v>10629</v>
      </c>
      <c r="E697">
        <v>0</v>
      </c>
      <c r="F697">
        <v>3</v>
      </c>
      <c r="G697">
        <v>178</v>
      </c>
      <c r="H697">
        <v>6.4360632867430003E-4</v>
      </c>
      <c r="I697">
        <v>3</v>
      </c>
      <c r="J697">
        <v>0</v>
      </c>
      <c r="K697">
        <v>0</v>
      </c>
      <c r="L697">
        <v>0</v>
      </c>
      <c r="M697">
        <v>2</v>
      </c>
      <c r="P697">
        <v>111413322.9750011</v>
      </c>
      <c r="Q697">
        <v>0</v>
      </c>
      <c r="R697" t="s">
        <v>590</v>
      </c>
      <c r="S697" t="s">
        <v>595</v>
      </c>
      <c r="T697" t="s">
        <v>597</v>
      </c>
      <c r="U697">
        <v>10130</v>
      </c>
      <c r="V697">
        <v>3096</v>
      </c>
      <c r="W697">
        <v>7034</v>
      </c>
    </row>
    <row r="698" spans="1:23" x14ac:dyDescent="0.3">
      <c r="A698" t="s">
        <v>1712</v>
      </c>
      <c r="B698">
        <v>2022</v>
      </c>
      <c r="C698">
        <v>1.034176752518182</v>
      </c>
      <c r="D698">
        <v>27115</v>
      </c>
      <c r="E698">
        <v>0</v>
      </c>
      <c r="F698">
        <v>4</v>
      </c>
      <c r="G698">
        <v>406</v>
      </c>
      <c r="H698">
        <v>3.1917398852129999E-4</v>
      </c>
      <c r="I698">
        <v>2</v>
      </c>
      <c r="J698">
        <v>0</v>
      </c>
      <c r="K698">
        <v>0</v>
      </c>
      <c r="L698">
        <v>0</v>
      </c>
      <c r="M698">
        <v>9</v>
      </c>
      <c r="N698">
        <v>0.53489478890169562</v>
      </c>
      <c r="O698">
        <v>-0.28445477654117107</v>
      </c>
      <c r="P698">
        <v>298449777.21156448</v>
      </c>
      <c r="Q698">
        <v>0</v>
      </c>
      <c r="R698" t="s">
        <v>590</v>
      </c>
      <c r="S698" t="s">
        <v>408</v>
      </c>
      <c r="T698" t="s">
        <v>408</v>
      </c>
      <c r="U698">
        <v>25874</v>
      </c>
      <c r="V698">
        <v>12512</v>
      </c>
      <c r="W698">
        <v>13362</v>
      </c>
    </row>
    <row r="699" spans="1:23" x14ac:dyDescent="0.3">
      <c r="A699" t="s">
        <v>1713</v>
      </c>
      <c r="B699">
        <v>2022</v>
      </c>
      <c r="C699">
        <v>3.021605002194216</v>
      </c>
      <c r="D699">
        <v>10143</v>
      </c>
      <c r="E699">
        <v>0</v>
      </c>
      <c r="F699">
        <v>280</v>
      </c>
      <c r="G699">
        <v>113</v>
      </c>
      <c r="H699">
        <v>1.3012639740213E-3</v>
      </c>
      <c r="I699">
        <v>5</v>
      </c>
      <c r="J699">
        <v>0</v>
      </c>
      <c r="K699">
        <v>0</v>
      </c>
      <c r="L699">
        <v>0</v>
      </c>
      <c r="M699">
        <v>0</v>
      </c>
      <c r="P699">
        <v>50255159.399347477</v>
      </c>
      <c r="Q699">
        <v>0</v>
      </c>
      <c r="R699" t="s">
        <v>590</v>
      </c>
      <c r="S699" t="s">
        <v>569</v>
      </c>
      <c r="T699" t="s">
        <v>602</v>
      </c>
      <c r="U699">
        <v>9671</v>
      </c>
      <c r="V699">
        <v>3369</v>
      </c>
      <c r="W699">
        <v>6302</v>
      </c>
    </row>
    <row r="700" spans="1:23" x14ac:dyDescent="0.3">
      <c r="A700" t="s">
        <v>1714</v>
      </c>
      <c r="B700">
        <v>2022</v>
      </c>
      <c r="C700">
        <v>1.2758611382386831</v>
      </c>
      <c r="D700">
        <v>24606</v>
      </c>
      <c r="E700">
        <v>0</v>
      </c>
      <c r="F700">
        <v>3042</v>
      </c>
      <c r="G700">
        <v>438</v>
      </c>
      <c r="H700">
        <v>2.047024446402E-4</v>
      </c>
      <c r="I700">
        <v>5</v>
      </c>
      <c r="J700">
        <v>0</v>
      </c>
      <c r="K700">
        <v>0</v>
      </c>
      <c r="L700">
        <v>0</v>
      </c>
      <c r="M700">
        <v>3</v>
      </c>
      <c r="P700">
        <v>334514078.68137658</v>
      </c>
      <c r="Q700">
        <v>0</v>
      </c>
      <c r="R700" t="s">
        <v>590</v>
      </c>
      <c r="S700" t="s">
        <v>569</v>
      </c>
      <c r="T700" t="s">
        <v>37</v>
      </c>
      <c r="U700">
        <v>23427</v>
      </c>
      <c r="V700">
        <v>4552</v>
      </c>
      <c r="W700">
        <v>18875</v>
      </c>
    </row>
    <row r="701" spans="1:23" x14ac:dyDescent="0.3">
      <c r="A701" t="s">
        <v>1715</v>
      </c>
      <c r="B701">
        <v>2022</v>
      </c>
      <c r="C701">
        <v>3.1838351488318062</v>
      </c>
      <c r="D701">
        <v>51337</v>
      </c>
      <c r="E701">
        <v>0</v>
      </c>
      <c r="F701">
        <v>62</v>
      </c>
      <c r="G701">
        <v>494</v>
      </c>
      <c r="H701">
        <v>4.701125662474E-4</v>
      </c>
      <c r="I701">
        <v>3</v>
      </c>
      <c r="J701">
        <v>0</v>
      </c>
      <c r="K701">
        <v>0</v>
      </c>
      <c r="L701">
        <v>0</v>
      </c>
      <c r="M701">
        <v>7</v>
      </c>
      <c r="P701">
        <v>153143254.16192701</v>
      </c>
      <c r="Q701">
        <v>0</v>
      </c>
      <c r="R701" t="s">
        <v>590</v>
      </c>
      <c r="S701" t="s">
        <v>603</v>
      </c>
      <c r="T701" t="s">
        <v>603</v>
      </c>
      <c r="U701">
        <v>48988</v>
      </c>
      <c r="V701">
        <v>23373</v>
      </c>
      <c r="W701">
        <v>25615</v>
      </c>
    </row>
    <row r="702" spans="1:23" x14ac:dyDescent="0.3">
      <c r="A702" t="s">
        <v>1716</v>
      </c>
      <c r="B702">
        <v>2022</v>
      </c>
      <c r="C702">
        <v>1.2873628507418331</v>
      </c>
      <c r="D702">
        <v>19254</v>
      </c>
      <c r="E702">
        <v>0</v>
      </c>
      <c r="F702">
        <v>114</v>
      </c>
      <c r="G702">
        <v>325</v>
      </c>
      <c r="H702">
        <v>2.6804985500259999E-4</v>
      </c>
      <c r="I702">
        <v>17</v>
      </c>
      <c r="J702">
        <v>0</v>
      </c>
      <c r="K702">
        <v>0</v>
      </c>
      <c r="L702">
        <v>0</v>
      </c>
      <c r="M702">
        <v>5</v>
      </c>
      <c r="P702">
        <v>245535844.50032839</v>
      </c>
      <c r="Q702">
        <v>0</v>
      </c>
      <c r="R702" t="s">
        <v>590</v>
      </c>
      <c r="S702" t="s">
        <v>603</v>
      </c>
      <c r="T702" t="s">
        <v>604</v>
      </c>
      <c r="U702">
        <v>18364</v>
      </c>
      <c r="V702">
        <v>2213</v>
      </c>
      <c r="W702">
        <v>16151</v>
      </c>
    </row>
    <row r="703" spans="1:23" x14ac:dyDescent="0.3">
      <c r="A703" t="s">
        <v>1717</v>
      </c>
      <c r="B703">
        <v>2022</v>
      </c>
      <c r="C703">
        <v>1.2085803947223619</v>
      </c>
      <c r="D703">
        <v>3251</v>
      </c>
      <c r="E703">
        <v>0</v>
      </c>
      <c r="F703">
        <v>167</v>
      </c>
      <c r="G703">
        <v>84</v>
      </c>
      <c r="H703">
        <v>5.3619026726650003E-4</v>
      </c>
      <c r="I703">
        <v>9</v>
      </c>
      <c r="J703">
        <v>0</v>
      </c>
      <c r="K703">
        <v>0</v>
      </c>
      <c r="L703">
        <v>0</v>
      </c>
      <c r="M703">
        <v>1</v>
      </c>
      <c r="P703">
        <v>61060171.684765853</v>
      </c>
      <c r="Q703">
        <v>0</v>
      </c>
      <c r="R703" t="s">
        <v>590</v>
      </c>
      <c r="S703" t="s">
        <v>603</v>
      </c>
      <c r="T703" t="s">
        <v>605</v>
      </c>
      <c r="U703">
        <v>3101</v>
      </c>
      <c r="V703">
        <v>259</v>
      </c>
      <c r="W703">
        <v>2842</v>
      </c>
    </row>
    <row r="704" spans="1:23" x14ac:dyDescent="0.3">
      <c r="A704" t="s">
        <v>1718</v>
      </c>
      <c r="B704">
        <v>2022</v>
      </c>
      <c r="C704">
        <v>0.97869615976338342</v>
      </c>
      <c r="D704">
        <v>26051</v>
      </c>
      <c r="E704">
        <v>0</v>
      </c>
      <c r="F704">
        <v>22</v>
      </c>
      <c r="G704">
        <v>267</v>
      </c>
      <c r="H704">
        <v>4.0393182420499999E-4</v>
      </c>
      <c r="I704">
        <v>39</v>
      </c>
      <c r="J704">
        <v>0</v>
      </c>
      <c r="K704">
        <v>0</v>
      </c>
      <c r="L704">
        <v>0</v>
      </c>
      <c r="M704">
        <v>2</v>
      </c>
      <c r="N704">
        <v>0.29443977213511818</v>
      </c>
      <c r="O704">
        <v>-0.32980527981436231</v>
      </c>
      <c r="P704">
        <v>569220652.7098521</v>
      </c>
      <c r="Q704">
        <v>0</v>
      </c>
      <c r="R704" t="s">
        <v>590</v>
      </c>
      <c r="S704" t="s">
        <v>609</v>
      </c>
      <c r="T704" t="s">
        <v>609</v>
      </c>
      <c r="U704">
        <v>24838</v>
      </c>
      <c r="V704">
        <v>4215</v>
      </c>
      <c r="W704">
        <v>20623</v>
      </c>
    </row>
    <row r="705" spans="1:23" x14ac:dyDescent="0.3">
      <c r="A705" t="s">
        <v>1719</v>
      </c>
      <c r="B705">
        <v>2022</v>
      </c>
      <c r="C705">
        <v>1.3637393939977209</v>
      </c>
      <c r="D705">
        <v>20416</v>
      </c>
      <c r="E705">
        <v>0</v>
      </c>
      <c r="F705">
        <v>15</v>
      </c>
      <c r="G705">
        <v>428</v>
      </c>
      <c r="H705">
        <v>2.4980600724110001E-4</v>
      </c>
      <c r="I705">
        <v>12</v>
      </c>
      <c r="J705">
        <v>0</v>
      </c>
      <c r="K705">
        <v>0</v>
      </c>
      <c r="L705">
        <v>0</v>
      </c>
      <c r="M705">
        <v>5</v>
      </c>
      <c r="N705">
        <v>0.52675789406339846</v>
      </c>
      <c r="O705">
        <v>-0.19649350100497431</v>
      </c>
      <c r="P705">
        <v>287737034.76405841</v>
      </c>
      <c r="Q705">
        <v>0</v>
      </c>
      <c r="R705" t="s">
        <v>590</v>
      </c>
      <c r="S705" t="s">
        <v>615</v>
      </c>
      <c r="T705" t="s">
        <v>615</v>
      </c>
      <c r="U705">
        <v>19464</v>
      </c>
      <c r="V705">
        <v>5280</v>
      </c>
      <c r="W705">
        <v>14184</v>
      </c>
    </row>
    <row r="706" spans="1:23" x14ac:dyDescent="0.3">
      <c r="A706" t="s">
        <v>1720</v>
      </c>
      <c r="B706">
        <v>2022</v>
      </c>
      <c r="C706">
        <v>2.5136261261992581</v>
      </c>
      <c r="D706">
        <v>4940</v>
      </c>
      <c r="E706">
        <v>0</v>
      </c>
      <c r="F706">
        <v>1468</v>
      </c>
      <c r="G706">
        <v>143</v>
      </c>
      <c r="H706">
        <v>1.5139553997549E-3</v>
      </c>
      <c r="I706">
        <v>24</v>
      </c>
      <c r="J706">
        <v>0</v>
      </c>
      <c r="K706">
        <v>0</v>
      </c>
      <c r="L706">
        <v>0</v>
      </c>
      <c r="M706">
        <v>1</v>
      </c>
      <c r="N706">
        <v>0.38211391084138119</v>
      </c>
      <c r="O706">
        <v>-0.20822962709626699</v>
      </c>
      <c r="P706">
        <v>31060749.30406601</v>
      </c>
      <c r="Q706">
        <v>0</v>
      </c>
      <c r="R706" t="s">
        <v>616</v>
      </c>
      <c r="S706" t="s">
        <v>617</v>
      </c>
      <c r="T706" t="s">
        <v>618</v>
      </c>
      <c r="U706">
        <v>4714</v>
      </c>
      <c r="V706">
        <v>608</v>
      </c>
      <c r="W706">
        <v>4106</v>
      </c>
    </row>
    <row r="707" spans="1:23" x14ac:dyDescent="0.3">
      <c r="A707" t="s">
        <v>1721</v>
      </c>
      <c r="B707">
        <v>2022</v>
      </c>
      <c r="C707">
        <v>1.7526389084842391</v>
      </c>
      <c r="D707">
        <v>4386</v>
      </c>
      <c r="E707">
        <v>0</v>
      </c>
      <c r="F707">
        <v>1116</v>
      </c>
      <c r="G707">
        <v>177</v>
      </c>
      <c r="H707">
        <v>9.0089073303880002E-4</v>
      </c>
      <c r="I707">
        <v>8</v>
      </c>
      <c r="J707">
        <v>0</v>
      </c>
      <c r="K707">
        <v>0</v>
      </c>
      <c r="L707">
        <v>0</v>
      </c>
      <c r="M707">
        <v>9</v>
      </c>
      <c r="N707">
        <v>0.26545551508139692</v>
      </c>
      <c r="O707">
        <v>-0.17123927916574941</v>
      </c>
      <c r="P707">
        <v>37025167.836782292</v>
      </c>
      <c r="Q707">
        <v>0</v>
      </c>
      <c r="R707" t="s">
        <v>616</v>
      </c>
      <c r="S707" t="s">
        <v>617</v>
      </c>
      <c r="T707" t="s">
        <v>620</v>
      </c>
      <c r="U707">
        <v>4181</v>
      </c>
      <c r="V707">
        <v>320</v>
      </c>
      <c r="W707">
        <v>3861</v>
      </c>
    </row>
    <row r="708" spans="1:23" x14ac:dyDescent="0.3">
      <c r="A708" t="s">
        <v>1722</v>
      </c>
      <c r="B708">
        <v>2022</v>
      </c>
      <c r="C708">
        <v>4.9199076768460781</v>
      </c>
      <c r="D708">
        <v>17917</v>
      </c>
      <c r="E708">
        <v>0</v>
      </c>
      <c r="F708">
        <v>4785</v>
      </c>
      <c r="G708">
        <v>691</v>
      </c>
      <c r="H708">
        <v>3.1391335650150001E-4</v>
      </c>
      <c r="I708">
        <v>73</v>
      </c>
      <c r="J708">
        <v>0.25</v>
      </c>
      <c r="K708">
        <v>1</v>
      </c>
      <c r="L708">
        <v>0</v>
      </c>
      <c r="M708">
        <v>20</v>
      </c>
      <c r="N708">
        <v>0.30500144901301152</v>
      </c>
      <c r="O708">
        <v>-0.2275187225415799</v>
      </c>
      <c r="P708">
        <v>90676535.472301885</v>
      </c>
      <c r="Q708">
        <v>0</v>
      </c>
      <c r="R708" t="s">
        <v>616</v>
      </c>
      <c r="S708" t="s">
        <v>617</v>
      </c>
      <c r="T708" t="s">
        <v>621</v>
      </c>
      <c r="U708">
        <v>14850</v>
      </c>
      <c r="V708">
        <v>1354</v>
      </c>
      <c r="W708">
        <v>13496</v>
      </c>
    </row>
    <row r="709" spans="1:23" x14ac:dyDescent="0.3">
      <c r="A709" t="s">
        <v>1723</v>
      </c>
      <c r="B709">
        <v>2022</v>
      </c>
      <c r="C709">
        <v>0.98356156537497963</v>
      </c>
      <c r="D709">
        <v>2850</v>
      </c>
      <c r="E709">
        <v>0</v>
      </c>
      <c r="F709">
        <v>1046</v>
      </c>
      <c r="G709">
        <v>118</v>
      </c>
      <c r="H709">
        <v>1.0054902635367E-3</v>
      </c>
      <c r="I709">
        <v>17</v>
      </c>
      <c r="J709">
        <v>0</v>
      </c>
      <c r="K709">
        <v>0</v>
      </c>
      <c r="L709">
        <v>0</v>
      </c>
      <c r="M709">
        <v>2</v>
      </c>
      <c r="N709">
        <v>0.3403448203913596</v>
      </c>
      <c r="O709">
        <v>-0.1571853336638829</v>
      </c>
      <c r="P709">
        <v>60668468.086197197</v>
      </c>
      <c r="Q709">
        <v>0</v>
      </c>
      <c r="R709" t="s">
        <v>616</v>
      </c>
      <c r="S709" t="s">
        <v>617</v>
      </c>
      <c r="T709" t="s">
        <v>623</v>
      </c>
      <c r="U709">
        <v>2717</v>
      </c>
      <c r="V709">
        <v>25</v>
      </c>
      <c r="W709">
        <v>2692</v>
      </c>
    </row>
    <row r="710" spans="1:23" x14ac:dyDescent="0.3">
      <c r="A710" t="s">
        <v>1724</v>
      </c>
      <c r="B710">
        <v>2022</v>
      </c>
      <c r="C710">
        <v>0.62521649155322545</v>
      </c>
      <c r="D710">
        <v>3749</v>
      </c>
      <c r="E710">
        <v>0</v>
      </c>
      <c r="F710">
        <v>229</v>
      </c>
      <c r="G710">
        <v>219</v>
      </c>
      <c r="H710">
        <v>2.8184818771169999E-4</v>
      </c>
      <c r="I710">
        <v>36</v>
      </c>
      <c r="J710">
        <v>0</v>
      </c>
      <c r="K710">
        <v>0</v>
      </c>
      <c r="L710">
        <v>0</v>
      </c>
      <c r="M710">
        <v>19</v>
      </c>
      <c r="N710">
        <v>0.3870002835216616</v>
      </c>
      <c r="O710">
        <v>-0.19375543273431681</v>
      </c>
      <c r="P710">
        <v>121552632.4500628</v>
      </c>
      <c r="Q710">
        <v>0</v>
      </c>
      <c r="R710" t="s">
        <v>616</v>
      </c>
      <c r="S710" t="s">
        <v>101</v>
      </c>
      <c r="T710" t="s">
        <v>625</v>
      </c>
      <c r="U710">
        <v>3573</v>
      </c>
      <c r="V710">
        <v>289</v>
      </c>
      <c r="W710">
        <v>3284</v>
      </c>
    </row>
    <row r="711" spans="1:23" x14ac:dyDescent="0.3">
      <c r="A711" t="s">
        <v>1725</v>
      </c>
      <c r="B711">
        <v>2022</v>
      </c>
      <c r="C711">
        <v>0.65923749827703038</v>
      </c>
      <c r="D711">
        <v>4666</v>
      </c>
      <c r="E711">
        <v>0</v>
      </c>
      <c r="F711">
        <v>2359</v>
      </c>
      <c r="G711">
        <v>826</v>
      </c>
      <c r="H711">
        <v>1.5524305694209999E-4</v>
      </c>
      <c r="I711">
        <v>117</v>
      </c>
      <c r="J711">
        <v>0</v>
      </c>
      <c r="K711">
        <v>0</v>
      </c>
      <c r="L711">
        <v>0</v>
      </c>
      <c r="M711">
        <v>15</v>
      </c>
      <c r="N711">
        <v>0.20851045021641959</v>
      </c>
      <c r="O711">
        <v>-0.26903852771219361</v>
      </c>
      <c r="P711">
        <v>234770603.86088559</v>
      </c>
      <c r="Q711">
        <v>0</v>
      </c>
      <c r="R711" t="s">
        <v>616</v>
      </c>
      <c r="S711" t="s">
        <v>626</v>
      </c>
      <c r="T711" t="s">
        <v>627</v>
      </c>
      <c r="U711">
        <v>4444</v>
      </c>
      <c r="V711">
        <v>198</v>
      </c>
      <c r="W711">
        <v>4246</v>
      </c>
    </row>
    <row r="712" spans="1:23" x14ac:dyDescent="0.3">
      <c r="A712" t="s">
        <v>1726</v>
      </c>
      <c r="B712">
        <v>2022</v>
      </c>
      <c r="C712">
        <v>0.66158343830048738</v>
      </c>
      <c r="D712">
        <v>6678</v>
      </c>
      <c r="E712">
        <v>0</v>
      </c>
      <c r="F712">
        <v>3296</v>
      </c>
      <c r="G712">
        <v>1035</v>
      </c>
      <c r="H712">
        <v>1.0930745826039999E-4</v>
      </c>
      <c r="I712">
        <v>147</v>
      </c>
      <c r="J712">
        <v>0</v>
      </c>
      <c r="K712">
        <v>0</v>
      </c>
      <c r="L712">
        <v>0</v>
      </c>
      <c r="M712">
        <v>35</v>
      </c>
      <c r="N712">
        <v>0.39010829375561201</v>
      </c>
      <c r="O712">
        <v>-0.27951292382567072</v>
      </c>
      <c r="P712">
        <v>299117442.27025378</v>
      </c>
      <c r="Q712">
        <v>0</v>
      </c>
      <c r="R712" t="s">
        <v>616</v>
      </c>
      <c r="S712" t="s">
        <v>626</v>
      </c>
      <c r="T712" t="s">
        <v>629</v>
      </c>
      <c r="U712">
        <v>6369</v>
      </c>
      <c r="V712">
        <v>518</v>
      </c>
      <c r="W712">
        <v>5851</v>
      </c>
    </row>
    <row r="713" spans="1:23" x14ac:dyDescent="0.3">
      <c r="A713" t="s">
        <v>1727</v>
      </c>
      <c r="B713">
        <v>2022</v>
      </c>
      <c r="C713">
        <v>0.6965548932533685</v>
      </c>
      <c r="D713">
        <v>6380</v>
      </c>
      <c r="E713">
        <v>0</v>
      </c>
      <c r="F713">
        <v>878</v>
      </c>
      <c r="G713">
        <v>584</v>
      </c>
      <c r="H713">
        <v>9.9949886870076077E-5</v>
      </c>
      <c r="I713">
        <v>82</v>
      </c>
      <c r="J713">
        <v>0</v>
      </c>
      <c r="K713">
        <v>0</v>
      </c>
      <c r="L713">
        <v>0</v>
      </c>
      <c r="M713">
        <v>21</v>
      </c>
      <c r="N713">
        <v>0.36174036147176941</v>
      </c>
      <c r="O713">
        <v>-0.18363441750982559</v>
      </c>
      <c r="P713">
        <v>569087243.39331782</v>
      </c>
      <c r="Q713">
        <v>0</v>
      </c>
      <c r="R713" t="s">
        <v>616</v>
      </c>
      <c r="S713" t="s">
        <v>626</v>
      </c>
      <c r="T713" t="s">
        <v>630</v>
      </c>
      <c r="U713">
        <v>6082</v>
      </c>
      <c r="V713">
        <v>180</v>
      </c>
      <c r="W713">
        <v>5902</v>
      </c>
    </row>
    <row r="714" spans="1:23" x14ac:dyDescent="0.3">
      <c r="A714" t="s">
        <v>1728</v>
      </c>
      <c r="B714">
        <v>2022</v>
      </c>
      <c r="C714">
        <v>0.75599374429656907</v>
      </c>
      <c r="D714">
        <v>8217</v>
      </c>
      <c r="E714">
        <v>0</v>
      </c>
      <c r="F714">
        <v>3844</v>
      </c>
      <c r="G714">
        <v>1352</v>
      </c>
      <c r="H714">
        <v>7.3360412578851646E-5</v>
      </c>
      <c r="I714">
        <v>244</v>
      </c>
      <c r="J714">
        <v>0</v>
      </c>
      <c r="K714">
        <v>0</v>
      </c>
      <c r="L714">
        <v>0</v>
      </c>
      <c r="M714">
        <v>44</v>
      </c>
      <c r="N714">
        <v>0.33822829226925688</v>
      </c>
      <c r="O714">
        <v>-0.16563327787878029</v>
      </c>
      <c r="P714">
        <v>398746817.93539172</v>
      </c>
      <c r="Q714">
        <v>0</v>
      </c>
      <c r="R714" t="s">
        <v>616</v>
      </c>
      <c r="S714" t="s">
        <v>626</v>
      </c>
      <c r="T714" t="s">
        <v>37</v>
      </c>
      <c r="U714">
        <v>7831</v>
      </c>
      <c r="V714">
        <v>986</v>
      </c>
      <c r="W714">
        <v>6845</v>
      </c>
    </row>
    <row r="715" spans="1:23" x14ac:dyDescent="0.3">
      <c r="A715" t="s">
        <v>1729</v>
      </c>
      <c r="B715">
        <v>2022</v>
      </c>
      <c r="C715">
        <v>1.526660954551738</v>
      </c>
      <c r="D715">
        <v>9935</v>
      </c>
      <c r="E715">
        <v>0</v>
      </c>
      <c r="F715">
        <v>3524</v>
      </c>
      <c r="G715">
        <v>1367</v>
      </c>
      <c r="H715">
        <v>1.3972929160819999E-4</v>
      </c>
      <c r="I715">
        <v>183</v>
      </c>
      <c r="J715">
        <v>0</v>
      </c>
      <c r="K715">
        <v>0</v>
      </c>
      <c r="L715">
        <v>0</v>
      </c>
      <c r="M715">
        <v>17</v>
      </c>
      <c r="N715">
        <v>0.17490652376661681</v>
      </c>
      <c r="O715">
        <v>-0.2227103102574276</v>
      </c>
      <c r="P715">
        <v>212418346.5890632</v>
      </c>
      <c r="Q715">
        <v>0</v>
      </c>
      <c r="R715" t="s">
        <v>616</v>
      </c>
      <c r="S715" t="s">
        <v>626</v>
      </c>
      <c r="T715" t="s">
        <v>149</v>
      </c>
      <c r="U715">
        <v>9482</v>
      </c>
      <c r="V715">
        <v>2215</v>
      </c>
      <c r="W715">
        <v>7267</v>
      </c>
    </row>
    <row r="716" spans="1:23" x14ac:dyDescent="0.3">
      <c r="A716" t="s">
        <v>1730</v>
      </c>
      <c r="B716">
        <v>2022</v>
      </c>
      <c r="C716">
        <v>0.85765574803421663</v>
      </c>
      <c r="D716">
        <v>4100</v>
      </c>
      <c r="E716">
        <v>0</v>
      </c>
      <c r="F716">
        <v>438</v>
      </c>
      <c r="G716">
        <v>120</v>
      </c>
      <c r="H716">
        <v>3.2273655646019998E-4</v>
      </c>
      <c r="I716">
        <v>4</v>
      </c>
      <c r="J716">
        <v>0</v>
      </c>
      <c r="K716">
        <v>0</v>
      </c>
      <c r="L716">
        <v>0</v>
      </c>
      <c r="M716">
        <v>17</v>
      </c>
      <c r="N716">
        <v>0.37941611987653129</v>
      </c>
      <c r="O716">
        <v>-0.17378467248223331</v>
      </c>
      <c r="P716">
        <v>290516710.4318611</v>
      </c>
      <c r="Q716">
        <v>0</v>
      </c>
      <c r="R716" t="s">
        <v>616</v>
      </c>
      <c r="S716" t="s">
        <v>631</v>
      </c>
      <c r="T716" t="s">
        <v>632</v>
      </c>
      <c r="U716">
        <v>3911</v>
      </c>
      <c r="V716">
        <v>399</v>
      </c>
      <c r="W716">
        <v>3512</v>
      </c>
    </row>
    <row r="717" spans="1:23" x14ac:dyDescent="0.3">
      <c r="A717" t="s">
        <v>1731</v>
      </c>
      <c r="B717">
        <v>2022</v>
      </c>
      <c r="C717">
        <v>1.2402796300043011</v>
      </c>
      <c r="D717">
        <v>7603</v>
      </c>
      <c r="E717">
        <v>0</v>
      </c>
      <c r="F717">
        <v>42</v>
      </c>
      <c r="G717">
        <v>225</v>
      </c>
      <c r="H717">
        <v>2.9792204645549998E-4</v>
      </c>
      <c r="I717">
        <v>7</v>
      </c>
      <c r="J717">
        <v>0</v>
      </c>
      <c r="K717">
        <v>0</v>
      </c>
      <c r="L717">
        <v>0</v>
      </c>
      <c r="M717">
        <v>8</v>
      </c>
      <c r="N717">
        <v>0.38886405329621321</v>
      </c>
      <c r="O717">
        <v>-0.18128428375874719</v>
      </c>
      <c r="P717">
        <v>188870603.7189748</v>
      </c>
      <c r="Q717">
        <v>0</v>
      </c>
      <c r="R717" t="s">
        <v>616</v>
      </c>
      <c r="S717" t="s">
        <v>631</v>
      </c>
      <c r="T717" t="s">
        <v>633</v>
      </c>
      <c r="U717">
        <v>7251</v>
      </c>
      <c r="V717">
        <v>629</v>
      </c>
      <c r="W717">
        <v>6622</v>
      </c>
    </row>
    <row r="718" spans="1:23" x14ac:dyDescent="0.3">
      <c r="A718" t="s">
        <v>1732</v>
      </c>
      <c r="B718">
        <v>2022</v>
      </c>
      <c r="C718">
        <v>0.83451735910674751</v>
      </c>
      <c r="D718">
        <v>14337</v>
      </c>
      <c r="E718">
        <v>0</v>
      </c>
      <c r="F718">
        <v>1178</v>
      </c>
      <c r="G718">
        <v>401</v>
      </c>
      <c r="H718">
        <v>1.5904119208160001E-4</v>
      </c>
      <c r="I718">
        <v>19</v>
      </c>
      <c r="J718">
        <v>0.2</v>
      </c>
      <c r="K718">
        <v>3</v>
      </c>
      <c r="L718">
        <v>0</v>
      </c>
      <c r="M718">
        <v>23</v>
      </c>
      <c r="N718">
        <v>0.38678543982508379</v>
      </c>
      <c r="O718">
        <v>-0.13005126683894269</v>
      </c>
      <c r="P718">
        <v>339075365.01683241</v>
      </c>
      <c r="Q718">
        <v>0</v>
      </c>
      <c r="R718" t="s">
        <v>616</v>
      </c>
      <c r="S718" t="s">
        <v>631</v>
      </c>
      <c r="T718" t="s">
        <v>634</v>
      </c>
      <c r="U718">
        <v>13662</v>
      </c>
      <c r="V718">
        <v>1006</v>
      </c>
      <c r="W718">
        <v>12656</v>
      </c>
    </row>
    <row r="719" spans="1:23" x14ac:dyDescent="0.3">
      <c r="A719" t="s">
        <v>1733</v>
      </c>
      <c r="B719">
        <v>2022</v>
      </c>
      <c r="C719">
        <v>0.55519452245929568</v>
      </c>
      <c r="D719">
        <v>2839</v>
      </c>
      <c r="E719">
        <v>0</v>
      </c>
      <c r="F719">
        <v>154</v>
      </c>
      <c r="G719">
        <v>145</v>
      </c>
      <c r="H719">
        <v>3.788567618354E-4</v>
      </c>
      <c r="I719">
        <v>22</v>
      </c>
      <c r="J719">
        <v>0</v>
      </c>
      <c r="K719">
        <v>0</v>
      </c>
      <c r="L719">
        <v>0</v>
      </c>
      <c r="M719">
        <v>2</v>
      </c>
      <c r="N719">
        <v>0.43530789023523658</v>
      </c>
      <c r="O719">
        <v>-0.23934801979647391</v>
      </c>
      <c r="P719">
        <v>259822985.73622411</v>
      </c>
      <c r="Q719">
        <v>0</v>
      </c>
      <c r="R719" t="s">
        <v>616</v>
      </c>
      <c r="S719" t="s">
        <v>636</v>
      </c>
      <c r="T719" t="s">
        <v>637</v>
      </c>
      <c r="U719">
        <v>2707</v>
      </c>
      <c r="V719">
        <v>190</v>
      </c>
      <c r="W719">
        <v>2517</v>
      </c>
    </row>
    <row r="720" spans="1:23" x14ac:dyDescent="0.3">
      <c r="A720" t="s">
        <v>1734</v>
      </c>
      <c r="B720">
        <v>2022</v>
      </c>
      <c r="C720">
        <v>0.94501226357468837</v>
      </c>
      <c r="D720">
        <v>3701</v>
      </c>
      <c r="E720">
        <v>0</v>
      </c>
      <c r="F720">
        <v>852</v>
      </c>
      <c r="G720">
        <v>278</v>
      </c>
      <c r="H720">
        <v>3.0840378887910002E-4</v>
      </c>
      <c r="I720">
        <v>26</v>
      </c>
      <c r="J720">
        <v>0</v>
      </c>
      <c r="K720">
        <v>0</v>
      </c>
      <c r="L720">
        <v>0</v>
      </c>
      <c r="M720">
        <v>11</v>
      </c>
      <c r="N720">
        <v>0.39461365564162171</v>
      </c>
      <c r="O720">
        <v>-0.22409409611649619</v>
      </c>
      <c r="P720">
        <v>100403191.22477859</v>
      </c>
      <c r="Q720">
        <v>0</v>
      </c>
      <c r="R720" t="s">
        <v>616</v>
      </c>
      <c r="S720" t="s">
        <v>636</v>
      </c>
      <c r="T720" t="s">
        <v>638</v>
      </c>
      <c r="U720">
        <v>3527</v>
      </c>
      <c r="V720">
        <v>379</v>
      </c>
      <c r="W720">
        <v>3148</v>
      </c>
    </row>
    <row r="721" spans="1:23" x14ac:dyDescent="0.3">
      <c r="A721" t="s">
        <v>1735</v>
      </c>
      <c r="B721">
        <v>2022</v>
      </c>
      <c r="C721">
        <v>0.9284838655845512</v>
      </c>
      <c r="D721">
        <v>3586</v>
      </c>
      <c r="E721">
        <v>0</v>
      </c>
      <c r="F721">
        <v>357</v>
      </c>
      <c r="G721">
        <v>101</v>
      </c>
      <c r="H721">
        <v>6.559506469469E-4</v>
      </c>
      <c r="I721">
        <v>17</v>
      </c>
      <c r="J721">
        <v>0</v>
      </c>
      <c r="K721">
        <v>0</v>
      </c>
      <c r="L721">
        <v>0</v>
      </c>
      <c r="M721">
        <v>2</v>
      </c>
      <c r="N721">
        <v>0.38049955151823772</v>
      </c>
      <c r="O721">
        <v>-0.21899089561848459</v>
      </c>
      <c r="P721">
        <v>90155063.796481639</v>
      </c>
      <c r="Q721">
        <v>0</v>
      </c>
      <c r="R721" t="s">
        <v>616</v>
      </c>
      <c r="S721" t="s">
        <v>639</v>
      </c>
      <c r="T721" t="s">
        <v>640</v>
      </c>
      <c r="U721">
        <v>3418</v>
      </c>
      <c r="V721">
        <v>209</v>
      </c>
      <c r="W721">
        <v>3209</v>
      </c>
    </row>
    <row r="722" spans="1:23" x14ac:dyDescent="0.3">
      <c r="A722" t="s">
        <v>1736</v>
      </c>
      <c r="B722">
        <v>2022</v>
      </c>
      <c r="C722">
        <v>1.0532576990473019</v>
      </c>
      <c r="D722">
        <v>7368</v>
      </c>
      <c r="E722">
        <v>0</v>
      </c>
      <c r="F722">
        <v>232</v>
      </c>
      <c r="G722">
        <v>138</v>
      </c>
      <c r="H722">
        <v>3.4769547522750001E-4</v>
      </c>
      <c r="I722">
        <v>8</v>
      </c>
      <c r="J722">
        <v>0</v>
      </c>
      <c r="K722">
        <v>0</v>
      </c>
      <c r="L722">
        <v>0</v>
      </c>
      <c r="M722">
        <v>0</v>
      </c>
      <c r="N722">
        <v>0.40644383467638801</v>
      </c>
      <c r="O722">
        <v>-0.25353951077490727</v>
      </c>
      <c r="P722">
        <v>116737524.53589649</v>
      </c>
      <c r="Q722">
        <v>0</v>
      </c>
      <c r="R722" t="s">
        <v>616</v>
      </c>
      <c r="S722" t="s">
        <v>639</v>
      </c>
      <c r="T722" t="s">
        <v>641</v>
      </c>
      <c r="U722">
        <v>7019</v>
      </c>
      <c r="V722">
        <v>59</v>
      </c>
      <c r="W722">
        <v>6960</v>
      </c>
    </row>
    <row r="723" spans="1:23" x14ac:dyDescent="0.3">
      <c r="A723" t="s">
        <v>1737</v>
      </c>
      <c r="B723">
        <v>2022</v>
      </c>
      <c r="C723">
        <v>0.72792635019738527</v>
      </c>
      <c r="D723">
        <v>1625</v>
      </c>
      <c r="E723">
        <v>0</v>
      </c>
      <c r="F723">
        <v>14</v>
      </c>
      <c r="G723">
        <v>138</v>
      </c>
      <c r="H723">
        <v>7.0411198498659998E-4</v>
      </c>
      <c r="I723">
        <v>11</v>
      </c>
      <c r="J723">
        <v>0</v>
      </c>
      <c r="K723">
        <v>0</v>
      </c>
      <c r="L723">
        <v>0</v>
      </c>
      <c r="M723">
        <v>1</v>
      </c>
      <c r="N723">
        <v>0.2673486460032683</v>
      </c>
      <c r="O723">
        <v>-0.32829866066209079</v>
      </c>
      <c r="P723">
        <v>167108458.17267069</v>
      </c>
      <c r="Q723">
        <v>0</v>
      </c>
      <c r="R723" t="s">
        <v>616</v>
      </c>
      <c r="S723" t="s">
        <v>639</v>
      </c>
      <c r="T723" t="s">
        <v>642</v>
      </c>
      <c r="U723">
        <v>1816</v>
      </c>
      <c r="V723">
        <v>4</v>
      </c>
      <c r="W723">
        <v>1812</v>
      </c>
    </row>
    <row r="724" spans="1:23" x14ac:dyDescent="0.3">
      <c r="A724" t="s">
        <v>1738</v>
      </c>
      <c r="B724">
        <v>2022</v>
      </c>
      <c r="C724">
        <v>0.63185785542425654</v>
      </c>
      <c r="D724">
        <v>8707</v>
      </c>
      <c r="E724">
        <v>0</v>
      </c>
      <c r="F724">
        <v>566</v>
      </c>
      <c r="G724">
        <v>380</v>
      </c>
      <c r="H724">
        <v>1.2808197141150001E-4</v>
      </c>
      <c r="I724">
        <v>55</v>
      </c>
      <c r="J724">
        <v>0</v>
      </c>
      <c r="K724">
        <v>0</v>
      </c>
      <c r="L724">
        <v>0</v>
      </c>
      <c r="M724">
        <v>16</v>
      </c>
      <c r="N724">
        <v>0.36649580554975808</v>
      </c>
      <c r="O724">
        <v>-0.1553939752646756</v>
      </c>
      <c r="P724">
        <v>427596173.60758603</v>
      </c>
      <c r="Q724">
        <v>0</v>
      </c>
      <c r="R724" t="s">
        <v>616</v>
      </c>
      <c r="S724" t="s">
        <v>656</v>
      </c>
      <c r="T724" t="s">
        <v>657</v>
      </c>
      <c r="U724">
        <v>8300</v>
      </c>
      <c r="V724">
        <v>250</v>
      </c>
      <c r="W724">
        <v>8050</v>
      </c>
    </row>
    <row r="725" spans="1:23" x14ac:dyDescent="0.3">
      <c r="A725" t="s">
        <v>1739</v>
      </c>
      <c r="B725">
        <v>2022</v>
      </c>
      <c r="C725">
        <v>0.7861411185673961</v>
      </c>
      <c r="D725">
        <v>5020</v>
      </c>
      <c r="E725">
        <v>0</v>
      </c>
      <c r="F725">
        <v>325</v>
      </c>
      <c r="G725">
        <v>121</v>
      </c>
      <c r="H725">
        <v>3.9062437573719999E-4</v>
      </c>
      <c r="I725">
        <v>8</v>
      </c>
      <c r="J725">
        <v>0</v>
      </c>
      <c r="K725">
        <v>0</v>
      </c>
      <c r="L725">
        <v>0</v>
      </c>
      <c r="M725">
        <v>6</v>
      </c>
      <c r="N725">
        <v>0.35785249209982378</v>
      </c>
      <c r="O725">
        <v>-0.2315333089022307</v>
      </c>
      <c r="P725">
        <v>146098012.47939831</v>
      </c>
      <c r="Q725">
        <v>0</v>
      </c>
      <c r="R725" t="s">
        <v>616</v>
      </c>
      <c r="S725" t="s">
        <v>656</v>
      </c>
      <c r="T725" t="s">
        <v>117</v>
      </c>
      <c r="U725">
        <v>4787</v>
      </c>
      <c r="V725">
        <v>240</v>
      </c>
      <c r="W725">
        <v>4547</v>
      </c>
    </row>
    <row r="726" spans="1:23" x14ac:dyDescent="0.3">
      <c r="A726" t="s">
        <v>1740</v>
      </c>
      <c r="B726">
        <v>2022</v>
      </c>
      <c r="C726">
        <v>1.172232614721443</v>
      </c>
      <c r="D726">
        <v>8316</v>
      </c>
      <c r="E726">
        <v>0</v>
      </c>
      <c r="F726">
        <v>201</v>
      </c>
      <c r="G726">
        <v>209</v>
      </c>
      <c r="H726">
        <v>7.4404741286259997E-4</v>
      </c>
      <c r="I726">
        <v>17</v>
      </c>
      <c r="J726">
        <v>0</v>
      </c>
      <c r="K726">
        <v>0</v>
      </c>
      <c r="L726">
        <v>0</v>
      </c>
      <c r="M726">
        <v>3</v>
      </c>
      <c r="N726">
        <v>0.39565245900548829</v>
      </c>
      <c r="O726">
        <v>-0.21409151251807479</v>
      </c>
      <c r="P726">
        <v>104472912.2542344</v>
      </c>
      <c r="Q726">
        <v>0</v>
      </c>
      <c r="R726" t="s">
        <v>616</v>
      </c>
      <c r="S726" t="s">
        <v>39</v>
      </c>
      <c r="T726" t="s">
        <v>659</v>
      </c>
      <c r="U726">
        <v>7933</v>
      </c>
      <c r="V726">
        <v>3010</v>
      </c>
      <c r="W726">
        <v>4923</v>
      </c>
    </row>
    <row r="727" spans="1:23" x14ac:dyDescent="0.3">
      <c r="A727" t="s">
        <v>1741</v>
      </c>
      <c r="B727">
        <v>2022</v>
      </c>
      <c r="C727">
        <v>0.63202785441531628</v>
      </c>
      <c r="D727">
        <v>7555</v>
      </c>
      <c r="E727">
        <v>0</v>
      </c>
      <c r="F727">
        <v>21</v>
      </c>
      <c r="G727">
        <v>106</v>
      </c>
      <c r="H727">
        <v>5.0276457178049995E-4</v>
      </c>
      <c r="I727">
        <v>19</v>
      </c>
      <c r="J727">
        <v>0</v>
      </c>
      <c r="K727">
        <v>0</v>
      </c>
      <c r="L727">
        <v>0</v>
      </c>
      <c r="M727">
        <v>25</v>
      </c>
      <c r="N727">
        <v>0.33865573526494519</v>
      </c>
      <c r="O727">
        <v>-0.2468186061895703</v>
      </c>
      <c r="P727">
        <v>240090196.59469</v>
      </c>
      <c r="Q727">
        <v>0</v>
      </c>
      <c r="R727" t="s">
        <v>616</v>
      </c>
      <c r="S727" t="s">
        <v>39</v>
      </c>
      <c r="T727" t="s">
        <v>91</v>
      </c>
      <c r="U727">
        <v>7200</v>
      </c>
      <c r="V727">
        <v>5</v>
      </c>
      <c r="W727">
        <v>7195</v>
      </c>
    </row>
    <row r="728" spans="1:23" x14ac:dyDescent="0.3">
      <c r="A728" t="s">
        <v>1742</v>
      </c>
      <c r="B728">
        <v>2022</v>
      </c>
      <c r="C728">
        <v>0.68067592871191784</v>
      </c>
      <c r="D728">
        <v>6304</v>
      </c>
      <c r="E728">
        <v>0</v>
      </c>
      <c r="F728">
        <v>3</v>
      </c>
      <c r="G728">
        <v>137</v>
      </c>
      <c r="H728">
        <v>5.3907841995289995E-4</v>
      </c>
      <c r="I728">
        <v>10</v>
      </c>
      <c r="J728">
        <v>0</v>
      </c>
      <c r="K728">
        <v>0</v>
      </c>
      <c r="L728">
        <v>0</v>
      </c>
      <c r="M728">
        <v>0</v>
      </c>
      <c r="N728">
        <v>0.29380987761629851</v>
      </c>
      <c r="O728">
        <v>-0.25242721606977842</v>
      </c>
      <c r="P728">
        <v>220774273.42307931</v>
      </c>
      <c r="Q728">
        <v>0</v>
      </c>
      <c r="R728" t="s">
        <v>616</v>
      </c>
      <c r="S728" t="s">
        <v>39</v>
      </c>
      <c r="T728" t="s">
        <v>124</v>
      </c>
      <c r="U728">
        <v>6006</v>
      </c>
      <c r="V728">
        <v>156</v>
      </c>
      <c r="W728">
        <v>5850</v>
      </c>
    </row>
    <row r="729" spans="1:23" x14ac:dyDescent="0.3">
      <c r="A729" t="s">
        <v>1743</v>
      </c>
      <c r="B729">
        <v>2022</v>
      </c>
      <c r="C729">
        <v>2.854511004609666</v>
      </c>
      <c r="D729">
        <v>4651</v>
      </c>
      <c r="E729">
        <v>0</v>
      </c>
      <c r="F729">
        <v>1508</v>
      </c>
      <c r="G729">
        <v>523</v>
      </c>
      <c r="H729">
        <v>3.8586592964860001E-4</v>
      </c>
      <c r="I729">
        <v>89</v>
      </c>
      <c r="J729">
        <v>0</v>
      </c>
      <c r="K729">
        <v>0</v>
      </c>
      <c r="L729">
        <v>0</v>
      </c>
      <c r="M729">
        <v>8</v>
      </c>
      <c r="N729">
        <v>0.26213648577383381</v>
      </c>
      <c r="O729">
        <v>-0.27243898923837961</v>
      </c>
      <c r="P729">
        <v>58212453.761750042</v>
      </c>
      <c r="Q729">
        <v>0</v>
      </c>
      <c r="R729" t="s">
        <v>616</v>
      </c>
      <c r="S729" t="s">
        <v>663</v>
      </c>
      <c r="T729" t="s">
        <v>664</v>
      </c>
      <c r="U729">
        <v>4438</v>
      </c>
      <c r="V729">
        <v>1185</v>
      </c>
      <c r="W729">
        <v>3253</v>
      </c>
    </row>
    <row r="730" spans="1:23" x14ac:dyDescent="0.3">
      <c r="A730" t="s">
        <v>1744</v>
      </c>
      <c r="B730">
        <v>2022</v>
      </c>
      <c r="C730">
        <v>2.344860507185575</v>
      </c>
      <c r="D730">
        <v>7453</v>
      </c>
      <c r="E730">
        <v>0</v>
      </c>
      <c r="F730">
        <v>2894</v>
      </c>
      <c r="G730">
        <v>801</v>
      </c>
      <c r="H730">
        <v>2.8586722268869998E-4</v>
      </c>
      <c r="I730">
        <v>109</v>
      </c>
      <c r="J730">
        <v>0</v>
      </c>
      <c r="K730">
        <v>0</v>
      </c>
      <c r="L730">
        <v>0</v>
      </c>
      <c r="M730">
        <v>21</v>
      </c>
      <c r="N730">
        <v>0.2232758305714076</v>
      </c>
      <c r="O730">
        <v>-0.28178991228657879</v>
      </c>
      <c r="P730">
        <v>75035128.55199188</v>
      </c>
      <c r="Q730">
        <v>0</v>
      </c>
      <c r="R730" t="s">
        <v>616</v>
      </c>
      <c r="S730" t="s">
        <v>663</v>
      </c>
      <c r="T730" t="s">
        <v>665</v>
      </c>
      <c r="U730">
        <v>7106</v>
      </c>
      <c r="V730">
        <v>2257</v>
      </c>
      <c r="W730">
        <v>4849</v>
      </c>
    </row>
    <row r="731" spans="1:23" x14ac:dyDescent="0.3">
      <c r="A731" t="s">
        <v>1745</v>
      </c>
      <c r="B731">
        <v>2022</v>
      </c>
      <c r="C731">
        <v>0.99186730031222681</v>
      </c>
      <c r="D731">
        <v>5968</v>
      </c>
      <c r="E731">
        <v>0</v>
      </c>
      <c r="F731">
        <v>1</v>
      </c>
      <c r="G731">
        <v>71</v>
      </c>
      <c r="H731">
        <v>1.0405827263266999E-3</v>
      </c>
      <c r="I731">
        <v>10</v>
      </c>
      <c r="J731">
        <v>0</v>
      </c>
      <c r="K731">
        <v>0</v>
      </c>
      <c r="M731">
        <v>4</v>
      </c>
      <c r="N731">
        <v>0.44748004444941991</v>
      </c>
      <c r="O731">
        <v>-0.29116477434792731</v>
      </c>
      <c r="P731">
        <v>117682161.5531804</v>
      </c>
      <c r="Q731">
        <v>0</v>
      </c>
      <c r="R731" t="s">
        <v>616</v>
      </c>
      <c r="S731" t="s">
        <v>666</v>
      </c>
      <c r="T731" t="s">
        <v>335</v>
      </c>
      <c r="U731">
        <v>5687</v>
      </c>
      <c r="V731">
        <v>526</v>
      </c>
      <c r="W731">
        <v>5161</v>
      </c>
    </row>
    <row r="732" spans="1:23" x14ac:dyDescent="0.3">
      <c r="A732" t="s">
        <v>1746</v>
      </c>
      <c r="B732">
        <v>2022</v>
      </c>
      <c r="C732">
        <v>0.90652057696893384</v>
      </c>
      <c r="D732">
        <v>19563</v>
      </c>
      <c r="E732">
        <v>0</v>
      </c>
      <c r="F732">
        <v>4902</v>
      </c>
      <c r="G732">
        <v>1003</v>
      </c>
      <c r="H732">
        <v>1.0876941402199999E-4</v>
      </c>
      <c r="I732">
        <v>72</v>
      </c>
      <c r="J732">
        <v>1</v>
      </c>
      <c r="K732">
        <v>1</v>
      </c>
      <c r="L732">
        <v>0</v>
      </c>
      <c r="M732">
        <v>25</v>
      </c>
      <c r="N732">
        <v>0.32398105264802612</v>
      </c>
      <c r="O732">
        <v>-6.3514188471323105E-2</v>
      </c>
      <c r="P732">
        <v>872299510.47374237</v>
      </c>
      <c r="Q732">
        <v>0</v>
      </c>
      <c r="R732" t="s">
        <v>616</v>
      </c>
      <c r="S732" t="s">
        <v>669</v>
      </c>
      <c r="T732" t="s">
        <v>670</v>
      </c>
      <c r="U732">
        <v>18642</v>
      </c>
      <c r="V732">
        <v>1946</v>
      </c>
      <c r="W732">
        <v>16696</v>
      </c>
    </row>
    <row r="733" spans="1:23" x14ac:dyDescent="0.3">
      <c r="A733" t="s">
        <v>1747</v>
      </c>
      <c r="B733">
        <v>2022</v>
      </c>
      <c r="C733">
        <v>0.74189302032342996</v>
      </c>
      <c r="D733">
        <v>2679</v>
      </c>
      <c r="E733">
        <v>0</v>
      </c>
      <c r="F733">
        <v>915</v>
      </c>
      <c r="G733">
        <v>447</v>
      </c>
      <c r="H733">
        <v>2.3969225997429999E-4</v>
      </c>
      <c r="I733">
        <v>48</v>
      </c>
      <c r="J733">
        <v>0</v>
      </c>
      <c r="K733">
        <v>0</v>
      </c>
      <c r="L733">
        <v>0</v>
      </c>
      <c r="M733">
        <v>14</v>
      </c>
      <c r="N733">
        <v>0.39677763804803518</v>
      </c>
      <c r="O733">
        <v>-0.2381170249388711</v>
      </c>
      <c r="P733">
        <v>170132197.30422619</v>
      </c>
      <c r="Q733">
        <v>0</v>
      </c>
      <c r="R733" t="s">
        <v>616</v>
      </c>
      <c r="S733" t="s">
        <v>669</v>
      </c>
      <c r="T733" t="s">
        <v>299</v>
      </c>
      <c r="U733">
        <v>2555</v>
      </c>
      <c r="V733">
        <v>188</v>
      </c>
      <c r="W733">
        <v>2367</v>
      </c>
    </row>
    <row r="734" spans="1:23" x14ac:dyDescent="0.3">
      <c r="A734" t="s">
        <v>1748</v>
      </c>
      <c r="B734">
        <v>2022</v>
      </c>
      <c r="C734">
        <v>0.70716460988877072</v>
      </c>
      <c r="D734">
        <v>8478</v>
      </c>
      <c r="E734">
        <v>0</v>
      </c>
      <c r="F734">
        <v>2615</v>
      </c>
      <c r="G734">
        <v>1145</v>
      </c>
      <c r="H734">
        <v>1.1119684193949999E-4</v>
      </c>
      <c r="I734">
        <v>55</v>
      </c>
      <c r="J734">
        <v>0</v>
      </c>
      <c r="K734">
        <v>0</v>
      </c>
      <c r="L734">
        <v>0</v>
      </c>
      <c r="M734">
        <v>24</v>
      </c>
      <c r="N734">
        <v>0.1604184346837072</v>
      </c>
      <c r="O734">
        <v>-0.15349766574147</v>
      </c>
      <c r="P734">
        <v>396015693.67605299</v>
      </c>
      <c r="Q734">
        <v>0</v>
      </c>
      <c r="R734" t="s">
        <v>616</v>
      </c>
      <c r="S734" t="s">
        <v>95</v>
      </c>
      <c r="T734" t="s">
        <v>677</v>
      </c>
      <c r="U734">
        <v>8051</v>
      </c>
      <c r="V734">
        <v>351</v>
      </c>
      <c r="W734">
        <v>7700</v>
      </c>
    </row>
    <row r="735" spans="1:23" x14ac:dyDescent="0.3">
      <c r="A735" t="s">
        <v>1749</v>
      </c>
      <c r="B735">
        <v>2022</v>
      </c>
      <c r="C735">
        <v>0.64769652448913784</v>
      </c>
      <c r="D735">
        <v>418</v>
      </c>
      <c r="E735">
        <v>0</v>
      </c>
      <c r="F735">
        <v>4</v>
      </c>
      <c r="G735">
        <v>41</v>
      </c>
      <c r="H735">
        <v>2.0241083973362001E-3</v>
      </c>
      <c r="I735">
        <v>1</v>
      </c>
      <c r="J735">
        <v>1.7543859649122799E-2</v>
      </c>
      <c r="K735">
        <v>1</v>
      </c>
      <c r="L735">
        <v>0</v>
      </c>
      <c r="M735">
        <v>0</v>
      </c>
      <c r="N735">
        <v>0.50130326350281396</v>
      </c>
      <c r="O735">
        <v>-0.19755163518028621</v>
      </c>
      <c r="P735">
        <v>269276604.94847262</v>
      </c>
      <c r="Q735">
        <v>0</v>
      </c>
      <c r="R735" t="s">
        <v>678</v>
      </c>
      <c r="S735" t="s">
        <v>679</v>
      </c>
      <c r="T735" t="s">
        <v>681</v>
      </c>
      <c r="U735">
        <v>399</v>
      </c>
      <c r="V735">
        <v>180</v>
      </c>
      <c r="W735">
        <v>219</v>
      </c>
    </row>
    <row r="736" spans="1:23" x14ac:dyDescent="0.3">
      <c r="A736" t="s">
        <v>1750</v>
      </c>
      <c r="B736">
        <v>2022</v>
      </c>
      <c r="C736">
        <v>2.2691937898062369</v>
      </c>
      <c r="D736">
        <v>5161</v>
      </c>
      <c r="E736">
        <v>0</v>
      </c>
      <c r="F736">
        <v>6</v>
      </c>
      <c r="G736">
        <v>314</v>
      </c>
      <c r="H736">
        <v>1.0917690200122E-3</v>
      </c>
      <c r="I736">
        <v>6</v>
      </c>
      <c r="J736">
        <v>0.08</v>
      </c>
      <c r="K736">
        <v>1</v>
      </c>
      <c r="L736">
        <v>0</v>
      </c>
      <c r="M736">
        <v>0</v>
      </c>
      <c r="N736">
        <v>0.56522705674331031</v>
      </c>
      <c r="O736">
        <v>-0.27947097531708809</v>
      </c>
      <c r="P736">
        <v>73329812.667459488</v>
      </c>
      <c r="Q736">
        <v>0</v>
      </c>
      <c r="R736" t="s">
        <v>678</v>
      </c>
      <c r="S736" t="s">
        <v>679</v>
      </c>
      <c r="T736" t="s">
        <v>682</v>
      </c>
      <c r="U736">
        <v>4929</v>
      </c>
      <c r="V736">
        <v>2997</v>
      </c>
      <c r="W736">
        <v>1932</v>
      </c>
    </row>
    <row r="737" spans="1:23" x14ac:dyDescent="0.3">
      <c r="A737" t="s">
        <v>1751</v>
      </c>
      <c r="B737">
        <v>2022</v>
      </c>
      <c r="C737">
        <v>0.62058849191282917</v>
      </c>
      <c r="D737">
        <v>1280</v>
      </c>
      <c r="E737">
        <v>0</v>
      </c>
      <c r="F737">
        <v>3</v>
      </c>
      <c r="G737">
        <v>51</v>
      </c>
      <c r="H737">
        <v>3.3073482428115E-3</v>
      </c>
      <c r="I737">
        <v>4</v>
      </c>
      <c r="J737">
        <v>0</v>
      </c>
      <c r="K737">
        <v>0</v>
      </c>
      <c r="L737">
        <v>0</v>
      </c>
      <c r="M737">
        <v>3</v>
      </c>
      <c r="N737">
        <v>0.57476058255532347</v>
      </c>
      <c r="O737">
        <v>-0.25282360054465108</v>
      </c>
      <c r="P737">
        <v>129124321.46990059</v>
      </c>
      <c r="Q737">
        <v>0</v>
      </c>
      <c r="R737" t="s">
        <v>678</v>
      </c>
      <c r="S737" t="s">
        <v>679</v>
      </c>
      <c r="T737" t="s">
        <v>180</v>
      </c>
      <c r="U737">
        <v>1220</v>
      </c>
      <c r="V737">
        <v>655</v>
      </c>
      <c r="W737">
        <v>565</v>
      </c>
    </row>
    <row r="738" spans="1:23" x14ac:dyDescent="0.3">
      <c r="A738" t="s">
        <v>1752</v>
      </c>
      <c r="B738">
        <v>2022</v>
      </c>
      <c r="C738">
        <v>0.6014976233970335</v>
      </c>
      <c r="D738">
        <v>19540</v>
      </c>
      <c r="E738">
        <v>0</v>
      </c>
      <c r="F738">
        <v>274</v>
      </c>
      <c r="G738">
        <v>492</v>
      </c>
      <c r="H738">
        <v>6.2626391483910004E-4</v>
      </c>
      <c r="I738">
        <v>11</v>
      </c>
      <c r="J738">
        <v>0</v>
      </c>
      <c r="K738">
        <v>0</v>
      </c>
      <c r="L738">
        <v>0</v>
      </c>
      <c r="M738">
        <v>4</v>
      </c>
      <c r="N738">
        <v>0.63930800325329173</v>
      </c>
      <c r="O738">
        <v>-0.2522728373369969</v>
      </c>
      <c r="P738">
        <v>2246349232.3188238</v>
      </c>
      <c r="Q738">
        <v>0</v>
      </c>
      <c r="R738" t="s">
        <v>678</v>
      </c>
      <c r="S738" t="s">
        <v>679</v>
      </c>
      <c r="T738" t="s">
        <v>683</v>
      </c>
      <c r="U738">
        <v>18647</v>
      </c>
      <c r="V738">
        <v>2409</v>
      </c>
      <c r="W738">
        <v>16238</v>
      </c>
    </row>
    <row r="739" spans="1:23" x14ac:dyDescent="0.3">
      <c r="A739" t="s">
        <v>1753</v>
      </c>
      <c r="B739">
        <v>2022</v>
      </c>
      <c r="C739">
        <v>1.3339757304000339</v>
      </c>
      <c r="D739">
        <v>1083</v>
      </c>
      <c r="E739">
        <v>0</v>
      </c>
      <c r="F739">
        <v>208</v>
      </c>
      <c r="G739">
        <v>62</v>
      </c>
      <c r="H739">
        <v>2.6870536023853998E-3</v>
      </c>
      <c r="I739">
        <v>7</v>
      </c>
      <c r="J739">
        <v>0</v>
      </c>
      <c r="K739">
        <v>0</v>
      </c>
      <c r="L739">
        <v>0</v>
      </c>
      <c r="M739">
        <v>2</v>
      </c>
      <c r="N739">
        <v>0.50028459819048343</v>
      </c>
      <c r="O739">
        <v>-0.1958159453463898</v>
      </c>
      <c r="P739">
        <v>405361032.38565838</v>
      </c>
      <c r="Q739">
        <v>0</v>
      </c>
      <c r="R739" t="s">
        <v>678</v>
      </c>
      <c r="S739" t="s">
        <v>679</v>
      </c>
      <c r="T739" t="s">
        <v>684</v>
      </c>
      <c r="U739">
        <v>1022</v>
      </c>
      <c r="V739">
        <v>304</v>
      </c>
      <c r="W739">
        <v>718</v>
      </c>
    </row>
    <row r="740" spans="1:23" x14ac:dyDescent="0.3">
      <c r="A740" t="s">
        <v>1754</v>
      </c>
      <c r="B740">
        <v>2022</v>
      </c>
      <c r="C740">
        <v>0.61112420537363576</v>
      </c>
      <c r="D740">
        <v>233</v>
      </c>
      <c r="E740">
        <v>0</v>
      </c>
      <c r="F740">
        <v>2</v>
      </c>
      <c r="G740">
        <v>17</v>
      </c>
      <c r="H740">
        <v>1.9841037129128001E-3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0.46392771460737597</v>
      </c>
      <c r="O740">
        <v>-0.2214962221194752</v>
      </c>
      <c r="P740">
        <v>624975848.36906219</v>
      </c>
      <c r="Q740">
        <v>0</v>
      </c>
      <c r="R740" t="s">
        <v>678</v>
      </c>
      <c r="S740" t="s">
        <v>679</v>
      </c>
      <c r="T740" t="s">
        <v>685</v>
      </c>
      <c r="U740">
        <v>223</v>
      </c>
      <c r="V740">
        <v>69</v>
      </c>
      <c r="W740">
        <v>154</v>
      </c>
    </row>
    <row r="741" spans="1:23" x14ac:dyDescent="0.3">
      <c r="A741" t="s">
        <v>1755</v>
      </c>
      <c r="B741">
        <v>2022</v>
      </c>
      <c r="C741">
        <v>0.45831562512777912</v>
      </c>
      <c r="D741">
        <v>2949</v>
      </c>
      <c r="E741">
        <v>0</v>
      </c>
      <c r="F741">
        <v>22</v>
      </c>
      <c r="G741">
        <v>61</v>
      </c>
      <c r="H741">
        <v>2.4751725349765E-3</v>
      </c>
      <c r="I741">
        <v>6</v>
      </c>
      <c r="J741">
        <v>0</v>
      </c>
      <c r="K741">
        <v>0</v>
      </c>
      <c r="L741">
        <v>0</v>
      </c>
      <c r="M741">
        <v>2</v>
      </c>
      <c r="N741">
        <v>0.61603216862152421</v>
      </c>
      <c r="O741">
        <v>-0.24402834656945949</v>
      </c>
      <c r="P741">
        <v>345129134.65068412</v>
      </c>
      <c r="Q741">
        <v>0</v>
      </c>
      <c r="R741" t="s">
        <v>678</v>
      </c>
      <c r="S741" t="s">
        <v>679</v>
      </c>
      <c r="T741" t="s">
        <v>686</v>
      </c>
      <c r="U741">
        <v>2807</v>
      </c>
      <c r="V741">
        <v>81</v>
      </c>
      <c r="W741">
        <v>2726</v>
      </c>
    </row>
    <row r="742" spans="1:23" x14ac:dyDescent="0.3">
      <c r="A742" t="s">
        <v>1756</v>
      </c>
      <c r="B742">
        <v>2022</v>
      </c>
      <c r="C742">
        <v>0.91771388480939797</v>
      </c>
      <c r="D742">
        <v>3192</v>
      </c>
      <c r="E742">
        <v>0</v>
      </c>
      <c r="F742">
        <v>3</v>
      </c>
      <c r="G742">
        <v>150</v>
      </c>
      <c r="H742">
        <v>1.2422223445844999E-3</v>
      </c>
      <c r="I742">
        <v>4</v>
      </c>
      <c r="J742">
        <v>0</v>
      </c>
      <c r="K742">
        <v>0</v>
      </c>
      <c r="L742">
        <v>0</v>
      </c>
      <c r="M742">
        <v>0</v>
      </c>
      <c r="N742">
        <v>0.49934639767245448</v>
      </c>
      <c r="O742">
        <v>-0.23262270397834359</v>
      </c>
      <c r="P742">
        <v>225069831.39480981</v>
      </c>
      <c r="Q742">
        <v>0</v>
      </c>
      <c r="R742" t="s">
        <v>678</v>
      </c>
      <c r="S742" t="s">
        <v>679</v>
      </c>
      <c r="T742" t="s">
        <v>687</v>
      </c>
      <c r="U742">
        <v>3044</v>
      </c>
      <c r="V742">
        <v>1423</v>
      </c>
      <c r="W742">
        <v>1621</v>
      </c>
    </row>
    <row r="743" spans="1:23" x14ac:dyDescent="0.3">
      <c r="A743" t="s">
        <v>1757</v>
      </c>
      <c r="B743">
        <v>2022</v>
      </c>
      <c r="C743">
        <v>0.58158150262201924</v>
      </c>
      <c r="D743">
        <v>173</v>
      </c>
      <c r="E743">
        <v>0</v>
      </c>
      <c r="F743">
        <v>26</v>
      </c>
      <c r="G743">
        <v>14</v>
      </c>
      <c r="H743">
        <v>7.5757575757574996E-3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0.59404109685050088</v>
      </c>
      <c r="O743">
        <v>-0.25071921594422503</v>
      </c>
      <c r="P743">
        <v>286348069.35850108</v>
      </c>
      <c r="Q743">
        <v>0</v>
      </c>
      <c r="R743" t="s">
        <v>678</v>
      </c>
      <c r="S743" t="s">
        <v>688</v>
      </c>
      <c r="T743" t="s">
        <v>689</v>
      </c>
      <c r="U743">
        <v>165</v>
      </c>
      <c r="V743">
        <v>30</v>
      </c>
      <c r="W743">
        <v>135</v>
      </c>
    </row>
    <row r="744" spans="1:23" x14ac:dyDescent="0.3">
      <c r="A744" t="s">
        <v>1758</v>
      </c>
      <c r="B744">
        <v>2022</v>
      </c>
      <c r="C744">
        <v>0.58457624578131906</v>
      </c>
      <c r="D744">
        <v>6875</v>
      </c>
      <c r="E744">
        <v>0</v>
      </c>
      <c r="F744">
        <v>138</v>
      </c>
      <c r="G744">
        <v>135</v>
      </c>
      <c r="H744">
        <v>5.9664608358190002E-4</v>
      </c>
      <c r="I744">
        <v>7</v>
      </c>
      <c r="J744">
        <v>0</v>
      </c>
      <c r="K744">
        <v>0</v>
      </c>
      <c r="L744">
        <v>0</v>
      </c>
      <c r="M744">
        <v>3</v>
      </c>
      <c r="N744">
        <v>0.57003561420191107</v>
      </c>
      <c r="O744">
        <v>-0.21918432469735469</v>
      </c>
      <c r="P744">
        <v>683186942.21012533</v>
      </c>
      <c r="Q744">
        <v>0</v>
      </c>
      <c r="R744" t="s">
        <v>678</v>
      </c>
      <c r="S744" t="s">
        <v>688</v>
      </c>
      <c r="T744" t="s">
        <v>691</v>
      </c>
      <c r="U744">
        <v>6557</v>
      </c>
      <c r="V744">
        <v>465</v>
      </c>
      <c r="W744">
        <v>6092</v>
      </c>
    </row>
    <row r="745" spans="1:23" x14ac:dyDescent="0.3">
      <c r="A745" t="s">
        <v>1759</v>
      </c>
      <c r="B745">
        <v>2022</v>
      </c>
      <c r="C745">
        <v>0.67117967487418151</v>
      </c>
      <c r="D745">
        <v>597</v>
      </c>
      <c r="E745">
        <v>0</v>
      </c>
      <c r="F745">
        <v>6</v>
      </c>
      <c r="G745">
        <v>38</v>
      </c>
      <c r="H745">
        <v>1.0281311548514E-3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0.59532569420778902</v>
      </c>
      <c r="O745">
        <v>-0.248654448554085</v>
      </c>
      <c r="P745">
        <v>134946460.37692121</v>
      </c>
      <c r="Q745">
        <v>0</v>
      </c>
      <c r="R745" t="s">
        <v>678</v>
      </c>
      <c r="S745" t="s">
        <v>688</v>
      </c>
      <c r="T745" t="s">
        <v>429</v>
      </c>
      <c r="U745">
        <v>570</v>
      </c>
      <c r="V745">
        <v>224</v>
      </c>
      <c r="W745">
        <v>346</v>
      </c>
    </row>
    <row r="746" spans="1:23" x14ac:dyDescent="0.3">
      <c r="A746" t="s">
        <v>1760</v>
      </c>
      <c r="B746">
        <v>2022</v>
      </c>
      <c r="C746">
        <v>0.7274174465914367</v>
      </c>
      <c r="D746">
        <v>695</v>
      </c>
      <c r="E746">
        <v>0</v>
      </c>
      <c r="F746">
        <v>14</v>
      </c>
      <c r="G746">
        <v>22</v>
      </c>
      <c r="H746">
        <v>2.7768381218611E-3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0.5969418694138563</v>
      </c>
      <c r="O746">
        <v>-0.27018173632560277</v>
      </c>
      <c r="P746">
        <v>54828206.314662218</v>
      </c>
      <c r="Q746">
        <v>0</v>
      </c>
      <c r="R746" t="s">
        <v>678</v>
      </c>
      <c r="S746" t="s">
        <v>688</v>
      </c>
      <c r="T746" t="s">
        <v>693</v>
      </c>
      <c r="U746">
        <v>663</v>
      </c>
      <c r="V746">
        <v>307</v>
      </c>
      <c r="W746">
        <v>356</v>
      </c>
    </row>
    <row r="747" spans="1:23" x14ac:dyDescent="0.3">
      <c r="A747" t="s">
        <v>1761</v>
      </c>
      <c r="B747">
        <v>2022</v>
      </c>
      <c r="C747">
        <v>0.63743515387341676</v>
      </c>
      <c r="D747">
        <v>131</v>
      </c>
      <c r="E747">
        <v>0</v>
      </c>
      <c r="F747">
        <v>5</v>
      </c>
      <c r="G747">
        <v>27</v>
      </c>
      <c r="H747">
        <v>1.7315991422752E-3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0.56735419186660263</v>
      </c>
      <c r="O747">
        <v>-0.26907077829215231</v>
      </c>
      <c r="P747">
        <v>271079032.39605558</v>
      </c>
      <c r="Q747">
        <v>0</v>
      </c>
      <c r="R747" t="s">
        <v>678</v>
      </c>
      <c r="S747" t="s">
        <v>688</v>
      </c>
      <c r="T747" t="s">
        <v>694</v>
      </c>
      <c r="U747">
        <v>125</v>
      </c>
      <c r="V747">
        <v>33</v>
      </c>
      <c r="W747">
        <v>92</v>
      </c>
    </row>
    <row r="748" spans="1:23" x14ac:dyDescent="0.3">
      <c r="A748" t="s">
        <v>1762</v>
      </c>
      <c r="B748">
        <v>2022</v>
      </c>
      <c r="C748">
        <v>1.40791201761212</v>
      </c>
      <c r="D748">
        <v>1143</v>
      </c>
      <c r="E748">
        <v>0</v>
      </c>
      <c r="F748">
        <v>17</v>
      </c>
      <c r="G748">
        <v>77</v>
      </c>
      <c r="H748">
        <v>6.3673411816849996E-4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0.61749250422329727</v>
      </c>
      <c r="O748">
        <v>-0.29178994548749271</v>
      </c>
      <c r="P748">
        <v>69716707.771448627</v>
      </c>
      <c r="Q748">
        <v>0</v>
      </c>
      <c r="R748" t="s">
        <v>678</v>
      </c>
      <c r="S748" t="s">
        <v>696</v>
      </c>
      <c r="T748" t="s">
        <v>698</v>
      </c>
      <c r="U748">
        <v>1086</v>
      </c>
      <c r="V748">
        <v>581</v>
      </c>
      <c r="W748">
        <v>505</v>
      </c>
    </row>
    <row r="749" spans="1:23" x14ac:dyDescent="0.3">
      <c r="A749" t="s">
        <v>1763</v>
      </c>
      <c r="B749">
        <v>2022</v>
      </c>
      <c r="C749">
        <v>0.70376882883515124</v>
      </c>
      <c r="D749">
        <v>857</v>
      </c>
      <c r="E749">
        <v>0</v>
      </c>
      <c r="F749">
        <v>21</v>
      </c>
      <c r="G749">
        <v>47</v>
      </c>
      <c r="H749">
        <v>1.0335557220083E-3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0.58054972411955119</v>
      </c>
      <c r="O749">
        <v>-0.21412090163239089</v>
      </c>
      <c r="P749">
        <v>284533393.44226718</v>
      </c>
      <c r="Q749">
        <v>0</v>
      </c>
      <c r="R749" t="s">
        <v>678</v>
      </c>
      <c r="S749" t="s">
        <v>696</v>
      </c>
      <c r="T749" t="s">
        <v>700</v>
      </c>
      <c r="U749">
        <v>818</v>
      </c>
      <c r="V749">
        <v>152</v>
      </c>
      <c r="W749">
        <v>666</v>
      </c>
    </row>
    <row r="750" spans="1:23" x14ac:dyDescent="0.3">
      <c r="A750" t="s">
        <v>1764</v>
      </c>
      <c r="B750">
        <v>2022</v>
      </c>
      <c r="C750">
        <v>0.82087227033307275</v>
      </c>
      <c r="D750">
        <v>1178</v>
      </c>
      <c r="E750">
        <v>0</v>
      </c>
      <c r="F750">
        <v>3</v>
      </c>
      <c r="G750">
        <v>80</v>
      </c>
      <c r="H750">
        <v>1.2665335465778E-3</v>
      </c>
      <c r="I750">
        <v>1</v>
      </c>
      <c r="J750">
        <v>0</v>
      </c>
      <c r="K750">
        <v>0</v>
      </c>
      <c r="L750">
        <v>0</v>
      </c>
      <c r="M750">
        <v>6</v>
      </c>
      <c r="N750">
        <v>0.47987394189342591</v>
      </c>
      <c r="O750">
        <v>-0.1897570640678338</v>
      </c>
      <c r="P750">
        <v>257379256.7282874</v>
      </c>
      <c r="Q750">
        <v>0</v>
      </c>
      <c r="R750" t="s">
        <v>678</v>
      </c>
      <c r="S750" t="s">
        <v>696</v>
      </c>
      <c r="T750" t="s">
        <v>701</v>
      </c>
      <c r="U750">
        <v>1126</v>
      </c>
      <c r="V750">
        <v>187</v>
      </c>
      <c r="W750">
        <v>939</v>
      </c>
    </row>
    <row r="751" spans="1:23" x14ac:dyDescent="0.3">
      <c r="A751" t="s">
        <v>1765</v>
      </c>
      <c r="B751">
        <v>2022</v>
      </c>
      <c r="C751">
        <v>0.80493478988611444</v>
      </c>
      <c r="D751">
        <v>1427</v>
      </c>
      <c r="E751">
        <v>0</v>
      </c>
      <c r="F751">
        <v>5</v>
      </c>
      <c r="G751">
        <v>39</v>
      </c>
      <c r="H751">
        <v>4.1748317287211003E-3</v>
      </c>
      <c r="I751">
        <v>1</v>
      </c>
      <c r="J751">
        <v>0</v>
      </c>
      <c r="K751">
        <v>0</v>
      </c>
      <c r="L751">
        <v>0</v>
      </c>
      <c r="M751">
        <v>8</v>
      </c>
      <c r="N751">
        <v>0.68060359477578347</v>
      </c>
      <c r="O751">
        <v>-0.30780268660306298</v>
      </c>
      <c r="P751">
        <v>92486434.238445684</v>
      </c>
      <c r="Q751">
        <v>0</v>
      </c>
      <c r="R751" t="s">
        <v>678</v>
      </c>
      <c r="S751" t="s">
        <v>702</v>
      </c>
      <c r="T751" t="s">
        <v>705</v>
      </c>
      <c r="U751">
        <v>1361</v>
      </c>
      <c r="V751">
        <v>287</v>
      </c>
      <c r="W751">
        <v>1074</v>
      </c>
    </row>
    <row r="752" spans="1:23" x14ac:dyDescent="0.3">
      <c r="A752" t="s">
        <v>1766</v>
      </c>
      <c r="B752">
        <v>2022</v>
      </c>
      <c r="C752">
        <v>0.6812891224963431</v>
      </c>
      <c r="D752">
        <v>465</v>
      </c>
      <c r="E752">
        <v>0</v>
      </c>
      <c r="F752">
        <v>29</v>
      </c>
      <c r="G752">
        <v>58</v>
      </c>
      <c r="H752">
        <v>1.1241954624519E-3</v>
      </c>
      <c r="I752">
        <v>1</v>
      </c>
      <c r="J752">
        <v>2.27272727272727E-2</v>
      </c>
      <c r="K752">
        <v>1</v>
      </c>
      <c r="L752">
        <v>0</v>
      </c>
      <c r="M752">
        <v>0</v>
      </c>
      <c r="N752">
        <v>0.50874075986450795</v>
      </c>
      <c r="O752">
        <v>-0.17339340426288469</v>
      </c>
      <c r="P752">
        <v>443269902.20634282</v>
      </c>
      <c r="Q752">
        <v>0</v>
      </c>
      <c r="R752" t="s">
        <v>678</v>
      </c>
      <c r="S752" t="s">
        <v>125</v>
      </c>
      <c r="T752" t="s">
        <v>707</v>
      </c>
      <c r="U752">
        <v>443</v>
      </c>
      <c r="V752">
        <v>162</v>
      </c>
      <c r="W752">
        <v>281</v>
      </c>
    </row>
    <row r="753" spans="1:23" x14ac:dyDescent="0.3">
      <c r="A753" t="s">
        <v>1767</v>
      </c>
      <c r="B753">
        <v>2022</v>
      </c>
      <c r="C753">
        <v>0.68129693274714442</v>
      </c>
      <c r="D753">
        <v>2017</v>
      </c>
      <c r="E753">
        <v>0</v>
      </c>
      <c r="F753">
        <v>20</v>
      </c>
      <c r="G753">
        <v>76</v>
      </c>
      <c r="H753">
        <v>8.3991596682330002E-4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0.55176510505697718</v>
      </c>
      <c r="O753">
        <v>-0.17535368223004799</v>
      </c>
      <c r="P753">
        <v>256783520.24205649</v>
      </c>
      <c r="Q753">
        <v>0</v>
      </c>
      <c r="R753" t="s">
        <v>678</v>
      </c>
      <c r="S753" t="s">
        <v>125</v>
      </c>
      <c r="T753" t="s">
        <v>709</v>
      </c>
      <c r="U753">
        <v>1820</v>
      </c>
      <c r="V753">
        <v>426</v>
      </c>
      <c r="W753">
        <v>1394</v>
      </c>
    </row>
    <row r="754" spans="1:23" x14ac:dyDescent="0.3">
      <c r="A754" t="s">
        <v>1768</v>
      </c>
      <c r="B754">
        <v>2022</v>
      </c>
      <c r="C754">
        <v>1.050536370019195</v>
      </c>
      <c r="D754">
        <v>625</v>
      </c>
      <c r="E754">
        <v>0</v>
      </c>
      <c r="F754">
        <v>5</v>
      </c>
      <c r="G754">
        <v>70</v>
      </c>
      <c r="H754">
        <v>4.0468332547539997E-3</v>
      </c>
      <c r="I754">
        <v>11</v>
      </c>
      <c r="J754">
        <v>0</v>
      </c>
      <c r="K754">
        <v>0</v>
      </c>
      <c r="L754">
        <v>0</v>
      </c>
      <c r="M754">
        <v>0</v>
      </c>
      <c r="N754">
        <v>0.56717978256370138</v>
      </c>
      <c r="O754">
        <v>-0.21613344277630331</v>
      </c>
      <c r="P754">
        <v>57401336.173095226</v>
      </c>
      <c r="Q754">
        <v>0</v>
      </c>
      <c r="R754" t="s">
        <v>678</v>
      </c>
      <c r="S754" t="s">
        <v>125</v>
      </c>
      <c r="T754" t="s">
        <v>710</v>
      </c>
      <c r="U754">
        <v>596</v>
      </c>
      <c r="V754">
        <v>247</v>
      </c>
      <c r="W754">
        <v>349</v>
      </c>
    </row>
    <row r="755" spans="1:23" x14ac:dyDescent="0.3">
      <c r="A755" t="s">
        <v>1769</v>
      </c>
      <c r="B755">
        <v>2022</v>
      </c>
      <c r="C755">
        <v>0.77767598731054266</v>
      </c>
      <c r="D755">
        <v>1683</v>
      </c>
      <c r="E755">
        <v>0</v>
      </c>
      <c r="F755">
        <v>6</v>
      </c>
      <c r="G755">
        <v>109</v>
      </c>
      <c r="H755">
        <v>1.1748034463464E-3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0.5295674168120692</v>
      </c>
      <c r="O755">
        <v>-0.2036385802543271</v>
      </c>
      <c r="P755">
        <v>95034498.100122258</v>
      </c>
      <c r="Q755">
        <v>0</v>
      </c>
      <c r="R755" t="s">
        <v>678</v>
      </c>
      <c r="S755" t="s">
        <v>125</v>
      </c>
      <c r="T755" t="s">
        <v>711</v>
      </c>
      <c r="U755">
        <v>1606</v>
      </c>
      <c r="V755">
        <v>620</v>
      </c>
      <c r="W755">
        <v>986</v>
      </c>
    </row>
    <row r="756" spans="1:23" x14ac:dyDescent="0.3">
      <c r="A756" t="s">
        <v>1770</v>
      </c>
      <c r="B756">
        <v>2022</v>
      </c>
      <c r="C756">
        <v>0.70122442426459553</v>
      </c>
      <c r="D756">
        <v>1211</v>
      </c>
      <c r="E756">
        <v>0</v>
      </c>
      <c r="F756">
        <v>3</v>
      </c>
      <c r="G756">
        <v>54</v>
      </c>
      <c r="H756">
        <v>2.2963786923742E-3</v>
      </c>
      <c r="I756">
        <v>5</v>
      </c>
      <c r="J756">
        <v>0</v>
      </c>
      <c r="K756">
        <v>0</v>
      </c>
      <c r="L756">
        <v>0</v>
      </c>
      <c r="M756">
        <v>2</v>
      </c>
      <c r="N756">
        <v>0.53968402344484845</v>
      </c>
      <c r="O756">
        <v>-0.19537765502149509</v>
      </c>
      <c r="P756">
        <v>126796381.4109447</v>
      </c>
      <c r="Q756">
        <v>0</v>
      </c>
      <c r="R756" t="s">
        <v>678</v>
      </c>
      <c r="S756" t="s">
        <v>125</v>
      </c>
      <c r="T756" t="s">
        <v>712</v>
      </c>
      <c r="U756">
        <v>1157</v>
      </c>
      <c r="V756">
        <v>150</v>
      </c>
      <c r="W756">
        <v>1007</v>
      </c>
    </row>
    <row r="757" spans="1:23" x14ac:dyDescent="0.3">
      <c r="A757" t="s">
        <v>1771</v>
      </c>
      <c r="B757">
        <v>2022</v>
      </c>
      <c r="C757">
        <v>0.67275851337925408</v>
      </c>
      <c r="D757">
        <v>2533</v>
      </c>
      <c r="E757">
        <v>0</v>
      </c>
      <c r="F757">
        <v>68</v>
      </c>
      <c r="G757">
        <v>64</v>
      </c>
      <c r="H757">
        <v>1.33420513183E-3</v>
      </c>
      <c r="I757">
        <v>6</v>
      </c>
      <c r="J757">
        <v>0</v>
      </c>
      <c r="K757">
        <v>0</v>
      </c>
      <c r="L757">
        <v>0</v>
      </c>
      <c r="M757">
        <v>1</v>
      </c>
      <c r="N757">
        <v>0.45227916300562349</v>
      </c>
      <c r="O757">
        <v>-0.18368017842344261</v>
      </c>
      <c r="P757">
        <v>196076772.22706029</v>
      </c>
      <c r="Q757">
        <v>0</v>
      </c>
      <c r="R757" t="s">
        <v>678</v>
      </c>
      <c r="S757" t="s">
        <v>713</v>
      </c>
      <c r="T757" t="s">
        <v>115</v>
      </c>
      <c r="U757">
        <v>2419</v>
      </c>
      <c r="V757">
        <v>141</v>
      </c>
      <c r="W757">
        <v>2278</v>
      </c>
    </row>
    <row r="758" spans="1:23" x14ac:dyDescent="0.3">
      <c r="A758" t="s">
        <v>1772</v>
      </c>
      <c r="B758">
        <v>2022</v>
      </c>
      <c r="C758">
        <v>0.88304103395439026</v>
      </c>
      <c r="D758">
        <v>3560</v>
      </c>
      <c r="E758">
        <v>0</v>
      </c>
      <c r="F758">
        <v>42</v>
      </c>
      <c r="G758">
        <v>123</v>
      </c>
      <c r="H758">
        <v>9.8317551652939996E-4</v>
      </c>
      <c r="I758">
        <v>3</v>
      </c>
      <c r="J758">
        <v>0</v>
      </c>
      <c r="K758">
        <v>0</v>
      </c>
      <c r="L758">
        <v>0</v>
      </c>
      <c r="M758">
        <v>2</v>
      </c>
      <c r="N758">
        <v>0.57802234551821052</v>
      </c>
      <c r="O758">
        <v>-0.23203173958967921</v>
      </c>
      <c r="P758">
        <v>223000012.51833591</v>
      </c>
      <c r="Q758">
        <v>0</v>
      </c>
      <c r="R758" t="s">
        <v>678</v>
      </c>
      <c r="S758" t="s">
        <v>713</v>
      </c>
      <c r="T758" t="s">
        <v>714</v>
      </c>
      <c r="U758">
        <v>3398</v>
      </c>
      <c r="V758">
        <v>1209</v>
      </c>
      <c r="W758">
        <v>2189</v>
      </c>
    </row>
    <row r="759" spans="1:23" x14ac:dyDescent="0.3">
      <c r="A759" t="s">
        <v>1773</v>
      </c>
      <c r="B759">
        <v>2022</v>
      </c>
      <c r="C759">
        <v>1.37558701130159</v>
      </c>
      <c r="D759">
        <v>1444</v>
      </c>
      <c r="E759">
        <v>0</v>
      </c>
      <c r="F759">
        <v>4</v>
      </c>
      <c r="G759">
        <v>89</v>
      </c>
      <c r="H759">
        <v>3.2713049662201998E-3</v>
      </c>
      <c r="I759">
        <v>10</v>
      </c>
      <c r="J759">
        <v>0</v>
      </c>
      <c r="K759">
        <v>0</v>
      </c>
      <c r="L759">
        <v>0</v>
      </c>
      <c r="M759">
        <v>0</v>
      </c>
      <c r="N759">
        <v>0.52847825020191541</v>
      </c>
      <c r="O759">
        <v>-0.23165103710338381</v>
      </c>
      <c r="P759">
        <v>58317488.118660897</v>
      </c>
      <c r="Q759">
        <v>0</v>
      </c>
      <c r="R759" t="s">
        <v>678</v>
      </c>
      <c r="S759" t="s">
        <v>713</v>
      </c>
      <c r="T759" t="s">
        <v>715</v>
      </c>
      <c r="U759">
        <v>1378</v>
      </c>
      <c r="V759">
        <v>961</v>
      </c>
      <c r="W759">
        <v>417</v>
      </c>
    </row>
    <row r="760" spans="1:23" x14ac:dyDescent="0.3">
      <c r="A760" t="s">
        <v>1774</v>
      </c>
      <c r="B760">
        <v>2022</v>
      </c>
      <c r="C760">
        <v>0.6197797150576978</v>
      </c>
      <c r="D760">
        <v>7071</v>
      </c>
      <c r="E760">
        <v>0</v>
      </c>
      <c r="F760">
        <v>70</v>
      </c>
      <c r="G760">
        <v>209</v>
      </c>
      <c r="H760">
        <v>1.0052941982216001E-3</v>
      </c>
      <c r="I760">
        <v>5</v>
      </c>
      <c r="J760">
        <v>0</v>
      </c>
      <c r="K760">
        <v>0</v>
      </c>
      <c r="L760">
        <v>0</v>
      </c>
      <c r="M760">
        <v>27</v>
      </c>
      <c r="N760">
        <v>0.61828620149027269</v>
      </c>
      <c r="O760">
        <v>-0.26756282949049631</v>
      </c>
      <c r="P760">
        <v>471400371.4161101</v>
      </c>
      <c r="Q760">
        <v>0</v>
      </c>
      <c r="R760" t="s">
        <v>678</v>
      </c>
      <c r="S760" t="s">
        <v>716</v>
      </c>
      <c r="T760" t="s">
        <v>717</v>
      </c>
      <c r="U760">
        <v>6741</v>
      </c>
      <c r="V760">
        <v>358</v>
      </c>
      <c r="W760">
        <v>6383</v>
      </c>
    </row>
    <row r="761" spans="1:23" x14ac:dyDescent="0.3">
      <c r="A761" t="s">
        <v>1775</v>
      </c>
      <c r="B761">
        <v>2022</v>
      </c>
      <c r="C761">
        <v>0.4355579539818647</v>
      </c>
      <c r="D761">
        <v>2168</v>
      </c>
      <c r="E761">
        <v>0</v>
      </c>
      <c r="F761">
        <v>761</v>
      </c>
      <c r="G761">
        <v>105</v>
      </c>
      <c r="H761">
        <v>1.1812812358019001E-3</v>
      </c>
      <c r="I761">
        <v>13</v>
      </c>
      <c r="J761">
        <v>0</v>
      </c>
      <c r="K761">
        <v>0</v>
      </c>
      <c r="L761">
        <v>0</v>
      </c>
      <c r="M761">
        <v>0</v>
      </c>
      <c r="N761">
        <v>0.58960662202093617</v>
      </c>
      <c r="O761">
        <v>-0.2226259547502705</v>
      </c>
      <c r="P761">
        <v>1252865881.8658309</v>
      </c>
      <c r="Q761">
        <v>0</v>
      </c>
      <c r="R761" t="s">
        <v>678</v>
      </c>
      <c r="S761" t="s">
        <v>723</v>
      </c>
      <c r="T761" t="s">
        <v>724</v>
      </c>
      <c r="U761">
        <v>2069</v>
      </c>
      <c r="V761">
        <v>0</v>
      </c>
      <c r="W761">
        <v>2069</v>
      </c>
    </row>
    <row r="762" spans="1:23" x14ac:dyDescent="0.3">
      <c r="A762" t="s">
        <v>1776</v>
      </c>
      <c r="B762">
        <v>2022</v>
      </c>
      <c r="C762">
        <v>0.46886882500630539</v>
      </c>
      <c r="D762">
        <v>7718</v>
      </c>
      <c r="E762">
        <v>0</v>
      </c>
      <c r="F762">
        <v>314</v>
      </c>
      <c r="G762">
        <v>100</v>
      </c>
      <c r="H762">
        <v>1.3620308535452999E-3</v>
      </c>
      <c r="I762">
        <v>10</v>
      </c>
      <c r="J762">
        <v>0</v>
      </c>
      <c r="K762">
        <v>0</v>
      </c>
      <c r="L762">
        <v>0</v>
      </c>
      <c r="M762">
        <v>3</v>
      </c>
      <c r="N762">
        <v>0.62896813377763161</v>
      </c>
      <c r="O762">
        <v>-0.25134108592756338</v>
      </c>
      <c r="P762">
        <v>1268687972.1922519</v>
      </c>
      <c r="Q762">
        <v>0</v>
      </c>
      <c r="R762" t="s">
        <v>678</v>
      </c>
      <c r="S762" t="s">
        <v>723</v>
      </c>
      <c r="T762" t="s">
        <v>725</v>
      </c>
      <c r="U762">
        <v>7360</v>
      </c>
      <c r="V762">
        <v>12</v>
      </c>
      <c r="W762">
        <v>7348</v>
      </c>
    </row>
    <row r="763" spans="1:23" x14ac:dyDescent="0.3">
      <c r="A763" t="s">
        <v>1777</v>
      </c>
      <c r="B763">
        <v>2022</v>
      </c>
      <c r="C763">
        <v>0.51116995489401806</v>
      </c>
      <c r="D763">
        <v>5482</v>
      </c>
      <c r="E763">
        <v>0</v>
      </c>
      <c r="F763">
        <v>99</v>
      </c>
      <c r="G763">
        <v>94</v>
      </c>
      <c r="H763">
        <v>2.8545999218512002E-3</v>
      </c>
      <c r="I763">
        <v>4</v>
      </c>
      <c r="J763">
        <v>0</v>
      </c>
      <c r="K763">
        <v>0</v>
      </c>
      <c r="L763">
        <v>0</v>
      </c>
      <c r="M763">
        <v>2</v>
      </c>
      <c r="N763">
        <v>0.6401446336727491</v>
      </c>
      <c r="O763">
        <v>-0.27446266753285148</v>
      </c>
      <c r="P763">
        <v>959002617.52584577</v>
      </c>
      <c r="Q763">
        <v>0</v>
      </c>
      <c r="R763" t="s">
        <v>678</v>
      </c>
      <c r="S763" t="s">
        <v>723</v>
      </c>
      <c r="T763" t="s">
        <v>726</v>
      </c>
      <c r="U763">
        <v>5224</v>
      </c>
      <c r="V763">
        <v>26</v>
      </c>
      <c r="W763">
        <v>5198</v>
      </c>
    </row>
    <row r="764" spans="1:23" x14ac:dyDescent="0.3">
      <c r="A764" t="s">
        <v>1778</v>
      </c>
      <c r="B764">
        <v>2022</v>
      </c>
      <c r="C764">
        <v>0.46262186537677658</v>
      </c>
      <c r="D764">
        <v>4428</v>
      </c>
      <c r="E764">
        <v>0</v>
      </c>
      <c r="F764">
        <v>942</v>
      </c>
      <c r="G764">
        <v>52</v>
      </c>
      <c r="H764">
        <v>4.6400762752263998E-3</v>
      </c>
      <c r="I764">
        <v>13</v>
      </c>
      <c r="J764">
        <v>0</v>
      </c>
      <c r="K764">
        <v>0</v>
      </c>
      <c r="L764">
        <v>0</v>
      </c>
      <c r="M764">
        <v>0</v>
      </c>
      <c r="N764">
        <v>0.63719791700788442</v>
      </c>
      <c r="O764">
        <v>-0.26377389558658509</v>
      </c>
      <c r="P764">
        <v>1328664074.015554</v>
      </c>
      <c r="Q764">
        <v>0</v>
      </c>
      <c r="R764" t="s">
        <v>678</v>
      </c>
      <c r="S764" t="s">
        <v>723</v>
      </c>
      <c r="T764" t="s">
        <v>727</v>
      </c>
      <c r="U764">
        <v>4225</v>
      </c>
      <c r="V764">
        <v>0</v>
      </c>
      <c r="W764">
        <v>4225</v>
      </c>
    </row>
    <row r="765" spans="1:23" x14ac:dyDescent="0.3">
      <c r="A765" t="s">
        <v>1779</v>
      </c>
      <c r="B765">
        <v>2022</v>
      </c>
      <c r="C765">
        <v>1.518821865784405</v>
      </c>
      <c r="D765">
        <v>2729</v>
      </c>
      <c r="E765">
        <v>0</v>
      </c>
      <c r="F765">
        <v>7</v>
      </c>
      <c r="G765">
        <v>69</v>
      </c>
      <c r="H765">
        <v>2.7600578795569002E-3</v>
      </c>
      <c r="I765">
        <v>4</v>
      </c>
      <c r="J765">
        <v>0</v>
      </c>
      <c r="K765">
        <v>0</v>
      </c>
      <c r="L765">
        <v>0</v>
      </c>
      <c r="M765">
        <v>0</v>
      </c>
      <c r="N765">
        <v>0.57494222936997808</v>
      </c>
      <c r="O765">
        <v>-0.2673232256902025</v>
      </c>
      <c r="P765">
        <v>54971295.141918793</v>
      </c>
      <c r="Q765">
        <v>0</v>
      </c>
      <c r="R765" t="s">
        <v>678</v>
      </c>
      <c r="S765" t="s">
        <v>728</v>
      </c>
      <c r="T765" t="s">
        <v>728</v>
      </c>
      <c r="U765">
        <v>2604</v>
      </c>
      <c r="V765">
        <v>1194</v>
      </c>
      <c r="W765">
        <v>1410</v>
      </c>
    </row>
    <row r="766" spans="1:23" x14ac:dyDescent="0.3">
      <c r="A766" t="s">
        <v>1780</v>
      </c>
      <c r="B766">
        <v>2022</v>
      </c>
      <c r="C766">
        <v>0.66321764208877432</v>
      </c>
      <c r="D766">
        <v>2805</v>
      </c>
      <c r="E766">
        <v>0</v>
      </c>
      <c r="F766">
        <v>26</v>
      </c>
      <c r="G766">
        <v>62</v>
      </c>
      <c r="H766">
        <v>1.8728733357531E-3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0.58952565993574513</v>
      </c>
      <c r="O766">
        <v>-0.22038743463563121</v>
      </c>
      <c r="P766">
        <v>265219065.20832491</v>
      </c>
      <c r="Q766">
        <v>0</v>
      </c>
      <c r="R766" t="s">
        <v>678</v>
      </c>
      <c r="S766" t="s">
        <v>728</v>
      </c>
      <c r="T766" t="s">
        <v>730</v>
      </c>
      <c r="U766">
        <v>2674</v>
      </c>
      <c r="V766">
        <v>58</v>
      </c>
      <c r="W766">
        <v>2616</v>
      </c>
    </row>
    <row r="767" spans="1:23" x14ac:dyDescent="0.3">
      <c r="A767" t="s">
        <v>1781</v>
      </c>
      <c r="B767">
        <v>2022</v>
      </c>
      <c r="C767">
        <v>0.59831085046623111</v>
      </c>
      <c r="D767">
        <v>5778</v>
      </c>
      <c r="E767">
        <v>0</v>
      </c>
      <c r="F767">
        <v>89</v>
      </c>
      <c r="G767">
        <v>126</v>
      </c>
      <c r="H767">
        <v>1.1231659809952999E-3</v>
      </c>
      <c r="I767">
        <v>3</v>
      </c>
      <c r="J767">
        <v>0.66666666666666663</v>
      </c>
      <c r="K767">
        <v>1</v>
      </c>
      <c r="L767">
        <v>0</v>
      </c>
      <c r="M767">
        <v>9</v>
      </c>
      <c r="N767">
        <v>0.63649179660355482</v>
      </c>
      <c r="O767">
        <v>-0.2387237649295503</v>
      </c>
      <c r="P767">
        <v>648735609.53570533</v>
      </c>
      <c r="Q767">
        <v>0</v>
      </c>
      <c r="R767" t="s">
        <v>678</v>
      </c>
      <c r="S767" t="s">
        <v>732</v>
      </c>
      <c r="T767" t="s">
        <v>125</v>
      </c>
      <c r="U767">
        <v>5511</v>
      </c>
      <c r="V767">
        <v>556</v>
      </c>
      <c r="W767">
        <v>4955</v>
      </c>
    </row>
    <row r="768" spans="1:23" x14ac:dyDescent="0.3">
      <c r="A768" t="s">
        <v>1782</v>
      </c>
      <c r="B768">
        <v>2022</v>
      </c>
      <c r="C768">
        <v>0.59834770048463892</v>
      </c>
      <c r="D768">
        <v>3959</v>
      </c>
      <c r="E768">
        <v>0</v>
      </c>
      <c r="F768">
        <v>1</v>
      </c>
      <c r="G768">
        <v>108</v>
      </c>
      <c r="H768">
        <v>1.2886557236211999E-3</v>
      </c>
      <c r="I768">
        <v>1</v>
      </c>
      <c r="J768">
        <v>0</v>
      </c>
      <c r="K768">
        <v>0</v>
      </c>
      <c r="L768">
        <v>0</v>
      </c>
      <c r="M768">
        <v>5</v>
      </c>
      <c r="N768">
        <v>0.65024981004515447</v>
      </c>
      <c r="O768">
        <v>-0.267644493931806</v>
      </c>
      <c r="P768">
        <v>532462675.68424249</v>
      </c>
      <c r="Q768">
        <v>0</v>
      </c>
      <c r="R768" t="s">
        <v>678</v>
      </c>
      <c r="S768" t="s">
        <v>732</v>
      </c>
      <c r="T768" t="s">
        <v>733</v>
      </c>
      <c r="U768">
        <v>3758</v>
      </c>
      <c r="V768">
        <v>57</v>
      </c>
      <c r="W768">
        <v>3701</v>
      </c>
    </row>
    <row r="769" spans="1:23" x14ac:dyDescent="0.3">
      <c r="A769" t="s">
        <v>1783</v>
      </c>
      <c r="B769">
        <v>2022</v>
      </c>
      <c r="C769">
        <v>0.64981460033519811</v>
      </c>
      <c r="D769">
        <v>7844</v>
      </c>
      <c r="E769">
        <v>0</v>
      </c>
      <c r="F769">
        <v>106</v>
      </c>
      <c r="G769">
        <v>174</v>
      </c>
      <c r="H769">
        <v>1.1359672602670001E-3</v>
      </c>
      <c r="I769">
        <v>9</v>
      </c>
      <c r="J769">
        <v>0</v>
      </c>
      <c r="K769">
        <v>0</v>
      </c>
      <c r="L769">
        <v>0</v>
      </c>
      <c r="M769">
        <v>6</v>
      </c>
      <c r="N769">
        <v>0.64646461698630242</v>
      </c>
      <c r="O769">
        <v>-0.27049134820727061</v>
      </c>
      <c r="P769">
        <v>429335679.01755577</v>
      </c>
      <c r="Q769">
        <v>0</v>
      </c>
      <c r="R769" t="s">
        <v>734</v>
      </c>
      <c r="S769" t="s">
        <v>735</v>
      </c>
      <c r="T769" t="s">
        <v>736</v>
      </c>
      <c r="U769">
        <v>7465</v>
      </c>
      <c r="V769">
        <v>692</v>
      </c>
      <c r="W769">
        <v>6773</v>
      </c>
    </row>
    <row r="770" spans="1:23" x14ac:dyDescent="0.3">
      <c r="A770" t="s">
        <v>1784</v>
      </c>
      <c r="B770">
        <v>2022</v>
      </c>
      <c r="C770">
        <v>0.72996166066307966</v>
      </c>
      <c r="D770">
        <v>9149</v>
      </c>
      <c r="E770">
        <v>0</v>
      </c>
      <c r="F770">
        <v>93</v>
      </c>
      <c r="G770">
        <v>142</v>
      </c>
      <c r="H770">
        <v>6.7383131329790005E-4</v>
      </c>
      <c r="I770">
        <v>9</v>
      </c>
      <c r="J770">
        <v>0</v>
      </c>
      <c r="K770">
        <v>0</v>
      </c>
      <c r="L770">
        <v>0</v>
      </c>
      <c r="M770">
        <v>0</v>
      </c>
      <c r="N770">
        <v>0.57814035478774661</v>
      </c>
      <c r="O770">
        <v>-0.2339673256724257</v>
      </c>
      <c r="P770">
        <v>963305715.7413044</v>
      </c>
      <c r="Q770">
        <v>0</v>
      </c>
      <c r="R770" t="s">
        <v>734</v>
      </c>
      <c r="S770" t="s">
        <v>735</v>
      </c>
      <c r="T770" t="s">
        <v>737</v>
      </c>
      <c r="U770">
        <v>8718</v>
      </c>
      <c r="V770">
        <v>225</v>
      </c>
      <c r="W770">
        <v>8493</v>
      </c>
    </row>
    <row r="771" spans="1:23" x14ac:dyDescent="0.3">
      <c r="A771" t="s">
        <v>1785</v>
      </c>
      <c r="B771">
        <v>2022</v>
      </c>
      <c r="C771">
        <v>0.55906790147619689</v>
      </c>
      <c r="D771">
        <v>2284</v>
      </c>
      <c r="E771">
        <v>0</v>
      </c>
      <c r="F771">
        <v>2</v>
      </c>
      <c r="G771">
        <v>96</v>
      </c>
      <c r="H771">
        <v>1.3394434454282E-3</v>
      </c>
      <c r="I771">
        <v>5</v>
      </c>
      <c r="J771">
        <v>0</v>
      </c>
      <c r="K771">
        <v>0</v>
      </c>
      <c r="L771">
        <v>0</v>
      </c>
      <c r="M771">
        <v>2</v>
      </c>
      <c r="N771">
        <v>0.52684517316310886</v>
      </c>
      <c r="O771">
        <v>-0.2399149020778851</v>
      </c>
      <c r="P771">
        <v>793394049.87602115</v>
      </c>
      <c r="Q771">
        <v>0</v>
      </c>
      <c r="R771" t="s">
        <v>734</v>
      </c>
      <c r="S771" t="s">
        <v>735</v>
      </c>
      <c r="T771" t="s">
        <v>738</v>
      </c>
      <c r="U771">
        <v>2179</v>
      </c>
      <c r="V771">
        <v>628</v>
      </c>
      <c r="W771">
        <v>1551</v>
      </c>
    </row>
    <row r="772" spans="1:23" x14ac:dyDescent="0.3">
      <c r="A772" t="s">
        <v>1786</v>
      </c>
      <c r="B772">
        <v>2022</v>
      </c>
      <c r="C772">
        <v>0.54485172702069684</v>
      </c>
      <c r="D772">
        <v>3698</v>
      </c>
      <c r="E772">
        <v>0</v>
      </c>
      <c r="F772">
        <v>12</v>
      </c>
      <c r="G772">
        <v>105</v>
      </c>
      <c r="H772">
        <v>1.1573039615152001E-3</v>
      </c>
      <c r="I772">
        <v>5</v>
      </c>
      <c r="J772">
        <v>0</v>
      </c>
      <c r="K772">
        <v>0</v>
      </c>
      <c r="L772">
        <v>0</v>
      </c>
      <c r="M772">
        <v>0</v>
      </c>
      <c r="N772">
        <v>0.50585025014384366</v>
      </c>
      <c r="O772">
        <v>-0.2325037715091135</v>
      </c>
      <c r="P772">
        <v>918943832.23936045</v>
      </c>
      <c r="Q772">
        <v>0</v>
      </c>
      <c r="R772" t="s">
        <v>734</v>
      </c>
      <c r="S772" t="s">
        <v>735</v>
      </c>
      <c r="T772" t="s">
        <v>741</v>
      </c>
      <c r="U772">
        <v>3527</v>
      </c>
      <c r="V772">
        <v>663</v>
      </c>
      <c r="W772">
        <v>2864</v>
      </c>
    </row>
    <row r="773" spans="1:23" x14ac:dyDescent="0.3">
      <c r="A773" t="s">
        <v>1787</v>
      </c>
      <c r="B773">
        <v>2022</v>
      </c>
      <c r="C773">
        <v>1.0953312719169459</v>
      </c>
      <c r="D773">
        <v>7662</v>
      </c>
      <c r="E773">
        <v>0</v>
      </c>
      <c r="F773">
        <v>36</v>
      </c>
      <c r="G773">
        <v>155</v>
      </c>
      <c r="H773">
        <v>1.9250885029624999E-3</v>
      </c>
      <c r="I773">
        <v>6</v>
      </c>
      <c r="J773">
        <v>0</v>
      </c>
      <c r="K773">
        <v>0</v>
      </c>
      <c r="L773">
        <v>0</v>
      </c>
      <c r="M773">
        <v>1</v>
      </c>
      <c r="N773">
        <v>0.61639726539829032</v>
      </c>
      <c r="O773">
        <v>-0.25566591293389468</v>
      </c>
      <c r="P773">
        <v>162386011.32969889</v>
      </c>
      <c r="Q773">
        <v>0</v>
      </c>
      <c r="R773" t="s">
        <v>734</v>
      </c>
      <c r="S773" t="s">
        <v>735</v>
      </c>
      <c r="T773" t="s">
        <v>742</v>
      </c>
      <c r="U773">
        <v>7280</v>
      </c>
      <c r="V773">
        <v>2285</v>
      </c>
      <c r="W773">
        <v>4995</v>
      </c>
    </row>
    <row r="774" spans="1:23" x14ac:dyDescent="0.3">
      <c r="A774" t="s">
        <v>1788</v>
      </c>
      <c r="B774">
        <v>2022</v>
      </c>
      <c r="C774">
        <v>0.57709660649718586</v>
      </c>
      <c r="D774">
        <v>7211</v>
      </c>
      <c r="E774">
        <v>0</v>
      </c>
      <c r="F774">
        <v>168</v>
      </c>
      <c r="G774">
        <v>194</v>
      </c>
      <c r="H774">
        <v>4.7729328445770002E-4</v>
      </c>
      <c r="I774">
        <v>14</v>
      </c>
      <c r="J774">
        <v>2.19780219780219E-2</v>
      </c>
      <c r="K774">
        <v>1</v>
      </c>
      <c r="L774">
        <v>0</v>
      </c>
      <c r="M774">
        <v>1</v>
      </c>
      <c r="N774">
        <v>0.59130459298515392</v>
      </c>
      <c r="O774">
        <v>-0.26653416366965149</v>
      </c>
      <c r="P774">
        <v>1531555252.4703519</v>
      </c>
      <c r="Q774">
        <v>0</v>
      </c>
      <c r="R774" t="s">
        <v>734</v>
      </c>
      <c r="S774" t="s">
        <v>743</v>
      </c>
      <c r="T774" t="s">
        <v>744</v>
      </c>
      <c r="U774">
        <v>6879</v>
      </c>
      <c r="V774">
        <v>674</v>
      </c>
      <c r="W774">
        <v>6205</v>
      </c>
    </row>
    <row r="775" spans="1:23" x14ac:dyDescent="0.3">
      <c r="A775" t="s">
        <v>1789</v>
      </c>
      <c r="B775">
        <v>2022</v>
      </c>
      <c r="C775">
        <v>0.58994539306499361</v>
      </c>
      <c r="D775">
        <v>2763</v>
      </c>
      <c r="E775">
        <v>0</v>
      </c>
      <c r="F775">
        <v>135</v>
      </c>
      <c r="G775">
        <v>41</v>
      </c>
      <c r="H775">
        <v>1.1279357713649999E-3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0.60546656516932795</v>
      </c>
      <c r="O775">
        <v>-0.23820735820348099</v>
      </c>
      <c r="P775">
        <v>392965897.0310505</v>
      </c>
      <c r="Q775">
        <v>0</v>
      </c>
      <c r="R775" t="s">
        <v>734</v>
      </c>
      <c r="S775" t="s">
        <v>743</v>
      </c>
      <c r="T775" t="s">
        <v>746</v>
      </c>
      <c r="U775">
        <v>2633</v>
      </c>
      <c r="V775">
        <v>152</v>
      </c>
      <c r="W775">
        <v>2481</v>
      </c>
    </row>
    <row r="776" spans="1:23" x14ac:dyDescent="0.3">
      <c r="A776" t="s">
        <v>1790</v>
      </c>
      <c r="B776">
        <v>2022</v>
      </c>
      <c r="C776">
        <v>0.55456740876849153</v>
      </c>
      <c r="D776">
        <v>731</v>
      </c>
      <c r="E776">
        <v>0</v>
      </c>
      <c r="F776">
        <v>25</v>
      </c>
      <c r="G776">
        <v>58</v>
      </c>
      <c r="H776">
        <v>2.6549631556132998E-3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0.4964577177229848</v>
      </c>
      <c r="O776">
        <v>-0.24487730437171359</v>
      </c>
      <c r="P776">
        <v>818879900.57068932</v>
      </c>
      <c r="Q776">
        <v>0</v>
      </c>
      <c r="R776" t="s">
        <v>734</v>
      </c>
      <c r="S776" t="s">
        <v>747</v>
      </c>
      <c r="T776" t="s">
        <v>750</v>
      </c>
      <c r="U776">
        <v>697</v>
      </c>
      <c r="V776">
        <v>450</v>
      </c>
      <c r="W776">
        <v>247</v>
      </c>
    </row>
    <row r="777" spans="1:23" x14ac:dyDescent="0.3">
      <c r="A777" t="s">
        <v>1791</v>
      </c>
      <c r="B777">
        <v>2022</v>
      </c>
      <c r="C777">
        <v>0.60631659728456477</v>
      </c>
      <c r="D777">
        <v>613</v>
      </c>
      <c r="E777">
        <v>0</v>
      </c>
      <c r="F777">
        <v>8</v>
      </c>
      <c r="G777">
        <v>45</v>
      </c>
      <c r="H777">
        <v>2.4690613647667999E-3</v>
      </c>
      <c r="I777">
        <v>1</v>
      </c>
      <c r="J777">
        <v>9.3432633716993008E-3</v>
      </c>
      <c r="K777">
        <v>4</v>
      </c>
      <c r="L777">
        <v>0</v>
      </c>
      <c r="M777">
        <v>0</v>
      </c>
      <c r="N777">
        <v>0.55938463528628801</v>
      </c>
      <c r="O777">
        <v>-0.25637659429308018</v>
      </c>
      <c r="P777">
        <v>127024934.05733819</v>
      </c>
      <c r="Q777">
        <v>0</v>
      </c>
      <c r="R777" t="s">
        <v>734</v>
      </c>
      <c r="S777" t="s">
        <v>747</v>
      </c>
      <c r="T777" t="s">
        <v>751</v>
      </c>
      <c r="U777">
        <v>585</v>
      </c>
      <c r="V777">
        <v>291</v>
      </c>
      <c r="W777">
        <v>294</v>
      </c>
    </row>
    <row r="778" spans="1:23" x14ac:dyDescent="0.3">
      <c r="A778" t="s">
        <v>1792</v>
      </c>
      <c r="B778">
        <v>2022</v>
      </c>
      <c r="C778">
        <v>0.51059774094061094</v>
      </c>
      <c r="D778">
        <v>495</v>
      </c>
      <c r="E778">
        <v>0</v>
      </c>
      <c r="F778">
        <v>28</v>
      </c>
      <c r="G778">
        <v>54</v>
      </c>
      <c r="H778">
        <v>1.6934776670835001E-3</v>
      </c>
      <c r="I778">
        <v>15</v>
      </c>
      <c r="J778">
        <v>1.4084507042253501E-2</v>
      </c>
      <c r="K778">
        <v>1</v>
      </c>
      <c r="L778">
        <v>0</v>
      </c>
      <c r="M778">
        <v>1</v>
      </c>
      <c r="N778">
        <v>0.48870707676280639</v>
      </c>
      <c r="O778">
        <v>-0.22531593904936589</v>
      </c>
      <c r="P778">
        <v>480777489.04022533</v>
      </c>
      <c r="Q778">
        <v>0</v>
      </c>
      <c r="R778" t="s">
        <v>734</v>
      </c>
      <c r="S778" t="s">
        <v>752</v>
      </c>
      <c r="T778" t="s">
        <v>754</v>
      </c>
      <c r="U778">
        <v>471</v>
      </c>
      <c r="V778">
        <v>137</v>
      </c>
      <c r="W778">
        <v>334</v>
      </c>
    </row>
    <row r="779" spans="1:23" x14ac:dyDescent="0.3">
      <c r="A779" t="s">
        <v>1793</v>
      </c>
      <c r="B779">
        <v>2022</v>
      </c>
      <c r="C779">
        <v>0.98314130481007644</v>
      </c>
      <c r="D779">
        <v>665</v>
      </c>
      <c r="E779">
        <v>0</v>
      </c>
      <c r="F779">
        <v>149</v>
      </c>
      <c r="G779">
        <v>184</v>
      </c>
      <c r="H779">
        <v>4.10314067957E-4</v>
      </c>
      <c r="I779">
        <v>6</v>
      </c>
      <c r="J779">
        <v>3.7659033078879999E-3</v>
      </c>
      <c r="K779">
        <v>7</v>
      </c>
      <c r="L779">
        <v>0</v>
      </c>
      <c r="M779">
        <v>0</v>
      </c>
      <c r="N779">
        <v>0.44082964371240418</v>
      </c>
      <c r="O779">
        <v>-0.28736407298795752</v>
      </c>
      <c r="P779">
        <v>315333821.58113861</v>
      </c>
      <c r="Q779">
        <v>0</v>
      </c>
      <c r="R779" t="s">
        <v>734</v>
      </c>
      <c r="S779" t="s">
        <v>752</v>
      </c>
      <c r="T779" t="s">
        <v>756</v>
      </c>
      <c r="U779">
        <v>635</v>
      </c>
      <c r="V779">
        <v>424</v>
      </c>
      <c r="W779">
        <v>211</v>
      </c>
    </row>
    <row r="780" spans="1:23" x14ac:dyDescent="0.3">
      <c r="A780" t="s">
        <v>1794</v>
      </c>
      <c r="B780">
        <v>2022</v>
      </c>
      <c r="C780">
        <v>0.53045600996637765</v>
      </c>
      <c r="D780">
        <v>139</v>
      </c>
      <c r="E780">
        <v>0</v>
      </c>
      <c r="F780">
        <v>2</v>
      </c>
      <c r="G780">
        <v>29</v>
      </c>
      <c r="H780">
        <v>3.3276751651231998E-3</v>
      </c>
      <c r="I780">
        <v>4</v>
      </c>
      <c r="J780">
        <v>0.1333333333333333</v>
      </c>
      <c r="K780">
        <v>1</v>
      </c>
      <c r="L780">
        <v>0</v>
      </c>
      <c r="M780">
        <v>0</v>
      </c>
      <c r="N780">
        <v>0.59797183968199441</v>
      </c>
      <c r="O780">
        <v>-0.2439959576339652</v>
      </c>
      <c r="P780">
        <v>285719813.62933612</v>
      </c>
      <c r="Q780">
        <v>0</v>
      </c>
      <c r="R780" t="s">
        <v>734</v>
      </c>
      <c r="S780" t="s">
        <v>752</v>
      </c>
      <c r="T780" t="s">
        <v>758</v>
      </c>
      <c r="U780">
        <v>132</v>
      </c>
      <c r="V780">
        <v>67</v>
      </c>
      <c r="W780">
        <v>65</v>
      </c>
    </row>
    <row r="781" spans="1:23" x14ac:dyDescent="0.3">
      <c r="A781" t="s">
        <v>1795</v>
      </c>
      <c r="B781">
        <v>2022</v>
      </c>
      <c r="C781">
        <v>0.53720274934939893</v>
      </c>
      <c r="D781">
        <v>2827</v>
      </c>
      <c r="E781">
        <v>0</v>
      </c>
      <c r="F781">
        <v>22</v>
      </c>
      <c r="G781">
        <v>50</v>
      </c>
      <c r="H781">
        <v>3.2462855496562999E-3</v>
      </c>
      <c r="I781">
        <v>6</v>
      </c>
      <c r="J781">
        <v>0</v>
      </c>
      <c r="K781">
        <v>0</v>
      </c>
      <c r="L781">
        <v>0</v>
      </c>
      <c r="M781">
        <v>2</v>
      </c>
      <c r="N781">
        <v>0.6908520161632945</v>
      </c>
      <c r="O781">
        <v>-0.27409857375806479</v>
      </c>
      <c r="P781">
        <v>453452020.2999844</v>
      </c>
      <c r="Q781">
        <v>0</v>
      </c>
      <c r="R781" t="s">
        <v>760</v>
      </c>
      <c r="S781" t="s">
        <v>760</v>
      </c>
      <c r="T781" t="s">
        <v>762</v>
      </c>
      <c r="U781">
        <v>2689</v>
      </c>
      <c r="V781">
        <v>34</v>
      </c>
      <c r="W781">
        <v>2655</v>
      </c>
    </row>
    <row r="782" spans="1:23" x14ac:dyDescent="0.3">
      <c r="A782" t="s">
        <v>1796</v>
      </c>
      <c r="B782">
        <v>2022</v>
      </c>
      <c r="C782">
        <v>0.86254533176971748</v>
      </c>
      <c r="D782">
        <v>1470</v>
      </c>
      <c r="E782">
        <v>0</v>
      </c>
      <c r="F782">
        <v>10</v>
      </c>
      <c r="G782">
        <v>77</v>
      </c>
      <c r="H782">
        <v>1.3782249766026999E-3</v>
      </c>
      <c r="I782">
        <v>1</v>
      </c>
      <c r="J782">
        <v>0</v>
      </c>
      <c r="K782">
        <v>0</v>
      </c>
      <c r="L782">
        <v>0</v>
      </c>
      <c r="M782">
        <v>4</v>
      </c>
      <c r="N782">
        <v>0.6117326129223406</v>
      </c>
      <c r="O782">
        <v>-0.2761817930655957</v>
      </c>
      <c r="P782">
        <v>94631515.101365402</v>
      </c>
      <c r="Q782">
        <v>0</v>
      </c>
      <c r="R782" t="s">
        <v>760</v>
      </c>
      <c r="S782" t="s">
        <v>760</v>
      </c>
      <c r="T782" t="s">
        <v>671</v>
      </c>
      <c r="U782">
        <v>1402</v>
      </c>
      <c r="V782">
        <v>376</v>
      </c>
      <c r="W782">
        <v>1026</v>
      </c>
    </row>
    <row r="783" spans="1:23" x14ac:dyDescent="0.3">
      <c r="A783" t="s">
        <v>1797</v>
      </c>
      <c r="B783">
        <v>2022</v>
      </c>
      <c r="C783">
        <v>1.2802278100879469</v>
      </c>
      <c r="D783">
        <v>1724</v>
      </c>
      <c r="E783">
        <v>0</v>
      </c>
      <c r="F783">
        <v>10</v>
      </c>
      <c r="G783">
        <v>74</v>
      </c>
      <c r="H783">
        <v>1.8365012980725E-3</v>
      </c>
      <c r="I783">
        <v>3</v>
      </c>
      <c r="J783">
        <v>0</v>
      </c>
      <c r="K783">
        <v>0</v>
      </c>
      <c r="L783">
        <v>0</v>
      </c>
      <c r="M783">
        <v>2</v>
      </c>
      <c r="N783">
        <v>0.68082413830850541</v>
      </c>
      <c r="O783">
        <v>-0.3266627836076304</v>
      </c>
      <c r="P783">
        <v>71076966.075193718</v>
      </c>
      <c r="Q783">
        <v>0</v>
      </c>
      <c r="R783" t="s">
        <v>760</v>
      </c>
      <c r="S783" t="s">
        <v>760</v>
      </c>
      <c r="T783" t="s">
        <v>763</v>
      </c>
      <c r="U783">
        <v>1642</v>
      </c>
      <c r="V783">
        <v>789</v>
      </c>
      <c r="W783">
        <v>853</v>
      </c>
    </row>
    <row r="784" spans="1:23" x14ac:dyDescent="0.3">
      <c r="A784" t="s">
        <v>1798</v>
      </c>
      <c r="B784">
        <v>2022</v>
      </c>
      <c r="C784">
        <v>0.76954743750627264</v>
      </c>
      <c r="D784">
        <v>299</v>
      </c>
      <c r="E784">
        <v>0</v>
      </c>
      <c r="F784">
        <v>13</v>
      </c>
      <c r="G784">
        <v>27</v>
      </c>
      <c r="H784">
        <v>4.8543689320387998E-3</v>
      </c>
      <c r="I784">
        <v>3</v>
      </c>
      <c r="J784">
        <v>0</v>
      </c>
      <c r="K784">
        <v>0</v>
      </c>
      <c r="L784">
        <v>0</v>
      </c>
      <c r="M784">
        <v>0</v>
      </c>
      <c r="N784">
        <v>0.67854333891946106</v>
      </c>
      <c r="O784">
        <v>-0.27996126059957938</v>
      </c>
      <c r="P784">
        <v>55175775.681451783</v>
      </c>
      <c r="Q784">
        <v>0</v>
      </c>
      <c r="R784" t="s">
        <v>760</v>
      </c>
      <c r="S784" t="s">
        <v>760</v>
      </c>
      <c r="T784" t="s">
        <v>764</v>
      </c>
      <c r="U784">
        <v>284</v>
      </c>
      <c r="V784">
        <v>33</v>
      </c>
      <c r="W784">
        <v>251</v>
      </c>
    </row>
    <row r="785" spans="1:23" x14ac:dyDescent="0.3">
      <c r="A785" t="s">
        <v>1799</v>
      </c>
      <c r="B785">
        <v>2022</v>
      </c>
      <c r="C785">
        <v>0.4895999445933904</v>
      </c>
      <c r="D785">
        <v>478</v>
      </c>
      <c r="E785">
        <v>0</v>
      </c>
      <c r="F785">
        <v>26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0.61074068359175504</v>
      </c>
      <c r="O785">
        <v>-0.2405848138961155</v>
      </c>
      <c r="P785">
        <v>1098255302.585052</v>
      </c>
      <c r="Q785">
        <v>0</v>
      </c>
      <c r="R785" t="s">
        <v>760</v>
      </c>
      <c r="S785" t="s">
        <v>760</v>
      </c>
      <c r="T785" t="s">
        <v>765</v>
      </c>
      <c r="U785">
        <v>457</v>
      </c>
      <c r="V785">
        <v>0</v>
      </c>
      <c r="W785">
        <v>457</v>
      </c>
    </row>
    <row r="786" spans="1:23" x14ac:dyDescent="0.3">
      <c r="A786" t="s">
        <v>1800</v>
      </c>
      <c r="B786">
        <v>2022</v>
      </c>
      <c r="C786">
        <v>0.45139074369233928</v>
      </c>
      <c r="D786">
        <v>4269</v>
      </c>
      <c r="E786">
        <v>0</v>
      </c>
      <c r="F786">
        <v>89</v>
      </c>
      <c r="G786">
        <v>3</v>
      </c>
      <c r="H786">
        <v>0.2</v>
      </c>
      <c r="I786">
        <v>3</v>
      </c>
      <c r="J786">
        <v>0</v>
      </c>
      <c r="K786">
        <v>0</v>
      </c>
      <c r="L786">
        <v>0</v>
      </c>
      <c r="M786">
        <v>20</v>
      </c>
      <c r="N786">
        <v>0.6152507546406164</v>
      </c>
      <c r="O786">
        <v>-0.24604967998387939</v>
      </c>
      <c r="P786">
        <v>2855782275.3515348</v>
      </c>
      <c r="Q786">
        <v>0</v>
      </c>
      <c r="R786" t="s">
        <v>760</v>
      </c>
      <c r="S786" t="s">
        <v>760</v>
      </c>
      <c r="T786" t="s">
        <v>767</v>
      </c>
      <c r="U786">
        <v>4072</v>
      </c>
      <c r="V786">
        <v>20</v>
      </c>
      <c r="W786">
        <v>4052</v>
      </c>
    </row>
    <row r="787" spans="1:23" x14ac:dyDescent="0.3">
      <c r="A787" t="s">
        <v>1801</v>
      </c>
      <c r="B787">
        <v>2022</v>
      </c>
      <c r="C787">
        <v>0.50301813537065609</v>
      </c>
      <c r="D787">
        <v>8059</v>
      </c>
      <c r="E787">
        <v>0</v>
      </c>
      <c r="F787">
        <v>26</v>
      </c>
      <c r="G787">
        <v>56</v>
      </c>
      <c r="H787">
        <v>1.8015787226410001E-3</v>
      </c>
      <c r="I787">
        <v>1</v>
      </c>
      <c r="J787">
        <v>0</v>
      </c>
      <c r="K787">
        <v>0</v>
      </c>
      <c r="L787">
        <v>0</v>
      </c>
      <c r="M787">
        <v>6</v>
      </c>
      <c r="N787">
        <v>0.65453235224428419</v>
      </c>
      <c r="O787">
        <v>-0.25652102547077699</v>
      </c>
      <c r="P787">
        <v>1026353122.979234</v>
      </c>
      <c r="Q787">
        <v>0</v>
      </c>
      <c r="R787" t="s">
        <v>760</v>
      </c>
      <c r="S787" t="s">
        <v>760</v>
      </c>
      <c r="T787" t="s">
        <v>58</v>
      </c>
      <c r="U787">
        <v>7679</v>
      </c>
      <c r="V787">
        <v>270</v>
      </c>
      <c r="W787">
        <v>7409</v>
      </c>
    </row>
    <row r="788" spans="1:23" x14ac:dyDescent="0.3">
      <c r="A788" t="s">
        <v>1802</v>
      </c>
      <c r="B788">
        <v>2022</v>
      </c>
      <c r="C788">
        <v>0.71943905611527459</v>
      </c>
      <c r="D788">
        <v>1246</v>
      </c>
      <c r="E788">
        <v>0</v>
      </c>
      <c r="F788">
        <v>1</v>
      </c>
      <c r="G788">
        <v>46</v>
      </c>
      <c r="H788">
        <v>1.4133876074173999E-3</v>
      </c>
      <c r="I788">
        <v>10</v>
      </c>
      <c r="J788">
        <v>0</v>
      </c>
      <c r="K788">
        <v>0</v>
      </c>
      <c r="L788">
        <v>0</v>
      </c>
      <c r="M788">
        <v>1</v>
      </c>
      <c r="N788">
        <v>0.68451661798684216</v>
      </c>
      <c r="O788">
        <v>-0.30790982292295688</v>
      </c>
      <c r="P788">
        <v>104862768.75322931</v>
      </c>
      <c r="Q788">
        <v>0</v>
      </c>
      <c r="R788" t="s">
        <v>760</v>
      </c>
      <c r="S788" t="s">
        <v>760</v>
      </c>
      <c r="T788" t="s">
        <v>768</v>
      </c>
      <c r="U788">
        <v>1187</v>
      </c>
      <c r="V788">
        <v>274</v>
      </c>
      <c r="W788">
        <v>913</v>
      </c>
    </row>
    <row r="789" spans="1:23" x14ac:dyDescent="0.3">
      <c r="A789" t="s">
        <v>1803</v>
      </c>
      <c r="B789">
        <v>2022</v>
      </c>
      <c r="C789">
        <v>1.110112814751981</v>
      </c>
      <c r="D789">
        <v>2474</v>
      </c>
      <c r="E789">
        <v>0</v>
      </c>
      <c r="F789">
        <v>1</v>
      </c>
      <c r="G789">
        <v>102</v>
      </c>
      <c r="H789">
        <v>9.7841089489029997E-4</v>
      </c>
      <c r="I789">
        <v>3</v>
      </c>
      <c r="J789">
        <v>0</v>
      </c>
      <c r="K789">
        <v>0</v>
      </c>
      <c r="L789">
        <v>0</v>
      </c>
      <c r="M789">
        <v>1</v>
      </c>
      <c r="N789">
        <v>0.70403676142578087</v>
      </c>
      <c r="O789">
        <v>-0.31635250370195178</v>
      </c>
      <c r="P789">
        <v>170026379.63544369</v>
      </c>
      <c r="Q789">
        <v>0</v>
      </c>
      <c r="R789" t="s">
        <v>760</v>
      </c>
      <c r="S789" t="s">
        <v>760</v>
      </c>
      <c r="T789" t="s">
        <v>769</v>
      </c>
      <c r="U789">
        <v>2354</v>
      </c>
      <c r="V789">
        <v>995</v>
      </c>
      <c r="W789">
        <v>1359</v>
      </c>
    </row>
    <row r="790" spans="1:23" x14ac:dyDescent="0.3">
      <c r="A790" t="s">
        <v>1804</v>
      </c>
      <c r="B790">
        <v>2022</v>
      </c>
      <c r="C790">
        <v>0.65760728497566268</v>
      </c>
      <c r="D790">
        <v>1393</v>
      </c>
      <c r="E790">
        <v>0</v>
      </c>
      <c r="F790">
        <v>3</v>
      </c>
      <c r="G790">
        <v>37</v>
      </c>
      <c r="H790">
        <v>1.640656262505E-3</v>
      </c>
      <c r="I790">
        <v>1</v>
      </c>
      <c r="J790">
        <v>0</v>
      </c>
      <c r="K790">
        <v>0</v>
      </c>
      <c r="L790">
        <v>0</v>
      </c>
      <c r="M790">
        <v>2</v>
      </c>
      <c r="N790">
        <v>0.6381820064863597</v>
      </c>
      <c r="O790">
        <v>-0.25430795629741709</v>
      </c>
      <c r="P790">
        <v>237282249.60357249</v>
      </c>
      <c r="Q790">
        <v>0</v>
      </c>
      <c r="R790" t="s">
        <v>760</v>
      </c>
      <c r="S790" t="s">
        <v>760</v>
      </c>
      <c r="T790" t="s">
        <v>430</v>
      </c>
      <c r="U790">
        <v>1288</v>
      </c>
      <c r="V790">
        <v>672</v>
      </c>
      <c r="W790">
        <v>616</v>
      </c>
    </row>
    <row r="791" spans="1:23" x14ac:dyDescent="0.3">
      <c r="A791" t="s">
        <v>1805</v>
      </c>
      <c r="B791">
        <v>2022</v>
      </c>
      <c r="C791">
        <v>0.89146730642550231</v>
      </c>
      <c r="D791">
        <v>3860</v>
      </c>
      <c r="E791">
        <v>0</v>
      </c>
      <c r="F791">
        <v>7</v>
      </c>
      <c r="G791">
        <v>88</v>
      </c>
      <c r="H791">
        <v>1.1473461160783E-3</v>
      </c>
      <c r="I791">
        <v>15</v>
      </c>
      <c r="J791">
        <v>0</v>
      </c>
      <c r="K791">
        <v>0</v>
      </c>
      <c r="L791">
        <v>0</v>
      </c>
      <c r="M791">
        <v>0</v>
      </c>
      <c r="N791">
        <v>0.64928720179567934</v>
      </c>
      <c r="O791">
        <v>-0.29964368876045427</v>
      </c>
      <c r="P791">
        <v>136332825.26503551</v>
      </c>
      <c r="Q791">
        <v>0</v>
      </c>
      <c r="R791" t="s">
        <v>760</v>
      </c>
      <c r="S791" t="s">
        <v>770</v>
      </c>
      <c r="T791" t="s">
        <v>771</v>
      </c>
      <c r="U791">
        <v>3605</v>
      </c>
      <c r="V791">
        <v>440</v>
      </c>
      <c r="W791">
        <v>3165</v>
      </c>
    </row>
    <row r="792" spans="1:23" x14ac:dyDescent="0.3">
      <c r="A792" t="s">
        <v>1806</v>
      </c>
      <c r="B792">
        <v>2022</v>
      </c>
      <c r="C792">
        <v>0.49680240377974261</v>
      </c>
      <c r="D792">
        <v>4053</v>
      </c>
      <c r="E792">
        <v>0</v>
      </c>
      <c r="F792">
        <v>117</v>
      </c>
      <c r="G792">
        <v>64</v>
      </c>
      <c r="H792">
        <v>1.4285670397325E-3</v>
      </c>
      <c r="I792">
        <v>12</v>
      </c>
      <c r="J792">
        <v>0.66666666666666663</v>
      </c>
      <c r="K792">
        <v>1</v>
      </c>
      <c r="L792">
        <v>0</v>
      </c>
      <c r="M792">
        <v>6</v>
      </c>
      <c r="N792">
        <v>0.59942544357849459</v>
      </c>
      <c r="O792">
        <v>-0.22818757241625581</v>
      </c>
      <c r="P792">
        <v>8219493298.7348366</v>
      </c>
      <c r="Q792">
        <v>0</v>
      </c>
      <c r="R792" t="s">
        <v>760</v>
      </c>
      <c r="S792" t="s">
        <v>774</v>
      </c>
      <c r="T792" t="s">
        <v>775</v>
      </c>
      <c r="U792">
        <v>3844</v>
      </c>
      <c r="V792">
        <v>115</v>
      </c>
      <c r="W792">
        <v>3729</v>
      </c>
    </row>
    <row r="793" spans="1:23" x14ac:dyDescent="0.3">
      <c r="A793" t="s">
        <v>1807</v>
      </c>
      <c r="B793">
        <v>2022</v>
      </c>
      <c r="C793">
        <v>4.1391415044661626</v>
      </c>
      <c r="D793">
        <v>1514</v>
      </c>
      <c r="E793">
        <v>0</v>
      </c>
      <c r="F793">
        <v>7</v>
      </c>
      <c r="G793">
        <v>110</v>
      </c>
      <c r="H793">
        <v>7.1122364561650002E-4</v>
      </c>
      <c r="I793">
        <v>5</v>
      </c>
      <c r="J793">
        <v>0</v>
      </c>
      <c r="K793">
        <v>0</v>
      </c>
      <c r="L793">
        <v>0</v>
      </c>
      <c r="M793">
        <v>3</v>
      </c>
      <c r="N793">
        <v>0.54923407808496916</v>
      </c>
      <c r="O793">
        <v>-0.25469258463185218</v>
      </c>
      <c r="P793">
        <v>70300295.810930669</v>
      </c>
      <c r="Q793">
        <v>0</v>
      </c>
      <c r="R793" t="s">
        <v>656</v>
      </c>
      <c r="S793" t="s">
        <v>776</v>
      </c>
      <c r="T793" t="s">
        <v>299</v>
      </c>
      <c r="U793">
        <v>1446</v>
      </c>
      <c r="V793">
        <v>890</v>
      </c>
      <c r="W793">
        <v>556</v>
      </c>
    </row>
    <row r="794" spans="1:23" x14ac:dyDescent="0.3">
      <c r="A794" t="s">
        <v>1812</v>
      </c>
      <c r="B794">
        <v>2022</v>
      </c>
      <c r="C794">
        <v>0.75307004458725468</v>
      </c>
      <c r="D794">
        <v>4087</v>
      </c>
      <c r="E794">
        <v>0</v>
      </c>
      <c r="F794">
        <v>577</v>
      </c>
      <c r="G794">
        <v>258</v>
      </c>
      <c r="H794">
        <v>1.9107297990849999E-4</v>
      </c>
      <c r="I794">
        <v>4</v>
      </c>
      <c r="J794">
        <v>0</v>
      </c>
      <c r="K794">
        <v>0</v>
      </c>
      <c r="L794">
        <v>0</v>
      </c>
      <c r="M794">
        <v>8</v>
      </c>
      <c r="P794">
        <v>346530576.59557348</v>
      </c>
      <c r="Q794">
        <v>0</v>
      </c>
      <c r="R794" t="s">
        <v>656</v>
      </c>
      <c r="S794" t="s">
        <v>776</v>
      </c>
      <c r="T794" t="s">
        <v>795</v>
      </c>
      <c r="U794">
        <v>3896</v>
      </c>
      <c r="V794">
        <v>1575</v>
      </c>
      <c r="W794">
        <v>2321</v>
      </c>
    </row>
    <row r="795" spans="1:23" x14ac:dyDescent="0.3">
      <c r="A795" t="s">
        <v>1104</v>
      </c>
      <c r="B795">
        <v>2022</v>
      </c>
      <c r="C795">
        <v>19.156452340972571</v>
      </c>
      <c r="D795">
        <v>19370</v>
      </c>
      <c r="E795">
        <v>11986847.415073531</v>
      </c>
      <c r="F795">
        <v>84</v>
      </c>
      <c r="G795">
        <v>448</v>
      </c>
      <c r="H795">
        <v>4.112155178816E-4</v>
      </c>
      <c r="I795">
        <v>3</v>
      </c>
      <c r="J795">
        <v>0</v>
      </c>
      <c r="K795">
        <v>0</v>
      </c>
      <c r="L795">
        <v>0</v>
      </c>
      <c r="M795">
        <v>12</v>
      </c>
      <c r="N795">
        <v>0.43904743302215621</v>
      </c>
      <c r="O795">
        <v>-0.32945363716600568</v>
      </c>
      <c r="P795">
        <v>75952661.447258249</v>
      </c>
      <c r="Q795">
        <v>1411273.3929823141</v>
      </c>
      <c r="R795" t="s">
        <v>656</v>
      </c>
      <c r="S795" t="s">
        <v>776</v>
      </c>
      <c r="T795" t="s">
        <v>784</v>
      </c>
      <c r="U795">
        <v>18463</v>
      </c>
      <c r="V795">
        <v>13594</v>
      </c>
      <c r="W795">
        <v>4869</v>
      </c>
    </row>
    <row r="796" spans="1:23" x14ac:dyDescent="0.3">
      <c r="A796" t="s">
        <v>1115</v>
      </c>
      <c r="B796">
        <v>2022</v>
      </c>
      <c r="C796">
        <v>5.1461571910546704</v>
      </c>
      <c r="D796">
        <v>12043</v>
      </c>
      <c r="E796">
        <v>3204864.0896446081</v>
      </c>
      <c r="F796">
        <v>12</v>
      </c>
      <c r="G796">
        <v>282</v>
      </c>
      <c r="H796">
        <v>5.1561326863279998E-4</v>
      </c>
      <c r="I796">
        <v>3</v>
      </c>
      <c r="J796">
        <v>0</v>
      </c>
      <c r="K796">
        <v>0</v>
      </c>
      <c r="L796">
        <v>0</v>
      </c>
      <c r="M796">
        <v>6</v>
      </c>
      <c r="N796">
        <v>0.4428699353274933</v>
      </c>
      <c r="O796">
        <v>-0.31951883693370742</v>
      </c>
      <c r="P796">
        <v>87698890.641658172</v>
      </c>
      <c r="Q796">
        <v>1141239.3355253041</v>
      </c>
      <c r="R796" t="s">
        <v>656</v>
      </c>
      <c r="S796" t="s">
        <v>776</v>
      </c>
      <c r="T796" t="s">
        <v>28</v>
      </c>
      <c r="U796">
        <v>11455</v>
      </c>
      <c r="V796">
        <v>8172</v>
      </c>
      <c r="W796">
        <v>3283</v>
      </c>
    </row>
    <row r="797" spans="1:23" x14ac:dyDescent="0.3">
      <c r="A797" t="s">
        <v>1808</v>
      </c>
      <c r="B797">
        <v>2022</v>
      </c>
      <c r="C797">
        <v>0.81213088239744746</v>
      </c>
      <c r="D797">
        <v>1786</v>
      </c>
      <c r="E797">
        <v>0</v>
      </c>
      <c r="F797">
        <v>2</v>
      </c>
      <c r="G797">
        <v>109</v>
      </c>
      <c r="H797">
        <v>3.5285793170180001E-4</v>
      </c>
      <c r="I797">
        <v>3</v>
      </c>
      <c r="J797">
        <v>0</v>
      </c>
      <c r="K797">
        <v>0</v>
      </c>
      <c r="L797">
        <v>0</v>
      </c>
      <c r="M797">
        <v>10</v>
      </c>
      <c r="P797">
        <v>120941885.94146471</v>
      </c>
      <c r="Q797">
        <v>0</v>
      </c>
      <c r="R797" t="s">
        <v>656</v>
      </c>
      <c r="S797" t="s">
        <v>776</v>
      </c>
      <c r="T797" t="s">
        <v>785</v>
      </c>
      <c r="U797">
        <v>1704</v>
      </c>
      <c r="V797">
        <v>550</v>
      </c>
      <c r="W797">
        <v>1154</v>
      </c>
    </row>
    <row r="798" spans="1:23" x14ac:dyDescent="0.3">
      <c r="A798" t="s">
        <v>1251</v>
      </c>
      <c r="B798">
        <v>2022</v>
      </c>
      <c r="C798">
        <v>8.9033807144219992</v>
      </c>
      <c r="D798">
        <v>4542</v>
      </c>
      <c r="E798">
        <v>85696.276470588229</v>
      </c>
      <c r="F798">
        <v>20</v>
      </c>
      <c r="G798">
        <v>139</v>
      </c>
      <c r="H798">
        <v>1.3463875144881E-3</v>
      </c>
      <c r="I798">
        <v>2</v>
      </c>
      <c r="J798">
        <v>0</v>
      </c>
      <c r="K798">
        <v>0</v>
      </c>
      <c r="L798">
        <v>0</v>
      </c>
      <c r="M798">
        <v>1</v>
      </c>
      <c r="P798">
        <v>10160370.493792349</v>
      </c>
      <c r="Q798">
        <v>83992.357466535774</v>
      </c>
      <c r="R798" t="s">
        <v>656</v>
      </c>
      <c r="S798" t="s">
        <v>776</v>
      </c>
      <c r="T798" t="s">
        <v>786</v>
      </c>
      <c r="U798">
        <v>4336</v>
      </c>
      <c r="V798">
        <v>2936</v>
      </c>
      <c r="W798">
        <v>1400</v>
      </c>
    </row>
    <row r="799" spans="1:23" x14ac:dyDescent="0.3">
      <c r="A799" t="s">
        <v>1811</v>
      </c>
      <c r="B799">
        <v>2022</v>
      </c>
      <c r="C799">
        <v>0.97408810260856959</v>
      </c>
      <c r="D799">
        <v>2909</v>
      </c>
      <c r="E799">
        <v>0</v>
      </c>
      <c r="F799">
        <v>17</v>
      </c>
      <c r="G799">
        <v>158</v>
      </c>
      <c r="H799">
        <v>3.813793254951E-4</v>
      </c>
      <c r="I799">
        <v>2</v>
      </c>
      <c r="J799">
        <v>7.69230769230769E-2</v>
      </c>
      <c r="K799">
        <v>1</v>
      </c>
      <c r="L799">
        <v>0</v>
      </c>
      <c r="M799">
        <v>8</v>
      </c>
      <c r="P799">
        <v>125280064.8017083</v>
      </c>
      <c r="Q799">
        <v>0</v>
      </c>
      <c r="R799" t="s">
        <v>656</v>
      </c>
      <c r="S799" t="s">
        <v>776</v>
      </c>
      <c r="T799" t="s">
        <v>792</v>
      </c>
      <c r="U799">
        <v>2774</v>
      </c>
      <c r="V799">
        <v>1649</v>
      </c>
      <c r="W799">
        <v>1125</v>
      </c>
    </row>
    <row r="800" spans="1:23" x14ac:dyDescent="0.3">
      <c r="A800" t="s">
        <v>1813</v>
      </c>
      <c r="B800">
        <v>2022</v>
      </c>
      <c r="C800">
        <v>5.8537964563653144</v>
      </c>
      <c r="D800">
        <v>737</v>
      </c>
      <c r="E800">
        <v>0</v>
      </c>
      <c r="F800">
        <v>34</v>
      </c>
      <c r="G800">
        <v>60</v>
      </c>
      <c r="H800">
        <v>1.5573510155841E-3</v>
      </c>
      <c r="I800">
        <v>2</v>
      </c>
      <c r="J800">
        <v>0</v>
      </c>
      <c r="K800">
        <v>0</v>
      </c>
      <c r="L800">
        <v>0</v>
      </c>
      <c r="M800">
        <v>2</v>
      </c>
      <c r="P800">
        <v>9825844.7440294344</v>
      </c>
      <c r="Q800">
        <v>0</v>
      </c>
      <c r="R800" t="s">
        <v>656</v>
      </c>
      <c r="S800" t="s">
        <v>776</v>
      </c>
      <c r="T800" t="s">
        <v>796</v>
      </c>
      <c r="U800">
        <v>704</v>
      </c>
      <c r="V800">
        <v>527</v>
      </c>
      <c r="W800">
        <v>177</v>
      </c>
    </row>
    <row r="801" spans="1:23" x14ac:dyDescent="0.3">
      <c r="A801" t="s">
        <v>1815</v>
      </c>
      <c r="B801">
        <v>2022</v>
      </c>
      <c r="C801">
        <v>6.9661621836815399</v>
      </c>
      <c r="D801">
        <v>8225</v>
      </c>
      <c r="E801">
        <v>0</v>
      </c>
      <c r="F801">
        <v>6</v>
      </c>
      <c r="G801">
        <v>223</v>
      </c>
      <c r="H801">
        <v>1.0324837581209001E-3</v>
      </c>
      <c r="I801">
        <v>3</v>
      </c>
      <c r="J801">
        <v>0</v>
      </c>
      <c r="K801">
        <v>0</v>
      </c>
      <c r="L801">
        <v>0</v>
      </c>
      <c r="M801">
        <v>3</v>
      </c>
      <c r="N801">
        <v>0.47100809118643072</v>
      </c>
      <c r="O801">
        <v>-0.32547547458177112</v>
      </c>
      <c r="P801">
        <v>34578032.36276263</v>
      </c>
      <c r="Q801">
        <v>0</v>
      </c>
      <c r="R801" t="s">
        <v>656</v>
      </c>
      <c r="S801" t="s">
        <v>807</v>
      </c>
      <c r="T801" t="s">
        <v>808</v>
      </c>
      <c r="U801">
        <v>7850</v>
      </c>
      <c r="V801">
        <v>6245</v>
      </c>
      <c r="W801">
        <v>1605</v>
      </c>
    </row>
    <row r="802" spans="1:23" x14ac:dyDescent="0.3">
      <c r="A802" t="s">
        <v>1816</v>
      </c>
      <c r="B802">
        <v>2022</v>
      </c>
      <c r="C802">
        <v>0.98960998817708523</v>
      </c>
      <c r="D802">
        <v>6820</v>
      </c>
      <c r="E802">
        <v>0</v>
      </c>
      <c r="F802">
        <v>3791</v>
      </c>
      <c r="G802">
        <v>345</v>
      </c>
      <c r="H802">
        <v>2.3436037469220001E-4</v>
      </c>
      <c r="I802">
        <v>6</v>
      </c>
      <c r="J802">
        <v>0</v>
      </c>
      <c r="K802">
        <v>0</v>
      </c>
      <c r="L802">
        <v>0</v>
      </c>
      <c r="M802">
        <v>4</v>
      </c>
      <c r="N802">
        <v>0.4609657130882725</v>
      </c>
      <c r="O802">
        <v>-0.26108145943233307</v>
      </c>
      <c r="P802">
        <v>399235029.82033598</v>
      </c>
      <c r="Q802">
        <v>0</v>
      </c>
      <c r="R802" t="s">
        <v>656</v>
      </c>
      <c r="S802" t="s">
        <v>807</v>
      </c>
      <c r="T802" t="s">
        <v>588</v>
      </c>
      <c r="U802">
        <v>6515</v>
      </c>
      <c r="V802">
        <v>2870</v>
      </c>
      <c r="W802">
        <v>3645</v>
      </c>
    </row>
    <row r="803" spans="1:23" x14ac:dyDescent="0.3">
      <c r="A803" t="s">
        <v>1817</v>
      </c>
      <c r="B803">
        <v>2022</v>
      </c>
      <c r="C803">
        <v>0.81982556748750002</v>
      </c>
      <c r="D803">
        <v>1492</v>
      </c>
      <c r="E803">
        <v>0</v>
      </c>
      <c r="F803">
        <v>35</v>
      </c>
      <c r="G803">
        <v>196</v>
      </c>
      <c r="H803">
        <v>5.2336561917090002E-4</v>
      </c>
      <c r="I803">
        <v>10</v>
      </c>
      <c r="J803">
        <v>0.25</v>
      </c>
      <c r="K803">
        <v>1</v>
      </c>
      <c r="L803">
        <v>0</v>
      </c>
      <c r="M803">
        <v>2</v>
      </c>
      <c r="P803">
        <v>142599812.30502471</v>
      </c>
      <c r="Q803">
        <v>0</v>
      </c>
      <c r="R803" t="s">
        <v>656</v>
      </c>
      <c r="S803" t="s">
        <v>813</v>
      </c>
      <c r="T803" t="s">
        <v>818</v>
      </c>
      <c r="U803">
        <v>1420</v>
      </c>
      <c r="V803">
        <v>811</v>
      </c>
      <c r="W803">
        <v>609</v>
      </c>
    </row>
    <row r="804" spans="1:23" x14ac:dyDescent="0.3">
      <c r="A804" t="s">
        <v>1818</v>
      </c>
      <c r="B804">
        <v>2022</v>
      </c>
      <c r="C804">
        <v>0.74636794482974245</v>
      </c>
      <c r="D804">
        <v>3501</v>
      </c>
      <c r="E804">
        <v>0</v>
      </c>
      <c r="F804">
        <v>99</v>
      </c>
      <c r="G804">
        <v>235</v>
      </c>
      <c r="H804">
        <v>1.626412172917E-4</v>
      </c>
      <c r="I804">
        <v>19</v>
      </c>
      <c r="J804">
        <v>0</v>
      </c>
      <c r="K804">
        <v>0</v>
      </c>
      <c r="L804">
        <v>0</v>
      </c>
      <c r="M804">
        <v>12</v>
      </c>
      <c r="P804">
        <v>493660561.22225642</v>
      </c>
      <c r="Q804">
        <v>0</v>
      </c>
      <c r="R804" t="s">
        <v>656</v>
      </c>
      <c r="S804" t="s">
        <v>813</v>
      </c>
      <c r="T804" t="s">
        <v>819</v>
      </c>
      <c r="U804">
        <v>3339</v>
      </c>
      <c r="V804">
        <v>1279</v>
      </c>
      <c r="W804">
        <v>2060</v>
      </c>
    </row>
    <row r="805" spans="1:23" x14ac:dyDescent="0.3">
      <c r="A805" t="s">
        <v>1819</v>
      </c>
      <c r="B805">
        <v>2022</v>
      </c>
      <c r="C805">
        <v>3.4277930788521802</v>
      </c>
      <c r="D805">
        <v>6586</v>
      </c>
      <c r="E805">
        <v>0</v>
      </c>
      <c r="F805">
        <v>291</v>
      </c>
      <c r="G805">
        <v>190</v>
      </c>
      <c r="H805">
        <v>6.7929186717860003E-4</v>
      </c>
      <c r="I805">
        <v>4</v>
      </c>
      <c r="J805">
        <v>0</v>
      </c>
      <c r="K805">
        <v>0</v>
      </c>
      <c r="L805">
        <v>0</v>
      </c>
      <c r="M805">
        <v>2</v>
      </c>
      <c r="N805">
        <v>0.42505060642863651</v>
      </c>
      <c r="O805">
        <v>-0.3088498887701181</v>
      </c>
      <c r="P805">
        <v>43254589.420010082</v>
      </c>
      <c r="Q805">
        <v>0</v>
      </c>
      <c r="R805" t="s">
        <v>656</v>
      </c>
      <c r="S805" t="s">
        <v>821</v>
      </c>
      <c r="T805" t="s">
        <v>825</v>
      </c>
      <c r="U805">
        <v>6290</v>
      </c>
      <c r="V805">
        <v>1944</v>
      </c>
      <c r="W805">
        <v>4346</v>
      </c>
    </row>
    <row r="806" spans="1:23" x14ac:dyDescent="0.3">
      <c r="A806" t="s">
        <v>1820</v>
      </c>
      <c r="B806">
        <v>2022</v>
      </c>
      <c r="C806">
        <v>1.008866043220733</v>
      </c>
      <c r="D806">
        <v>689</v>
      </c>
      <c r="E806">
        <v>0</v>
      </c>
      <c r="F806">
        <v>6</v>
      </c>
      <c r="G806">
        <v>75</v>
      </c>
      <c r="H806">
        <v>7.1402961392049997E-4</v>
      </c>
      <c r="I806">
        <v>11</v>
      </c>
      <c r="J806">
        <v>0</v>
      </c>
      <c r="K806">
        <v>0</v>
      </c>
      <c r="L806">
        <v>0</v>
      </c>
      <c r="M806">
        <v>1</v>
      </c>
      <c r="P806">
        <v>42156378.943922587</v>
      </c>
      <c r="Q806">
        <v>0</v>
      </c>
      <c r="R806" t="s">
        <v>656</v>
      </c>
      <c r="S806" t="s">
        <v>826</v>
      </c>
      <c r="T806" t="s">
        <v>829</v>
      </c>
      <c r="U806">
        <v>657</v>
      </c>
      <c r="V806">
        <v>455</v>
      </c>
      <c r="W806">
        <v>202</v>
      </c>
    </row>
    <row r="807" spans="1:23" x14ac:dyDescent="0.3">
      <c r="A807" t="s">
        <v>1821</v>
      </c>
      <c r="B807">
        <v>2022</v>
      </c>
      <c r="C807">
        <v>0.93586840576006558</v>
      </c>
      <c r="D807">
        <v>11224</v>
      </c>
      <c r="E807">
        <v>0</v>
      </c>
      <c r="F807">
        <v>69</v>
      </c>
      <c r="G807">
        <v>425</v>
      </c>
      <c r="H807">
        <v>1.216254369648E-4</v>
      </c>
      <c r="I807">
        <v>9</v>
      </c>
      <c r="J807">
        <v>7.2202166064980998E-3</v>
      </c>
      <c r="K807">
        <v>1</v>
      </c>
      <c r="L807">
        <v>0</v>
      </c>
      <c r="M807">
        <v>29</v>
      </c>
      <c r="N807">
        <v>0.40948738788217548</v>
      </c>
      <c r="O807">
        <v>-0.20210641346199551</v>
      </c>
      <c r="P807">
        <v>586883559.0167613</v>
      </c>
      <c r="Q807">
        <v>0</v>
      </c>
      <c r="R807" t="s">
        <v>656</v>
      </c>
      <c r="S807" t="s">
        <v>830</v>
      </c>
      <c r="T807" t="s">
        <v>830</v>
      </c>
      <c r="U807">
        <v>10691</v>
      </c>
      <c r="V807">
        <v>6156</v>
      </c>
      <c r="W807">
        <v>4535</v>
      </c>
    </row>
    <row r="808" spans="1:23" x14ac:dyDescent="0.3">
      <c r="A808" t="s">
        <v>1822</v>
      </c>
      <c r="B808">
        <v>2022</v>
      </c>
      <c r="C808">
        <v>0.91124930070642318</v>
      </c>
      <c r="D808">
        <v>3096</v>
      </c>
      <c r="E808">
        <v>0</v>
      </c>
      <c r="F808">
        <v>186</v>
      </c>
      <c r="G808">
        <v>348</v>
      </c>
      <c r="H808">
        <v>4.6826731847939999E-4</v>
      </c>
      <c r="I808">
        <v>9</v>
      </c>
      <c r="J808">
        <v>0.33333333333333331</v>
      </c>
      <c r="K808">
        <v>2</v>
      </c>
      <c r="L808">
        <v>0</v>
      </c>
      <c r="M808">
        <v>7</v>
      </c>
      <c r="P808">
        <v>268575062.33276671</v>
      </c>
      <c r="Q808">
        <v>0</v>
      </c>
      <c r="R808" t="s">
        <v>656</v>
      </c>
      <c r="S808" t="s">
        <v>830</v>
      </c>
      <c r="T808" t="s">
        <v>831</v>
      </c>
      <c r="U808">
        <v>2879</v>
      </c>
      <c r="V808">
        <v>1610</v>
      </c>
      <c r="W808">
        <v>1269</v>
      </c>
    </row>
    <row r="809" spans="1:23" x14ac:dyDescent="0.3">
      <c r="A809" t="s">
        <v>1823</v>
      </c>
      <c r="B809">
        <v>2022</v>
      </c>
      <c r="C809">
        <v>0.93762546226592536</v>
      </c>
      <c r="D809">
        <v>16221</v>
      </c>
      <c r="E809">
        <v>0</v>
      </c>
      <c r="F809">
        <v>64</v>
      </c>
      <c r="G809">
        <v>787</v>
      </c>
      <c r="H809">
        <v>1.153662418598E-4</v>
      </c>
      <c r="I809">
        <v>6</v>
      </c>
      <c r="J809">
        <v>1.03626943005181E-2</v>
      </c>
      <c r="K809">
        <v>1</v>
      </c>
      <c r="L809">
        <v>0</v>
      </c>
      <c r="M809">
        <v>10</v>
      </c>
      <c r="N809">
        <v>0.34711767658851123</v>
      </c>
      <c r="O809">
        <v>-0.149945052723165</v>
      </c>
      <c r="P809">
        <v>618607086.65221083</v>
      </c>
      <c r="Q809">
        <v>0</v>
      </c>
      <c r="R809" t="s">
        <v>656</v>
      </c>
      <c r="S809" t="s">
        <v>832</v>
      </c>
      <c r="T809" t="s">
        <v>832</v>
      </c>
      <c r="U809">
        <v>15456</v>
      </c>
      <c r="V809">
        <v>7274</v>
      </c>
      <c r="W809">
        <v>8182</v>
      </c>
    </row>
    <row r="810" spans="1:23" x14ac:dyDescent="0.3">
      <c r="A810" t="s">
        <v>1824</v>
      </c>
      <c r="B810">
        <v>2022</v>
      </c>
      <c r="C810">
        <v>0.9576925801299272</v>
      </c>
      <c r="D810">
        <v>2131</v>
      </c>
      <c r="E810">
        <v>0</v>
      </c>
      <c r="F810">
        <v>54</v>
      </c>
      <c r="G810">
        <v>144</v>
      </c>
      <c r="H810">
        <v>6.5967103646070004E-4</v>
      </c>
      <c r="I810">
        <v>9</v>
      </c>
      <c r="J810">
        <v>0</v>
      </c>
      <c r="K810">
        <v>0</v>
      </c>
      <c r="L810">
        <v>0</v>
      </c>
      <c r="M810">
        <v>2</v>
      </c>
      <c r="N810">
        <v>0.3869909059765746</v>
      </c>
      <c r="O810">
        <v>-0.26210832355293567</v>
      </c>
      <c r="P810">
        <v>106049486.16446389</v>
      </c>
      <c r="Q810">
        <v>0</v>
      </c>
      <c r="R810" t="s">
        <v>834</v>
      </c>
      <c r="S810" t="s">
        <v>835</v>
      </c>
      <c r="T810" t="s">
        <v>73</v>
      </c>
      <c r="U810">
        <v>2035</v>
      </c>
      <c r="V810">
        <v>242</v>
      </c>
      <c r="W810">
        <v>1793</v>
      </c>
    </row>
    <row r="811" spans="1:23" x14ac:dyDescent="0.3">
      <c r="A811" t="s">
        <v>1825</v>
      </c>
      <c r="B811">
        <v>2022</v>
      </c>
      <c r="C811">
        <v>3.3969790972014362</v>
      </c>
      <c r="D811">
        <v>360</v>
      </c>
      <c r="E811">
        <v>0</v>
      </c>
      <c r="F811">
        <v>27</v>
      </c>
      <c r="G811">
        <v>31</v>
      </c>
      <c r="H811">
        <v>1.9436345966958E-3</v>
      </c>
      <c r="I811">
        <v>5</v>
      </c>
      <c r="J811">
        <v>0</v>
      </c>
      <c r="K811">
        <v>0</v>
      </c>
      <c r="L811">
        <v>0</v>
      </c>
      <c r="M811">
        <v>0</v>
      </c>
      <c r="N811">
        <v>0.54671029303371721</v>
      </c>
      <c r="O811">
        <v>-0.26649032119562388</v>
      </c>
      <c r="P811">
        <v>8864364.257012818</v>
      </c>
      <c r="Q811">
        <v>0</v>
      </c>
      <c r="R811" t="s">
        <v>834</v>
      </c>
      <c r="S811" t="s">
        <v>850</v>
      </c>
      <c r="T811" t="s">
        <v>851</v>
      </c>
      <c r="U811">
        <v>343</v>
      </c>
      <c r="V811">
        <v>184</v>
      </c>
      <c r="W811">
        <v>159</v>
      </c>
    </row>
    <row r="812" spans="1:23" x14ac:dyDescent="0.3">
      <c r="A812" t="s">
        <v>1826</v>
      </c>
      <c r="B812">
        <v>2022</v>
      </c>
      <c r="C812">
        <v>0.68509161050810063</v>
      </c>
      <c r="D812">
        <v>1336</v>
      </c>
      <c r="E812">
        <v>0</v>
      </c>
      <c r="F812">
        <v>38</v>
      </c>
      <c r="G812">
        <v>91</v>
      </c>
      <c r="H812">
        <v>1.4607374637424001E-3</v>
      </c>
      <c r="I812">
        <v>3</v>
      </c>
      <c r="J812">
        <v>0</v>
      </c>
      <c r="K812">
        <v>0</v>
      </c>
      <c r="L812">
        <v>0</v>
      </c>
      <c r="M812">
        <v>1</v>
      </c>
      <c r="N812">
        <v>0.39162206328687599</v>
      </c>
      <c r="O812">
        <v>-0.1421502959961628</v>
      </c>
      <c r="P812">
        <v>629724353.10393226</v>
      </c>
      <c r="Q812">
        <v>0</v>
      </c>
      <c r="R812" t="s">
        <v>834</v>
      </c>
      <c r="S812" t="s">
        <v>850</v>
      </c>
      <c r="T812" t="s">
        <v>852</v>
      </c>
      <c r="U812">
        <v>1257</v>
      </c>
      <c r="V812">
        <v>813</v>
      </c>
      <c r="W812">
        <v>444</v>
      </c>
    </row>
    <row r="813" spans="1:23" x14ac:dyDescent="0.3">
      <c r="A813" t="s">
        <v>1827</v>
      </c>
      <c r="B813">
        <v>2022</v>
      </c>
      <c r="C813">
        <v>0.78989556761082735</v>
      </c>
      <c r="D813">
        <v>1402</v>
      </c>
      <c r="E813">
        <v>0</v>
      </c>
      <c r="F813">
        <v>3</v>
      </c>
      <c r="G813">
        <v>88</v>
      </c>
      <c r="H813">
        <v>1.8484256864728999E-3</v>
      </c>
      <c r="I813">
        <v>11</v>
      </c>
      <c r="J813">
        <v>0</v>
      </c>
      <c r="K813">
        <v>0</v>
      </c>
      <c r="L813">
        <v>0</v>
      </c>
      <c r="M813">
        <v>0</v>
      </c>
      <c r="N813">
        <v>0.40119496492597839</v>
      </c>
      <c r="O813">
        <v>-0.14735285215080149</v>
      </c>
      <c r="P813">
        <v>250255082.2428138</v>
      </c>
      <c r="Q813">
        <v>0</v>
      </c>
      <c r="R813" t="s">
        <v>834</v>
      </c>
      <c r="S813" t="s">
        <v>850</v>
      </c>
      <c r="T813" t="s">
        <v>853</v>
      </c>
      <c r="U813">
        <v>1337</v>
      </c>
      <c r="V813">
        <v>793</v>
      </c>
      <c r="W813">
        <v>544</v>
      </c>
    </row>
    <row r="814" spans="1:23" x14ac:dyDescent="0.3">
      <c r="A814" t="s">
        <v>1828</v>
      </c>
      <c r="B814">
        <v>2022</v>
      </c>
      <c r="C814">
        <v>1.9816619868635721</v>
      </c>
      <c r="D814">
        <v>2973</v>
      </c>
      <c r="E814">
        <v>0</v>
      </c>
      <c r="F814">
        <v>203</v>
      </c>
      <c r="G814">
        <v>141</v>
      </c>
      <c r="H814">
        <v>5.4138221872990005E-4</v>
      </c>
      <c r="I814">
        <v>5</v>
      </c>
      <c r="J814">
        <v>0</v>
      </c>
      <c r="K814">
        <v>0</v>
      </c>
      <c r="L814">
        <v>0</v>
      </c>
      <c r="M814">
        <v>4</v>
      </c>
      <c r="N814">
        <v>0.48892957921346791</v>
      </c>
      <c r="O814">
        <v>-0.1563618073379304</v>
      </c>
      <c r="P814">
        <v>95548367.761111006</v>
      </c>
      <c r="Q814">
        <v>0</v>
      </c>
      <c r="R814" t="s">
        <v>834</v>
      </c>
      <c r="S814" t="s">
        <v>850</v>
      </c>
      <c r="T814" t="s">
        <v>854</v>
      </c>
      <c r="U814">
        <v>2829</v>
      </c>
      <c r="V814">
        <v>1779</v>
      </c>
      <c r="W814">
        <v>1050</v>
      </c>
    </row>
    <row r="815" spans="1:23" x14ac:dyDescent="0.3">
      <c r="A815" t="s">
        <v>1829</v>
      </c>
      <c r="B815">
        <v>2022</v>
      </c>
      <c r="C815">
        <v>2.9084110641375269</v>
      </c>
      <c r="D815">
        <v>1451</v>
      </c>
      <c r="E815">
        <v>0</v>
      </c>
      <c r="F815">
        <v>135</v>
      </c>
      <c r="G815">
        <v>159</v>
      </c>
      <c r="H815">
        <v>1.5384236839916E-3</v>
      </c>
      <c r="I815">
        <v>9</v>
      </c>
      <c r="J815">
        <v>0</v>
      </c>
      <c r="K815">
        <v>0</v>
      </c>
      <c r="L815">
        <v>0</v>
      </c>
      <c r="M815">
        <v>3</v>
      </c>
      <c r="N815">
        <v>0.58865854396540629</v>
      </c>
      <c r="O815">
        <v>-0.29855178179510711</v>
      </c>
      <c r="P815">
        <v>16307051.32591524</v>
      </c>
      <c r="Q815">
        <v>0</v>
      </c>
      <c r="R815" t="s">
        <v>834</v>
      </c>
      <c r="S815" t="s">
        <v>858</v>
      </c>
      <c r="T815" t="s">
        <v>172</v>
      </c>
      <c r="U815">
        <v>1368</v>
      </c>
      <c r="V815">
        <v>583</v>
      </c>
      <c r="W815">
        <v>785</v>
      </c>
    </row>
    <row r="816" spans="1:23" x14ac:dyDescent="0.3">
      <c r="A816" t="s">
        <v>1830</v>
      </c>
      <c r="B816">
        <v>2022</v>
      </c>
      <c r="C816">
        <v>1.5388112715153051</v>
      </c>
      <c r="D816">
        <v>2504</v>
      </c>
      <c r="E816">
        <v>0</v>
      </c>
      <c r="F816">
        <v>60</v>
      </c>
      <c r="G816">
        <v>160</v>
      </c>
      <c r="H816">
        <v>1.1096448777476E-3</v>
      </c>
      <c r="I816">
        <v>9</v>
      </c>
      <c r="J816">
        <v>0</v>
      </c>
      <c r="K816">
        <v>0</v>
      </c>
      <c r="L816">
        <v>0</v>
      </c>
      <c r="M816">
        <v>3</v>
      </c>
      <c r="N816">
        <v>0.56130020024614946</v>
      </c>
      <c r="O816">
        <v>-0.31052513524729258</v>
      </c>
      <c r="P816">
        <v>56488235.694636211</v>
      </c>
      <c r="Q816">
        <v>0</v>
      </c>
      <c r="R816" t="s">
        <v>834</v>
      </c>
      <c r="S816" t="s">
        <v>858</v>
      </c>
      <c r="T816" t="s">
        <v>660</v>
      </c>
      <c r="U816">
        <v>2391</v>
      </c>
      <c r="V816">
        <v>775</v>
      </c>
      <c r="W816">
        <v>1616</v>
      </c>
    </row>
    <row r="817" spans="1:23" x14ac:dyDescent="0.3">
      <c r="A817" t="s">
        <v>1831</v>
      </c>
      <c r="B817">
        <v>2022</v>
      </c>
      <c r="C817">
        <v>2.6843748241967731</v>
      </c>
      <c r="D817">
        <v>3152</v>
      </c>
      <c r="E817">
        <v>0</v>
      </c>
      <c r="F817">
        <v>16</v>
      </c>
      <c r="G817">
        <v>68</v>
      </c>
      <c r="H817">
        <v>9.6072620591799995E-4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0.31866838715155549</v>
      </c>
      <c r="O817">
        <v>-0.19253154480448151</v>
      </c>
      <c r="P817">
        <v>35264575.580487363</v>
      </c>
      <c r="Q817">
        <v>0</v>
      </c>
      <c r="R817" t="s">
        <v>834</v>
      </c>
      <c r="S817" t="s">
        <v>859</v>
      </c>
      <c r="T817" t="s">
        <v>829</v>
      </c>
      <c r="U817">
        <v>3007</v>
      </c>
      <c r="V817">
        <v>1365</v>
      </c>
      <c r="W817">
        <v>1642</v>
      </c>
    </row>
    <row r="818" spans="1:23" x14ac:dyDescent="0.3">
      <c r="A818" t="s">
        <v>1832</v>
      </c>
      <c r="B818">
        <v>2022</v>
      </c>
      <c r="C818">
        <v>5.2701032325487764</v>
      </c>
      <c r="D818">
        <v>3064</v>
      </c>
      <c r="E818">
        <v>0</v>
      </c>
      <c r="F818">
        <v>57</v>
      </c>
      <c r="G818">
        <v>93</v>
      </c>
      <c r="H818">
        <v>1.1557657967055E-3</v>
      </c>
      <c r="I818">
        <v>5</v>
      </c>
      <c r="J818">
        <v>0</v>
      </c>
      <c r="K818">
        <v>0</v>
      </c>
      <c r="L818">
        <v>0</v>
      </c>
      <c r="M818">
        <v>2</v>
      </c>
      <c r="N818">
        <v>0.5064914726264419</v>
      </c>
      <c r="O818">
        <v>-0.26801196882800971</v>
      </c>
      <c r="P818">
        <v>10782488.49406809</v>
      </c>
      <c r="Q818">
        <v>0</v>
      </c>
      <c r="R818" t="s">
        <v>834</v>
      </c>
      <c r="S818" t="s">
        <v>861</v>
      </c>
      <c r="T818" t="s">
        <v>101</v>
      </c>
      <c r="U818">
        <v>2925</v>
      </c>
      <c r="V818">
        <v>1849</v>
      </c>
      <c r="W818">
        <v>1076</v>
      </c>
    </row>
    <row r="819" spans="1:23" x14ac:dyDescent="0.3">
      <c r="A819" t="s">
        <v>1833</v>
      </c>
      <c r="B819">
        <v>2022</v>
      </c>
      <c r="C819">
        <v>2.2316580017012781</v>
      </c>
      <c r="D819">
        <v>2291</v>
      </c>
      <c r="E819">
        <v>0</v>
      </c>
      <c r="F819">
        <v>261</v>
      </c>
      <c r="G819">
        <v>126</v>
      </c>
      <c r="H819">
        <v>5.5230660958490005E-4</v>
      </c>
      <c r="I819">
        <v>6</v>
      </c>
      <c r="J819">
        <v>0</v>
      </c>
      <c r="K819">
        <v>0</v>
      </c>
      <c r="L819">
        <v>0</v>
      </c>
      <c r="M819">
        <v>0</v>
      </c>
      <c r="N819">
        <v>0.45426112027910959</v>
      </c>
      <c r="O819">
        <v>-0.22309567830141919</v>
      </c>
      <c r="P819">
        <v>44629508.080888137</v>
      </c>
      <c r="Q819">
        <v>0</v>
      </c>
      <c r="R819" t="s">
        <v>834</v>
      </c>
      <c r="S819" t="s">
        <v>861</v>
      </c>
      <c r="T819" t="s">
        <v>864</v>
      </c>
      <c r="U819">
        <v>2186</v>
      </c>
      <c r="V819">
        <v>1405</v>
      </c>
      <c r="W819">
        <v>781</v>
      </c>
    </row>
    <row r="820" spans="1:23" x14ac:dyDescent="0.3">
      <c r="A820" t="s">
        <v>1834</v>
      </c>
      <c r="B820">
        <v>2022</v>
      </c>
      <c r="C820">
        <v>5.1962218492252754</v>
      </c>
      <c r="D820">
        <v>8846</v>
      </c>
      <c r="E820">
        <v>0</v>
      </c>
      <c r="F820">
        <v>298</v>
      </c>
      <c r="G820">
        <v>217</v>
      </c>
      <c r="H820">
        <v>6.5139507111059997E-4</v>
      </c>
      <c r="I820">
        <v>5</v>
      </c>
      <c r="J820">
        <v>0</v>
      </c>
      <c r="K820">
        <v>0</v>
      </c>
      <c r="L820">
        <v>0</v>
      </c>
      <c r="M820">
        <v>4</v>
      </c>
      <c r="N820">
        <v>0.40976445231205139</v>
      </c>
      <c r="O820">
        <v>-0.22266974485608679</v>
      </c>
      <c r="P820">
        <v>25644144.791615311</v>
      </c>
      <c r="Q820">
        <v>0</v>
      </c>
      <c r="R820" t="s">
        <v>834</v>
      </c>
      <c r="S820" t="s">
        <v>861</v>
      </c>
      <c r="T820" t="s">
        <v>866</v>
      </c>
      <c r="U820">
        <v>8443</v>
      </c>
      <c r="V820">
        <v>5462</v>
      </c>
      <c r="W820">
        <v>2981</v>
      </c>
    </row>
    <row r="821" spans="1:23" x14ac:dyDescent="0.3">
      <c r="A821" t="s">
        <v>1835</v>
      </c>
      <c r="B821">
        <v>2022</v>
      </c>
      <c r="C821">
        <v>1.286622685690813</v>
      </c>
      <c r="D821">
        <v>251</v>
      </c>
      <c r="E821">
        <v>0</v>
      </c>
      <c r="F821">
        <v>56</v>
      </c>
      <c r="G821">
        <v>22</v>
      </c>
      <c r="H821">
        <v>5.9168535449369997E-3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0.5290511835073578</v>
      </c>
      <c r="O821">
        <v>-0.31413733512793579</v>
      </c>
      <c r="P821">
        <v>26528365.659865189</v>
      </c>
      <c r="Q821">
        <v>0</v>
      </c>
      <c r="R821" t="s">
        <v>834</v>
      </c>
      <c r="S821" t="s">
        <v>868</v>
      </c>
      <c r="T821" t="s">
        <v>870</v>
      </c>
      <c r="U821">
        <v>239</v>
      </c>
      <c r="V821">
        <v>106</v>
      </c>
      <c r="W821">
        <v>133</v>
      </c>
    </row>
    <row r="822" spans="1:23" x14ac:dyDescent="0.3">
      <c r="A822" t="s">
        <v>1836</v>
      </c>
      <c r="B822">
        <v>2022</v>
      </c>
      <c r="C822">
        <v>3.3524969637112489</v>
      </c>
      <c r="D822">
        <v>1603</v>
      </c>
      <c r="E822">
        <v>0</v>
      </c>
      <c r="F822">
        <v>426</v>
      </c>
      <c r="G822">
        <v>57</v>
      </c>
      <c r="H822">
        <v>1.9027637999187001E-3</v>
      </c>
      <c r="I822">
        <v>8</v>
      </c>
      <c r="J822">
        <v>0</v>
      </c>
      <c r="K822">
        <v>0</v>
      </c>
      <c r="L822">
        <v>0</v>
      </c>
      <c r="M822">
        <v>1</v>
      </c>
      <c r="N822">
        <v>0.51845401497390087</v>
      </c>
      <c r="O822">
        <v>-0.31517286435826358</v>
      </c>
      <c r="P822">
        <v>16725652.21213123</v>
      </c>
      <c r="Q822">
        <v>0</v>
      </c>
      <c r="R822" t="s">
        <v>834</v>
      </c>
      <c r="S822" t="s">
        <v>868</v>
      </c>
      <c r="T822" t="s">
        <v>871</v>
      </c>
      <c r="U822">
        <v>1531</v>
      </c>
      <c r="V822">
        <v>663</v>
      </c>
      <c r="W822">
        <v>868</v>
      </c>
    </row>
    <row r="823" spans="1:23" x14ac:dyDescent="0.3">
      <c r="A823" t="s">
        <v>1837</v>
      </c>
      <c r="B823">
        <v>2022</v>
      </c>
      <c r="C823">
        <v>2.0431876603388619</v>
      </c>
      <c r="D823">
        <v>1892</v>
      </c>
      <c r="E823">
        <v>0</v>
      </c>
      <c r="F823">
        <v>6</v>
      </c>
      <c r="G823">
        <v>111</v>
      </c>
      <c r="H823">
        <v>7.91113539489E-4</v>
      </c>
      <c r="I823">
        <v>13</v>
      </c>
      <c r="J823">
        <v>0.33333333333333331</v>
      </c>
      <c r="K823">
        <v>2</v>
      </c>
      <c r="L823">
        <v>0</v>
      </c>
      <c r="M823">
        <v>1</v>
      </c>
      <c r="N823">
        <v>0.41969002292848651</v>
      </c>
      <c r="O823">
        <v>-0.33646311484168551</v>
      </c>
      <c r="P823">
        <v>163283442.5317992</v>
      </c>
      <c r="Q823">
        <v>0</v>
      </c>
      <c r="R823" t="s">
        <v>834</v>
      </c>
      <c r="S823" t="s">
        <v>868</v>
      </c>
      <c r="T823" t="s">
        <v>874</v>
      </c>
      <c r="U823">
        <v>1807</v>
      </c>
      <c r="V823">
        <v>686</v>
      </c>
      <c r="W823">
        <v>1121</v>
      </c>
    </row>
    <row r="824" spans="1:23" x14ac:dyDescent="0.3">
      <c r="A824" t="s">
        <v>1838</v>
      </c>
      <c r="B824">
        <v>2022</v>
      </c>
      <c r="C824">
        <v>5.7830604705458981</v>
      </c>
      <c r="D824">
        <v>5388</v>
      </c>
      <c r="E824">
        <v>0</v>
      </c>
      <c r="F824">
        <v>585</v>
      </c>
      <c r="G824">
        <v>162</v>
      </c>
      <c r="H824">
        <v>8.8042472129680005E-4</v>
      </c>
      <c r="I824">
        <v>13</v>
      </c>
      <c r="J824">
        <v>0</v>
      </c>
      <c r="K824">
        <v>0</v>
      </c>
      <c r="L824">
        <v>0</v>
      </c>
      <c r="M824">
        <v>2</v>
      </c>
      <c r="N824">
        <v>0.54717915029800379</v>
      </c>
      <c r="O824">
        <v>-0.34335494069740718</v>
      </c>
      <c r="P824">
        <v>22048827.579132888</v>
      </c>
      <c r="Q824">
        <v>0</v>
      </c>
      <c r="R824" t="s">
        <v>834</v>
      </c>
      <c r="S824" t="s">
        <v>868</v>
      </c>
      <c r="T824" t="s">
        <v>875</v>
      </c>
      <c r="U824">
        <v>5146</v>
      </c>
      <c r="V824">
        <v>2863</v>
      </c>
      <c r="W824">
        <v>2283</v>
      </c>
    </row>
    <row r="825" spans="1:23" x14ac:dyDescent="0.3">
      <c r="A825" t="s">
        <v>1839</v>
      </c>
      <c r="B825">
        <v>2022</v>
      </c>
      <c r="C825">
        <v>0.94898816718221723</v>
      </c>
      <c r="D825">
        <v>3792</v>
      </c>
      <c r="E825">
        <v>0</v>
      </c>
      <c r="F825">
        <v>13</v>
      </c>
      <c r="G825">
        <v>175</v>
      </c>
      <c r="H825">
        <v>4.1296011032129998E-4</v>
      </c>
      <c r="I825">
        <v>4</v>
      </c>
      <c r="J825">
        <v>0</v>
      </c>
      <c r="K825">
        <v>0</v>
      </c>
      <c r="L825">
        <v>0</v>
      </c>
      <c r="M825">
        <v>5</v>
      </c>
      <c r="N825">
        <v>0.65213271090785019</v>
      </c>
      <c r="O825">
        <v>-0.29494207948623252</v>
      </c>
      <c r="P825">
        <v>150236423.46558669</v>
      </c>
      <c r="Q825">
        <v>0</v>
      </c>
      <c r="R825" t="s">
        <v>878</v>
      </c>
      <c r="S825" t="s">
        <v>879</v>
      </c>
      <c r="T825" t="s">
        <v>880</v>
      </c>
      <c r="U825">
        <v>3617</v>
      </c>
      <c r="V825">
        <v>2000</v>
      </c>
      <c r="W825">
        <v>1617</v>
      </c>
    </row>
    <row r="826" spans="1:23" x14ac:dyDescent="0.3">
      <c r="A826" t="s">
        <v>1840</v>
      </c>
      <c r="B826">
        <v>2022</v>
      </c>
      <c r="C826">
        <v>0.7193332965714142</v>
      </c>
      <c r="D826">
        <v>3642</v>
      </c>
      <c r="E826">
        <v>0</v>
      </c>
      <c r="F826">
        <v>5</v>
      </c>
      <c r="G826">
        <v>195</v>
      </c>
      <c r="H826">
        <v>9.9011116248050009E-4</v>
      </c>
      <c r="I826">
        <v>1</v>
      </c>
      <c r="J826">
        <v>0</v>
      </c>
      <c r="K826">
        <v>0</v>
      </c>
      <c r="L826">
        <v>0</v>
      </c>
      <c r="M826">
        <v>5</v>
      </c>
      <c r="N826">
        <v>0.6293804181433692</v>
      </c>
      <c r="O826">
        <v>-0.27457154459575628</v>
      </c>
      <c r="P826">
        <v>252978649.76791099</v>
      </c>
      <c r="Q826">
        <v>0</v>
      </c>
      <c r="R826" t="s">
        <v>878</v>
      </c>
      <c r="S826" t="s">
        <v>879</v>
      </c>
      <c r="T826" t="s">
        <v>881</v>
      </c>
      <c r="U826">
        <v>3472</v>
      </c>
      <c r="V826">
        <v>1296</v>
      </c>
      <c r="W826">
        <v>2176</v>
      </c>
    </row>
    <row r="827" spans="1:23" x14ac:dyDescent="0.3">
      <c r="A827" t="s">
        <v>1841</v>
      </c>
      <c r="B827">
        <v>2022</v>
      </c>
      <c r="C827">
        <v>0.72908225590845277</v>
      </c>
      <c r="D827">
        <v>651</v>
      </c>
      <c r="E827">
        <v>0</v>
      </c>
      <c r="F827">
        <v>4</v>
      </c>
      <c r="G827">
        <v>79</v>
      </c>
      <c r="H827">
        <v>6.2597772225740005E-4</v>
      </c>
      <c r="I827">
        <v>4</v>
      </c>
      <c r="J827">
        <v>0.22222222222222221</v>
      </c>
      <c r="K827">
        <v>1</v>
      </c>
      <c r="L827">
        <v>0</v>
      </c>
      <c r="M827">
        <v>3</v>
      </c>
      <c r="N827">
        <v>0.57391055257304646</v>
      </c>
      <c r="O827">
        <v>-0.24734621915756511</v>
      </c>
      <c r="P827">
        <v>307175121.57665539</v>
      </c>
      <c r="Q827">
        <v>0</v>
      </c>
      <c r="R827" t="s">
        <v>878</v>
      </c>
      <c r="S827" t="s">
        <v>879</v>
      </c>
      <c r="T827" t="s">
        <v>442</v>
      </c>
      <c r="U827">
        <v>621</v>
      </c>
      <c r="V827">
        <v>28</v>
      </c>
      <c r="W827">
        <v>593</v>
      </c>
    </row>
    <row r="828" spans="1:23" x14ac:dyDescent="0.3">
      <c r="A828" t="s">
        <v>1842</v>
      </c>
      <c r="B828">
        <v>2022</v>
      </c>
      <c r="C828">
        <v>0.64057967875443278</v>
      </c>
      <c r="D828">
        <v>1787</v>
      </c>
      <c r="E828">
        <v>0</v>
      </c>
      <c r="F828">
        <v>3</v>
      </c>
      <c r="G828">
        <v>135</v>
      </c>
      <c r="H828">
        <v>7.3683449735289998E-4</v>
      </c>
      <c r="I828">
        <v>3</v>
      </c>
      <c r="J828">
        <v>0</v>
      </c>
      <c r="K828">
        <v>0</v>
      </c>
      <c r="L828">
        <v>0</v>
      </c>
      <c r="M828">
        <v>7</v>
      </c>
      <c r="N828">
        <v>0.57920904143212704</v>
      </c>
      <c r="O828">
        <v>-0.2361726816428798</v>
      </c>
      <c r="P828">
        <v>306102985.56712037</v>
      </c>
      <c r="Q828">
        <v>0</v>
      </c>
      <c r="R828" t="s">
        <v>878</v>
      </c>
      <c r="S828" t="s">
        <v>879</v>
      </c>
      <c r="T828" t="s">
        <v>883</v>
      </c>
      <c r="U828">
        <v>1705</v>
      </c>
      <c r="V828">
        <v>829</v>
      </c>
      <c r="W828">
        <v>876</v>
      </c>
    </row>
    <row r="829" spans="1:23" x14ac:dyDescent="0.3">
      <c r="A829" t="s">
        <v>1843</v>
      </c>
      <c r="B829">
        <v>2022</v>
      </c>
      <c r="C829">
        <v>0.66462643756289874</v>
      </c>
      <c r="D829">
        <v>2039</v>
      </c>
      <c r="E829">
        <v>0</v>
      </c>
      <c r="F829">
        <v>105</v>
      </c>
      <c r="G829">
        <v>47</v>
      </c>
      <c r="H829">
        <v>8.6125398580329997E-4</v>
      </c>
      <c r="I829">
        <v>1</v>
      </c>
      <c r="J829">
        <v>0</v>
      </c>
      <c r="K829">
        <v>0</v>
      </c>
      <c r="L829">
        <v>0</v>
      </c>
      <c r="M829">
        <v>8</v>
      </c>
      <c r="N829">
        <v>0.56859643330161636</v>
      </c>
      <c r="O829">
        <v>-0.2288324351018643</v>
      </c>
      <c r="P829">
        <v>148947135.89562199</v>
      </c>
      <c r="Q829">
        <v>0</v>
      </c>
      <c r="R829" t="s">
        <v>878</v>
      </c>
      <c r="S829" t="s">
        <v>879</v>
      </c>
      <c r="T829" t="s">
        <v>884</v>
      </c>
      <c r="U829">
        <v>1937</v>
      </c>
      <c r="V829">
        <v>582</v>
      </c>
      <c r="W829">
        <v>1355</v>
      </c>
    </row>
    <row r="830" spans="1:23" x14ac:dyDescent="0.3">
      <c r="A830" t="s">
        <v>1844</v>
      </c>
      <c r="B830">
        <v>2022</v>
      </c>
      <c r="C830">
        <v>0.5806354685898415</v>
      </c>
      <c r="D830">
        <v>1572</v>
      </c>
      <c r="E830">
        <v>0</v>
      </c>
      <c r="F830">
        <v>44</v>
      </c>
      <c r="G830">
        <v>61</v>
      </c>
      <c r="H830">
        <v>3.2206072507999999E-4</v>
      </c>
      <c r="I830">
        <v>4</v>
      </c>
      <c r="J830">
        <v>0</v>
      </c>
      <c r="K830">
        <v>0</v>
      </c>
      <c r="L830">
        <v>0</v>
      </c>
      <c r="M830">
        <v>8</v>
      </c>
      <c r="N830">
        <v>0.62185465758412406</v>
      </c>
      <c r="O830">
        <v>-0.28138097033052167</v>
      </c>
      <c r="P830">
        <v>308708337.24385422</v>
      </c>
      <c r="Q830">
        <v>0</v>
      </c>
      <c r="R830" t="s">
        <v>878</v>
      </c>
      <c r="S830" t="s">
        <v>885</v>
      </c>
      <c r="T830" t="s">
        <v>887</v>
      </c>
      <c r="U830">
        <v>1495</v>
      </c>
      <c r="V830">
        <v>259</v>
      </c>
      <c r="W830">
        <v>1236</v>
      </c>
    </row>
    <row r="831" spans="1:23" x14ac:dyDescent="0.3">
      <c r="A831" t="s">
        <v>1845</v>
      </c>
      <c r="B831">
        <v>2022</v>
      </c>
      <c r="C831">
        <v>0.81917782054728516</v>
      </c>
      <c r="D831">
        <v>159</v>
      </c>
      <c r="E831">
        <v>0</v>
      </c>
      <c r="F831">
        <v>2</v>
      </c>
      <c r="G831">
        <v>17</v>
      </c>
      <c r="H831">
        <v>3.7584719654959E-3</v>
      </c>
      <c r="I831">
        <v>1</v>
      </c>
      <c r="J831">
        <v>0</v>
      </c>
      <c r="K831">
        <v>0</v>
      </c>
      <c r="L831">
        <v>0</v>
      </c>
      <c r="M831">
        <v>2</v>
      </c>
      <c r="N831">
        <v>0.67401180831093677</v>
      </c>
      <c r="O831">
        <v>-0.359823109195826</v>
      </c>
      <c r="P831">
        <v>13741030.37590397</v>
      </c>
      <c r="Q831">
        <v>0</v>
      </c>
      <c r="R831" t="s">
        <v>878</v>
      </c>
      <c r="S831" t="s">
        <v>885</v>
      </c>
      <c r="T831" t="s">
        <v>888</v>
      </c>
      <c r="U831">
        <v>152</v>
      </c>
      <c r="V831">
        <v>91</v>
      </c>
      <c r="W831">
        <v>61</v>
      </c>
    </row>
    <row r="832" spans="1:23" x14ac:dyDescent="0.3">
      <c r="A832" t="s">
        <v>1846</v>
      </c>
      <c r="B832">
        <v>2022</v>
      </c>
      <c r="C832">
        <v>0.62955385079298543</v>
      </c>
      <c r="D832">
        <v>253</v>
      </c>
      <c r="E832">
        <v>0</v>
      </c>
      <c r="F832">
        <v>7</v>
      </c>
      <c r="G832">
        <v>17</v>
      </c>
      <c r="H832">
        <v>1.6051364365970999E-3</v>
      </c>
      <c r="I832">
        <v>2</v>
      </c>
      <c r="J832">
        <v>0</v>
      </c>
      <c r="K832">
        <v>0</v>
      </c>
      <c r="L832">
        <v>0</v>
      </c>
      <c r="M832">
        <v>3</v>
      </c>
      <c r="N832">
        <v>0.64899790114316613</v>
      </c>
      <c r="O832">
        <v>-0.3611748232547648</v>
      </c>
      <c r="P832">
        <v>18019074.811879169</v>
      </c>
      <c r="Q832">
        <v>0</v>
      </c>
      <c r="R832" t="s">
        <v>878</v>
      </c>
      <c r="S832" t="s">
        <v>885</v>
      </c>
      <c r="T832" t="s">
        <v>889</v>
      </c>
      <c r="U832">
        <v>241</v>
      </c>
      <c r="V832">
        <v>55</v>
      </c>
      <c r="W832">
        <v>186</v>
      </c>
    </row>
    <row r="833" spans="1:23" x14ac:dyDescent="0.3">
      <c r="A833" t="s">
        <v>1847</v>
      </c>
      <c r="B833">
        <v>2022</v>
      </c>
      <c r="C833">
        <v>0.56906039257798136</v>
      </c>
      <c r="D833">
        <v>110</v>
      </c>
      <c r="E833">
        <v>0</v>
      </c>
      <c r="F833">
        <v>11</v>
      </c>
      <c r="G833">
        <v>21</v>
      </c>
      <c r="H833">
        <v>2.3391179576034002E-3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0.63733412950364532</v>
      </c>
      <c r="O833">
        <v>-0.35462025684539011</v>
      </c>
      <c r="P833">
        <v>25083339.949534431</v>
      </c>
      <c r="Q833">
        <v>0</v>
      </c>
      <c r="R833" t="s">
        <v>878</v>
      </c>
      <c r="S833" t="s">
        <v>885</v>
      </c>
      <c r="T833" t="s">
        <v>890</v>
      </c>
      <c r="U833">
        <v>91</v>
      </c>
      <c r="V833">
        <v>21</v>
      </c>
      <c r="W833">
        <v>70</v>
      </c>
    </row>
    <row r="834" spans="1:23" x14ac:dyDescent="0.3">
      <c r="A834" t="s">
        <v>1848</v>
      </c>
      <c r="B834">
        <v>2022</v>
      </c>
      <c r="C834">
        <v>0.49390248163512102</v>
      </c>
      <c r="D834">
        <v>375</v>
      </c>
      <c r="E834">
        <v>0</v>
      </c>
      <c r="F834">
        <v>1</v>
      </c>
      <c r="G834">
        <v>51</v>
      </c>
      <c r="H834">
        <v>9.3895562745210004E-4</v>
      </c>
      <c r="I834">
        <v>2</v>
      </c>
      <c r="J834">
        <v>0</v>
      </c>
      <c r="K834">
        <v>0</v>
      </c>
      <c r="L834">
        <v>0</v>
      </c>
      <c r="M834">
        <v>2</v>
      </c>
      <c r="N834">
        <v>0.50669057905512949</v>
      </c>
      <c r="O834">
        <v>-0.2643388940306301</v>
      </c>
      <c r="P834">
        <v>311519609.95332968</v>
      </c>
      <c r="Q834">
        <v>0</v>
      </c>
      <c r="R834" t="s">
        <v>878</v>
      </c>
      <c r="S834" t="s">
        <v>885</v>
      </c>
      <c r="T834" t="s">
        <v>277</v>
      </c>
      <c r="U834">
        <v>357</v>
      </c>
      <c r="V834">
        <v>92</v>
      </c>
      <c r="W834">
        <v>265</v>
      </c>
    </row>
    <row r="835" spans="1:23" x14ac:dyDescent="0.3">
      <c r="A835" t="s">
        <v>1849</v>
      </c>
      <c r="B835">
        <v>2022</v>
      </c>
      <c r="C835">
        <v>0.63631409312531884</v>
      </c>
      <c r="D835">
        <v>2338</v>
      </c>
      <c r="E835">
        <v>0</v>
      </c>
      <c r="F835">
        <v>250</v>
      </c>
      <c r="G835">
        <v>128</v>
      </c>
      <c r="H835">
        <v>1.206037117649E-3</v>
      </c>
      <c r="I835">
        <v>3</v>
      </c>
      <c r="J835">
        <v>0</v>
      </c>
      <c r="K835">
        <v>0</v>
      </c>
      <c r="L835">
        <v>0</v>
      </c>
      <c r="M835">
        <v>1</v>
      </c>
      <c r="N835">
        <v>0.60783918792179437</v>
      </c>
      <c r="O835">
        <v>-0.25492371648249862</v>
      </c>
      <c r="P835">
        <v>318287331.0807451</v>
      </c>
      <c r="Q835">
        <v>0</v>
      </c>
      <c r="R835" t="s">
        <v>878</v>
      </c>
      <c r="S835" t="s">
        <v>896</v>
      </c>
      <c r="T835" t="s">
        <v>190</v>
      </c>
      <c r="U835">
        <v>2230</v>
      </c>
      <c r="V835">
        <v>797</v>
      </c>
      <c r="W835">
        <v>1433</v>
      </c>
    </row>
    <row r="836" spans="1:23" x14ac:dyDescent="0.3">
      <c r="A836" t="s">
        <v>1850</v>
      </c>
      <c r="B836">
        <v>2022</v>
      </c>
      <c r="C836">
        <v>0.57578705506273631</v>
      </c>
      <c r="D836">
        <v>1238</v>
      </c>
      <c r="E836">
        <v>0</v>
      </c>
      <c r="F836">
        <v>16</v>
      </c>
      <c r="G836">
        <v>69</v>
      </c>
      <c r="H836">
        <v>4.315925766076E-4</v>
      </c>
      <c r="I836">
        <v>7</v>
      </c>
      <c r="J836">
        <v>0</v>
      </c>
      <c r="K836">
        <v>0</v>
      </c>
      <c r="L836">
        <v>0</v>
      </c>
      <c r="M836">
        <v>2</v>
      </c>
      <c r="N836">
        <v>0.48922771373808199</v>
      </c>
      <c r="O836">
        <v>-0.27463981633314588</v>
      </c>
      <c r="P836">
        <v>504778600.50674582</v>
      </c>
      <c r="Q836">
        <v>0</v>
      </c>
      <c r="R836" t="s">
        <v>878</v>
      </c>
      <c r="S836" t="s">
        <v>896</v>
      </c>
      <c r="T836" t="s">
        <v>898</v>
      </c>
      <c r="U836">
        <v>1182</v>
      </c>
      <c r="V836">
        <v>213</v>
      </c>
      <c r="W836">
        <v>969</v>
      </c>
    </row>
    <row r="837" spans="1:23" x14ac:dyDescent="0.3">
      <c r="A837" t="s">
        <v>1851</v>
      </c>
      <c r="B837">
        <v>2022</v>
      </c>
      <c r="C837">
        <v>0.80972445778105062</v>
      </c>
      <c r="D837">
        <v>1698</v>
      </c>
      <c r="E837">
        <v>0</v>
      </c>
      <c r="F837">
        <v>84</v>
      </c>
      <c r="G837">
        <v>58</v>
      </c>
      <c r="H837">
        <v>1.1552724005554E-3</v>
      </c>
      <c r="I837">
        <v>3</v>
      </c>
      <c r="J837">
        <v>0</v>
      </c>
      <c r="K837">
        <v>0</v>
      </c>
      <c r="L837">
        <v>0</v>
      </c>
      <c r="M837">
        <v>2</v>
      </c>
      <c r="N837">
        <v>0.63380214795184764</v>
      </c>
      <c r="O837">
        <v>-0.30310620603860111</v>
      </c>
      <c r="P837">
        <v>94677646.620314762</v>
      </c>
      <c r="Q837">
        <v>0</v>
      </c>
      <c r="R837" t="s">
        <v>878</v>
      </c>
      <c r="S837" t="s">
        <v>902</v>
      </c>
      <c r="T837" t="s">
        <v>903</v>
      </c>
      <c r="U837">
        <v>1621</v>
      </c>
      <c r="V837">
        <v>511</v>
      </c>
      <c r="W837">
        <v>1110</v>
      </c>
    </row>
    <row r="838" spans="1:23" x14ac:dyDescent="0.3">
      <c r="A838" t="s">
        <v>1852</v>
      </c>
      <c r="B838">
        <v>2022</v>
      </c>
      <c r="C838">
        <v>1.2311720393824199</v>
      </c>
      <c r="D838">
        <v>1141</v>
      </c>
      <c r="E838">
        <v>0</v>
      </c>
      <c r="F838">
        <v>124</v>
      </c>
      <c r="G838">
        <v>108</v>
      </c>
      <c r="H838">
        <v>9.9151603881589994E-4</v>
      </c>
      <c r="I838">
        <v>4</v>
      </c>
      <c r="J838">
        <v>0.10256410256410251</v>
      </c>
      <c r="K838">
        <v>5</v>
      </c>
      <c r="L838">
        <v>0</v>
      </c>
      <c r="M838">
        <v>4</v>
      </c>
      <c r="N838">
        <v>0.48831108449108462</v>
      </c>
      <c r="O838">
        <v>-0.14030474505950749</v>
      </c>
      <c r="P838">
        <v>254974215.64316669</v>
      </c>
      <c r="Q838">
        <v>0</v>
      </c>
      <c r="R838" t="s">
        <v>878</v>
      </c>
      <c r="S838" t="s">
        <v>902</v>
      </c>
      <c r="T838" t="s">
        <v>905</v>
      </c>
      <c r="U838">
        <v>999</v>
      </c>
      <c r="V838">
        <v>375</v>
      </c>
      <c r="W838">
        <v>624</v>
      </c>
    </row>
    <row r="839" spans="1:23" x14ac:dyDescent="0.3">
      <c r="A839" t="s">
        <v>1853</v>
      </c>
      <c r="B839">
        <v>2022</v>
      </c>
      <c r="C839">
        <v>1.133754211210622</v>
      </c>
      <c r="D839">
        <v>5443</v>
      </c>
      <c r="E839">
        <v>0</v>
      </c>
      <c r="F839">
        <v>3</v>
      </c>
      <c r="G839">
        <v>187</v>
      </c>
      <c r="H839">
        <v>7.6934301835390002E-4</v>
      </c>
      <c r="I839">
        <v>6</v>
      </c>
      <c r="J839">
        <v>0</v>
      </c>
      <c r="K839">
        <v>0</v>
      </c>
      <c r="L839">
        <v>0</v>
      </c>
      <c r="M839">
        <v>4</v>
      </c>
      <c r="N839">
        <v>0.62368524404822867</v>
      </c>
      <c r="O839">
        <v>-0.2810567498730297</v>
      </c>
      <c r="P839">
        <v>164921734.9192048</v>
      </c>
      <c r="Q839">
        <v>0</v>
      </c>
      <c r="R839" t="s">
        <v>878</v>
      </c>
      <c r="S839" t="s">
        <v>906</v>
      </c>
      <c r="T839" t="s">
        <v>907</v>
      </c>
      <c r="U839">
        <v>5178</v>
      </c>
      <c r="V839">
        <v>2557</v>
      </c>
      <c r="W839">
        <v>2621</v>
      </c>
    </row>
    <row r="840" spans="1:23" x14ac:dyDescent="0.3">
      <c r="A840" t="s">
        <v>1854</v>
      </c>
      <c r="B840">
        <v>2022</v>
      </c>
      <c r="C840">
        <v>0.55218537479285279</v>
      </c>
      <c r="D840">
        <v>4192</v>
      </c>
      <c r="E840">
        <v>0</v>
      </c>
      <c r="F840">
        <v>550</v>
      </c>
      <c r="G840">
        <v>124</v>
      </c>
      <c r="H840">
        <v>4.294391246859E-4</v>
      </c>
      <c r="I840">
        <v>4</v>
      </c>
      <c r="J840">
        <v>0</v>
      </c>
      <c r="K840">
        <v>0</v>
      </c>
      <c r="L840">
        <v>0</v>
      </c>
      <c r="M840">
        <v>15</v>
      </c>
      <c r="N840">
        <v>0.57083879435382923</v>
      </c>
      <c r="O840">
        <v>-0.28221342524902909</v>
      </c>
      <c r="P840">
        <v>441532963.88239121</v>
      </c>
      <c r="Q840">
        <v>0</v>
      </c>
      <c r="R840" t="s">
        <v>878</v>
      </c>
      <c r="S840" t="s">
        <v>910</v>
      </c>
      <c r="T840" t="s">
        <v>910</v>
      </c>
      <c r="U840">
        <v>3997</v>
      </c>
      <c r="V840">
        <v>1817</v>
      </c>
      <c r="W840">
        <v>2180</v>
      </c>
    </row>
    <row r="841" spans="1:23" x14ac:dyDescent="0.3">
      <c r="A841" t="s">
        <v>1855</v>
      </c>
      <c r="B841">
        <v>2022</v>
      </c>
      <c r="C841">
        <v>0.48750989446729792</v>
      </c>
      <c r="D841">
        <v>1636</v>
      </c>
      <c r="E841">
        <v>0</v>
      </c>
      <c r="F841">
        <v>224</v>
      </c>
      <c r="G841">
        <v>84</v>
      </c>
      <c r="H841">
        <v>5.9275420186520004E-4</v>
      </c>
      <c r="I841">
        <v>4</v>
      </c>
      <c r="J841">
        <v>0</v>
      </c>
      <c r="K841">
        <v>0</v>
      </c>
      <c r="L841">
        <v>0</v>
      </c>
      <c r="M841">
        <v>15</v>
      </c>
      <c r="N841">
        <v>0.57160769163695357</v>
      </c>
      <c r="O841">
        <v>-0.22145583147985509</v>
      </c>
      <c r="P841">
        <v>528858751.28350502</v>
      </c>
      <c r="Q841">
        <v>0</v>
      </c>
      <c r="R841" t="s">
        <v>878</v>
      </c>
      <c r="S841" t="s">
        <v>910</v>
      </c>
      <c r="T841" t="s">
        <v>911</v>
      </c>
      <c r="U841">
        <v>1558</v>
      </c>
      <c r="V841">
        <v>280</v>
      </c>
      <c r="W841">
        <v>1278</v>
      </c>
    </row>
    <row r="842" spans="1:23" x14ac:dyDescent="0.3">
      <c r="A842" t="s">
        <v>1856</v>
      </c>
      <c r="B842">
        <v>2022</v>
      </c>
      <c r="C842">
        <v>0.48662648957532528</v>
      </c>
      <c r="D842">
        <v>1681</v>
      </c>
      <c r="E842">
        <v>0</v>
      </c>
      <c r="F842">
        <v>57</v>
      </c>
      <c r="G842">
        <v>56</v>
      </c>
      <c r="H842">
        <v>6.4223837295800004E-4</v>
      </c>
      <c r="I842">
        <v>6</v>
      </c>
      <c r="J842">
        <v>0</v>
      </c>
      <c r="K842">
        <v>0</v>
      </c>
      <c r="L842">
        <v>0</v>
      </c>
      <c r="M842">
        <v>8</v>
      </c>
      <c r="N842">
        <v>0.54733098309158923</v>
      </c>
      <c r="O842">
        <v>-0.22005271244403199</v>
      </c>
      <c r="P842">
        <v>246983258.71121651</v>
      </c>
      <c r="Q842">
        <v>0</v>
      </c>
      <c r="R842" t="s">
        <v>878</v>
      </c>
      <c r="S842" t="s">
        <v>910</v>
      </c>
      <c r="T842" t="s">
        <v>912</v>
      </c>
      <c r="U842">
        <v>1603</v>
      </c>
      <c r="V842">
        <v>229</v>
      </c>
      <c r="W842">
        <v>1374</v>
      </c>
    </row>
    <row r="843" spans="1:23" x14ac:dyDescent="0.3">
      <c r="A843" t="s">
        <v>1857</v>
      </c>
      <c r="B843">
        <v>2022</v>
      </c>
      <c r="C843">
        <v>0.47866223091297599</v>
      </c>
      <c r="D843">
        <v>1320</v>
      </c>
      <c r="E843">
        <v>0</v>
      </c>
      <c r="F843">
        <v>314</v>
      </c>
      <c r="G843">
        <v>62</v>
      </c>
      <c r="H843">
        <v>6.5354293703660002E-4</v>
      </c>
      <c r="I843">
        <v>2</v>
      </c>
      <c r="J843">
        <v>0</v>
      </c>
      <c r="K843">
        <v>0</v>
      </c>
      <c r="L843">
        <v>0</v>
      </c>
      <c r="M843">
        <v>9</v>
      </c>
      <c r="N843">
        <v>0.54591798361839794</v>
      </c>
      <c r="O843">
        <v>-0.25415110021193971</v>
      </c>
      <c r="P843">
        <v>582274236.70057774</v>
      </c>
      <c r="Q843">
        <v>0</v>
      </c>
      <c r="R843" t="s">
        <v>878</v>
      </c>
      <c r="S843" t="s">
        <v>910</v>
      </c>
      <c r="T843" t="s">
        <v>913</v>
      </c>
      <c r="U843">
        <v>1257</v>
      </c>
      <c r="V843">
        <v>598</v>
      </c>
      <c r="W843">
        <v>659</v>
      </c>
    </row>
    <row r="844" spans="1:23" x14ac:dyDescent="0.3">
      <c r="A844" t="s">
        <v>1858</v>
      </c>
      <c r="B844">
        <v>2022</v>
      </c>
      <c r="C844">
        <v>0.65415382407696154</v>
      </c>
      <c r="D844">
        <v>2361</v>
      </c>
      <c r="E844">
        <v>0</v>
      </c>
      <c r="F844">
        <v>19</v>
      </c>
      <c r="G844">
        <v>58</v>
      </c>
      <c r="H844">
        <v>1.5612011110885001E-3</v>
      </c>
      <c r="I844">
        <v>2</v>
      </c>
      <c r="J844">
        <v>0</v>
      </c>
      <c r="K844">
        <v>0</v>
      </c>
      <c r="L844">
        <v>0</v>
      </c>
      <c r="M844">
        <v>1</v>
      </c>
      <c r="N844">
        <v>0.47594255899162269</v>
      </c>
      <c r="O844">
        <v>-0.1562574552959696</v>
      </c>
      <c r="P844">
        <v>166114287.11292821</v>
      </c>
      <c r="Q844">
        <v>0</v>
      </c>
      <c r="R844" t="s">
        <v>878</v>
      </c>
      <c r="S844" t="s">
        <v>915</v>
      </c>
      <c r="T844" t="s">
        <v>915</v>
      </c>
      <c r="U844">
        <v>2253</v>
      </c>
      <c r="V844">
        <v>1202</v>
      </c>
      <c r="W844">
        <v>1051</v>
      </c>
    </row>
    <row r="845" spans="1:23" x14ac:dyDescent="0.3">
      <c r="A845" t="s">
        <v>1859</v>
      </c>
      <c r="B845">
        <v>2022</v>
      </c>
      <c r="C845">
        <v>21.1729756796902</v>
      </c>
      <c r="D845">
        <v>7638</v>
      </c>
      <c r="E845">
        <v>0</v>
      </c>
      <c r="F845">
        <v>1242</v>
      </c>
      <c r="G845">
        <v>265</v>
      </c>
      <c r="H845">
        <v>3.031736852251E-3</v>
      </c>
      <c r="I845">
        <v>3</v>
      </c>
      <c r="J845">
        <v>0</v>
      </c>
      <c r="K845">
        <v>0</v>
      </c>
      <c r="L845">
        <v>0</v>
      </c>
      <c r="M845">
        <v>4</v>
      </c>
      <c r="N845">
        <v>0.22944559816573309</v>
      </c>
      <c r="O845">
        <v>-0.187634407430158</v>
      </c>
      <c r="P845">
        <v>2807232.544663283</v>
      </c>
      <c r="Q845">
        <v>0</v>
      </c>
      <c r="R845" t="s">
        <v>917</v>
      </c>
      <c r="S845" t="s">
        <v>68</v>
      </c>
      <c r="T845" t="s">
        <v>918</v>
      </c>
      <c r="U845">
        <v>7243</v>
      </c>
      <c r="V845">
        <v>6002</v>
      </c>
      <c r="W845">
        <v>1241</v>
      </c>
    </row>
    <row r="846" spans="1:23" x14ac:dyDescent="0.3">
      <c r="A846" t="s">
        <v>1860</v>
      </c>
      <c r="B846">
        <v>2022</v>
      </c>
      <c r="C846">
        <v>0.66301895554285728</v>
      </c>
      <c r="D846">
        <v>908</v>
      </c>
      <c r="E846">
        <v>0</v>
      </c>
      <c r="F846">
        <v>521</v>
      </c>
      <c r="G846">
        <v>231</v>
      </c>
      <c r="H846">
        <v>4.8885778214039996E-4</v>
      </c>
      <c r="I846">
        <v>20</v>
      </c>
      <c r="J846">
        <v>0</v>
      </c>
      <c r="K846">
        <v>0</v>
      </c>
      <c r="L846">
        <v>0</v>
      </c>
      <c r="M846">
        <v>0</v>
      </c>
      <c r="N846">
        <v>0.20712741820434599</v>
      </c>
      <c r="O846">
        <v>-0.15321309336981989</v>
      </c>
      <c r="P846">
        <v>566921593.84276283</v>
      </c>
      <c r="Q846">
        <v>0</v>
      </c>
      <c r="R846" t="s">
        <v>917</v>
      </c>
      <c r="S846" t="s">
        <v>68</v>
      </c>
      <c r="T846" t="s">
        <v>61</v>
      </c>
      <c r="U846">
        <v>847</v>
      </c>
      <c r="V846">
        <v>416</v>
      </c>
      <c r="W846">
        <v>431</v>
      </c>
    </row>
    <row r="847" spans="1:23" x14ac:dyDescent="0.3">
      <c r="A847" t="s">
        <v>1861</v>
      </c>
      <c r="B847">
        <v>2022</v>
      </c>
      <c r="C847">
        <v>0.53567469160514813</v>
      </c>
      <c r="D847">
        <v>151</v>
      </c>
      <c r="E847">
        <v>0</v>
      </c>
      <c r="F847">
        <v>177</v>
      </c>
      <c r="G847">
        <v>92</v>
      </c>
      <c r="H847">
        <v>2.1364787759383E-3</v>
      </c>
      <c r="I847">
        <v>3</v>
      </c>
      <c r="J847">
        <v>1</v>
      </c>
      <c r="K847">
        <v>1</v>
      </c>
      <c r="L847">
        <v>0</v>
      </c>
      <c r="M847">
        <v>1</v>
      </c>
      <c r="N847">
        <v>0.1968733914511416</v>
      </c>
      <c r="O847">
        <v>-0.17176665624500531</v>
      </c>
      <c r="P847">
        <v>177121877.36183181</v>
      </c>
      <c r="Q847">
        <v>0</v>
      </c>
      <c r="R847" t="s">
        <v>917</v>
      </c>
      <c r="S847" t="s">
        <v>68</v>
      </c>
      <c r="T847" t="s">
        <v>919</v>
      </c>
      <c r="U847">
        <v>145</v>
      </c>
      <c r="V847">
        <v>69</v>
      </c>
      <c r="W847">
        <v>76</v>
      </c>
    </row>
    <row r="848" spans="1:23" x14ac:dyDescent="0.3">
      <c r="A848" t="s">
        <v>1862</v>
      </c>
      <c r="B848">
        <v>2022</v>
      </c>
      <c r="C848">
        <v>10.934643879389441</v>
      </c>
      <c r="D848">
        <v>2887</v>
      </c>
      <c r="E848">
        <v>0</v>
      </c>
      <c r="F848">
        <v>285</v>
      </c>
      <c r="G848">
        <v>117</v>
      </c>
      <c r="H848">
        <v>5.3568275023054999E-3</v>
      </c>
      <c r="I848">
        <v>1</v>
      </c>
      <c r="J848">
        <v>1</v>
      </c>
      <c r="K848">
        <v>1</v>
      </c>
      <c r="L848">
        <v>0</v>
      </c>
      <c r="M848">
        <v>2</v>
      </c>
      <c r="N848">
        <v>0.13919563233225291</v>
      </c>
      <c r="O848">
        <v>-7.8652023505312404E-2</v>
      </c>
      <c r="P848">
        <v>1573597.2543837789</v>
      </c>
      <c r="Q848">
        <v>0</v>
      </c>
      <c r="R848" t="s">
        <v>917</v>
      </c>
      <c r="S848" t="s">
        <v>920</v>
      </c>
      <c r="T848" t="s">
        <v>921</v>
      </c>
      <c r="U848">
        <v>2746</v>
      </c>
      <c r="V848">
        <v>2110</v>
      </c>
      <c r="W848">
        <v>636</v>
      </c>
    </row>
    <row r="849" spans="1:23" x14ac:dyDescent="0.3">
      <c r="A849" t="s">
        <v>1863</v>
      </c>
      <c r="B849">
        <v>2022</v>
      </c>
      <c r="C849">
        <v>11.056356911320391</v>
      </c>
      <c r="D849">
        <v>307</v>
      </c>
      <c r="E849">
        <v>0</v>
      </c>
      <c r="F849">
        <v>52</v>
      </c>
      <c r="G849">
        <v>161</v>
      </c>
      <c r="H849">
        <v>7.5410765888659997E-4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6.5930441107125995E-2</v>
      </c>
      <c r="O849">
        <v>-2.0162650565224002E-3</v>
      </c>
      <c r="P849">
        <v>4854893578.5913839</v>
      </c>
      <c r="Q849">
        <v>0</v>
      </c>
      <c r="R849" t="s">
        <v>917</v>
      </c>
      <c r="S849" t="s">
        <v>920</v>
      </c>
      <c r="T849" t="s">
        <v>922</v>
      </c>
      <c r="U849">
        <v>295</v>
      </c>
      <c r="V849">
        <v>17</v>
      </c>
      <c r="W849">
        <v>278</v>
      </c>
    </row>
    <row r="850" spans="1:23" x14ac:dyDescent="0.3">
      <c r="A850" t="s">
        <v>1864</v>
      </c>
      <c r="B850">
        <v>2022</v>
      </c>
      <c r="C850">
        <v>13.424762892615799</v>
      </c>
      <c r="D850">
        <v>13277</v>
      </c>
      <c r="E850">
        <v>0</v>
      </c>
      <c r="F850">
        <v>1216</v>
      </c>
      <c r="G850">
        <v>430</v>
      </c>
      <c r="H850">
        <v>2.0543120426675002E-3</v>
      </c>
      <c r="I850">
        <v>8</v>
      </c>
      <c r="J850">
        <v>0.26666666666666661</v>
      </c>
      <c r="K850">
        <v>2</v>
      </c>
      <c r="L850">
        <v>0</v>
      </c>
      <c r="M850">
        <v>5</v>
      </c>
      <c r="N850">
        <v>0.1609671576028118</v>
      </c>
      <c r="O850">
        <v>-0.16416178125296921</v>
      </c>
      <c r="P850">
        <v>2900585.603168577</v>
      </c>
      <c r="Q850">
        <v>0</v>
      </c>
      <c r="R850" t="s">
        <v>917</v>
      </c>
      <c r="S850" t="s">
        <v>923</v>
      </c>
      <c r="T850" t="s">
        <v>924</v>
      </c>
      <c r="U850">
        <v>12678</v>
      </c>
      <c r="V850">
        <v>9485</v>
      </c>
      <c r="W850">
        <v>3193</v>
      </c>
    </row>
    <row r="851" spans="1:23" x14ac:dyDescent="0.3">
      <c r="A851" t="s">
        <v>1865</v>
      </c>
      <c r="B851">
        <v>2022</v>
      </c>
      <c r="C851">
        <v>0.65517240921818964</v>
      </c>
      <c r="D851">
        <v>4117</v>
      </c>
      <c r="E851">
        <v>0</v>
      </c>
      <c r="F851">
        <v>1004</v>
      </c>
      <c r="G851">
        <v>519</v>
      </c>
      <c r="H851">
        <v>5.7817585041880005E-4</v>
      </c>
      <c r="I851">
        <v>24</v>
      </c>
      <c r="J851">
        <v>7.3846153846153798E-2</v>
      </c>
      <c r="K851">
        <v>2</v>
      </c>
      <c r="L851">
        <v>0</v>
      </c>
      <c r="M851">
        <v>2</v>
      </c>
      <c r="N851">
        <v>0.2130496376817109</v>
      </c>
      <c r="O851">
        <v>-0.12277458351323289</v>
      </c>
      <c r="P851">
        <v>444287194.97659862</v>
      </c>
      <c r="Q851">
        <v>0</v>
      </c>
      <c r="R851" t="s">
        <v>917</v>
      </c>
      <c r="S851" t="s">
        <v>923</v>
      </c>
      <c r="T851" t="s">
        <v>925</v>
      </c>
      <c r="U851">
        <v>3928</v>
      </c>
      <c r="V851">
        <v>1406</v>
      </c>
      <c r="W851">
        <v>2522</v>
      </c>
    </row>
    <row r="852" spans="1:23" x14ac:dyDescent="0.3">
      <c r="A852" t="s">
        <v>1866</v>
      </c>
      <c r="B852">
        <v>2022</v>
      </c>
      <c r="C852">
        <v>0.50174522134102639</v>
      </c>
      <c r="D852">
        <v>591</v>
      </c>
      <c r="E852">
        <v>0</v>
      </c>
      <c r="F852">
        <v>378</v>
      </c>
      <c r="G852">
        <v>291</v>
      </c>
      <c r="H852">
        <v>5.8340100277609998E-4</v>
      </c>
      <c r="I852">
        <v>9</v>
      </c>
      <c r="J852">
        <v>1</v>
      </c>
      <c r="K852">
        <v>1</v>
      </c>
      <c r="L852">
        <v>0</v>
      </c>
      <c r="M852">
        <v>1</v>
      </c>
      <c r="N852">
        <v>0.26360636438169738</v>
      </c>
      <c r="O852">
        <v>-0.16861056561253329</v>
      </c>
      <c r="P852">
        <v>586921513.33640969</v>
      </c>
      <c r="Q852">
        <v>0</v>
      </c>
      <c r="R852" t="s">
        <v>917</v>
      </c>
      <c r="S852" t="s">
        <v>923</v>
      </c>
      <c r="T852" t="s">
        <v>334</v>
      </c>
      <c r="U852">
        <v>560</v>
      </c>
      <c r="V852">
        <v>8</v>
      </c>
      <c r="W852">
        <v>552</v>
      </c>
    </row>
    <row r="853" spans="1:23" x14ac:dyDescent="0.3">
      <c r="A853" t="s">
        <v>1867</v>
      </c>
      <c r="B853">
        <v>2022</v>
      </c>
      <c r="C853">
        <v>4.63891530637994</v>
      </c>
      <c r="D853">
        <v>3301</v>
      </c>
      <c r="E853">
        <v>0</v>
      </c>
      <c r="F853">
        <v>41</v>
      </c>
      <c r="G853">
        <v>112</v>
      </c>
      <c r="H853">
        <v>1.3504315391106999E-3</v>
      </c>
      <c r="I853">
        <v>16</v>
      </c>
      <c r="J853">
        <v>9.8472158773666007E-3</v>
      </c>
      <c r="K853">
        <v>5</v>
      </c>
      <c r="L853">
        <v>0</v>
      </c>
      <c r="M853">
        <v>7</v>
      </c>
      <c r="N853">
        <v>0.62900136764498071</v>
      </c>
      <c r="O853">
        <v>-0.2774629618649726</v>
      </c>
      <c r="P853">
        <v>246060948.73768979</v>
      </c>
      <c r="Q853">
        <v>0</v>
      </c>
      <c r="R853" t="s">
        <v>926</v>
      </c>
      <c r="S853" t="s">
        <v>927</v>
      </c>
      <c r="T853" t="s">
        <v>929</v>
      </c>
      <c r="U853">
        <v>3145</v>
      </c>
      <c r="V853">
        <v>587</v>
      </c>
      <c r="W853">
        <v>2558</v>
      </c>
    </row>
    <row r="854" spans="1:23" x14ac:dyDescent="0.3">
      <c r="A854" t="s">
        <v>1868</v>
      </c>
      <c r="B854">
        <v>2022</v>
      </c>
      <c r="C854">
        <v>3.866109752102906</v>
      </c>
      <c r="D854">
        <v>7254</v>
      </c>
      <c r="E854">
        <v>0</v>
      </c>
      <c r="F854">
        <v>14</v>
      </c>
      <c r="G854">
        <v>181</v>
      </c>
      <c r="H854">
        <v>5.7831576729950001E-4</v>
      </c>
      <c r="I854">
        <v>7</v>
      </c>
      <c r="J854">
        <v>5.2631578947368397E-2</v>
      </c>
      <c r="K854">
        <v>1</v>
      </c>
      <c r="L854">
        <v>0</v>
      </c>
      <c r="M854">
        <v>4</v>
      </c>
      <c r="N854">
        <v>0.59646513695143588</v>
      </c>
      <c r="O854">
        <v>-0.28546421302664388</v>
      </c>
      <c r="P854">
        <v>438959963.96727401</v>
      </c>
      <c r="Q854">
        <v>0</v>
      </c>
      <c r="R854" t="s">
        <v>926</v>
      </c>
      <c r="S854" t="s">
        <v>927</v>
      </c>
      <c r="T854" t="s">
        <v>931</v>
      </c>
      <c r="U854">
        <v>6915</v>
      </c>
      <c r="V854">
        <v>1228</v>
      </c>
      <c r="W854">
        <v>5687</v>
      </c>
    </row>
    <row r="855" spans="1:23" x14ac:dyDescent="0.3">
      <c r="A855" t="s">
        <v>1869</v>
      </c>
      <c r="B855">
        <v>2022</v>
      </c>
      <c r="C855">
        <v>3.0686297500484172</v>
      </c>
      <c r="D855">
        <v>8841</v>
      </c>
      <c r="E855">
        <v>0</v>
      </c>
      <c r="F855">
        <v>91</v>
      </c>
      <c r="G855">
        <v>458</v>
      </c>
      <c r="H855">
        <v>2.6704281561239999E-4</v>
      </c>
      <c r="I855">
        <v>11</v>
      </c>
      <c r="J855">
        <v>4.4443112815595997E-3</v>
      </c>
      <c r="K855">
        <v>3</v>
      </c>
      <c r="L855">
        <v>0</v>
      </c>
      <c r="M855">
        <v>9</v>
      </c>
      <c r="N855">
        <v>0.67099231417392369</v>
      </c>
      <c r="O855">
        <v>-0.30054419937950289</v>
      </c>
      <c r="P855">
        <v>884219418.46103084</v>
      </c>
      <c r="Q855">
        <v>0</v>
      </c>
      <c r="R855" t="s">
        <v>926</v>
      </c>
      <c r="S855" t="s">
        <v>927</v>
      </c>
      <c r="T855" t="s">
        <v>932</v>
      </c>
      <c r="U855">
        <v>8423</v>
      </c>
      <c r="V855">
        <v>2186</v>
      </c>
      <c r="W855">
        <v>6237</v>
      </c>
    </row>
    <row r="856" spans="1:23" x14ac:dyDescent="0.3">
      <c r="A856" t="s">
        <v>1870</v>
      </c>
      <c r="B856">
        <v>2022</v>
      </c>
      <c r="C856">
        <v>0.55369004042993997</v>
      </c>
      <c r="D856">
        <v>3646</v>
      </c>
      <c r="E856">
        <v>0</v>
      </c>
      <c r="F856">
        <v>1</v>
      </c>
      <c r="G856">
        <v>137</v>
      </c>
      <c r="H856">
        <v>9.5033690778489996E-4</v>
      </c>
      <c r="I856">
        <v>12</v>
      </c>
      <c r="J856">
        <v>2.3508668821627901E-2</v>
      </c>
      <c r="K856">
        <v>3</v>
      </c>
      <c r="L856">
        <v>0</v>
      </c>
      <c r="M856">
        <v>1</v>
      </c>
      <c r="N856">
        <v>0.69026408742309642</v>
      </c>
      <c r="O856">
        <v>-0.30734518790093512</v>
      </c>
      <c r="P856">
        <v>444201812.87294048</v>
      </c>
      <c r="Q856">
        <v>0</v>
      </c>
      <c r="R856" t="s">
        <v>926</v>
      </c>
      <c r="S856" t="s">
        <v>927</v>
      </c>
      <c r="T856" t="s">
        <v>336</v>
      </c>
      <c r="U856">
        <v>3473</v>
      </c>
      <c r="V856">
        <v>839</v>
      </c>
      <c r="W856">
        <v>2634</v>
      </c>
    </row>
    <row r="857" spans="1:23" x14ac:dyDescent="0.3">
      <c r="A857" t="s">
        <v>1871</v>
      </c>
      <c r="B857">
        <v>2022</v>
      </c>
      <c r="C857">
        <v>0.5472076343069493</v>
      </c>
      <c r="D857">
        <v>1642</v>
      </c>
      <c r="E857">
        <v>0</v>
      </c>
      <c r="F857">
        <v>24</v>
      </c>
      <c r="G857">
        <v>70</v>
      </c>
      <c r="H857">
        <v>1.4568490609338999E-3</v>
      </c>
      <c r="I857">
        <v>4</v>
      </c>
      <c r="J857">
        <v>3.3313851548801801E-2</v>
      </c>
      <c r="K857">
        <v>2</v>
      </c>
      <c r="L857">
        <v>0</v>
      </c>
      <c r="M857">
        <v>0</v>
      </c>
      <c r="N857">
        <v>0.6560918845324708</v>
      </c>
      <c r="O857">
        <v>-0.26656363589590137</v>
      </c>
      <c r="P857">
        <v>769669676.40913105</v>
      </c>
      <c r="Q857">
        <v>0</v>
      </c>
      <c r="R857" t="s">
        <v>926</v>
      </c>
      <c r="S857" t="s">
        <v>935</v>
      </c>
      <c r="T857" t="s">
        <v>938</v>
      </c>
      <c r="U857">
        <v>1558</v>
      </c>
      <c r="V857">
        <v>585</v>
      </c>
      <c r="W857">
        <v>973</v>
      </c>
    </row>
    <row r="858" spans="1:23" x14ac:dyDescent="0.3">
      <c r="A858" t="s">
        <v>1872</v>
      </c>
      <c r="B858">
        <v>2022</v>
      </c>
      <c r="C858">
        <v>0.56446561738387735</v>
      </c>
      <c r="D858">
        <v>1139</v>
      </c>
      <c r="E858">
        <v>0</v>
      </c>
      <c r="F858">
        <v>9</v>
      </c>
      <c r="G858">
        <v>20</v>
      </c>
      <c r="H858">
        <v>2.2752533507682002E-3</v>
      </c>
      <c r="I858">
        <v>6</v>
      </c>
      <c r="J858">
        <v>0</v>
      </c>
      <c r="K858">
        <v>0</v>
      </c>
      <c r="L858">
        <v>0</v>
      </c>
      <c r="M858">
        <v>0</v>
      </c>
      <c r="N858">
        <v>0.63426257215041415</v>
      </c>
      <c r="O858">
        <v>-0.25566619150069808</v>
      </c>
      <c r="P858">
        <v>600782911.43349707</v>
      </c>
      <c r="Q858">
        <v>0</v>
      </c>
      <c r="R858" t="s">
        <v>926</v>
      </c>
      <c r="S858" t="s">
        <v>939</v>
      </c>
      <c r="T858" t="s">
        <v>941</v>
      </c>
      <c r="U858">
        <v>1085</v>
      </c>
      <c r="V858">
        <v>108</v>
      </c>
      <c r="W858">
        <v>977</v>
      </c>
    </row>
    <row r="859" spans="1:23" x14ac:dyDescent="0.3">
      <c r="A859" t="s">
        <v>1873</v>
      </c>
      <c r="B859">
        <v>2022</v>
      </c>
      <c r="C859">
        <v>0.51059451124785116</v>
      </c>
      <c r="D859">
        <v>80</v>
      </c>
      <c r="E859">
        <v>0</v>
      </c>
      <c r="F859">
        <v>52</v>
      </c>
      <c r="G859">
        <v>2</v>
      </c>
      <c r="H859">
        <v>7.1428571428571397E-2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0.65248519636380098</v>
      </c>
      <c r="O859">
        <v>-0.26858402521067259</v>
      </c>
      <c r="P859">
        <v>446985738.45903271</v>
      </c>
      <c r="Q859">
        <v>0</v>
      </c>
      <c r="R859" t="s">
        <v>926</v>
      </c>
      <c r="S859" t="s">
        <v>939</v>
      </c>
      <c r="T859" t="s">
        <v>942</v>
      </c>
      <c r="U859">
        <v>76</v>
      </c>
      <c r="V859">
        <v>0</v>
      </c>
      <c r="W859">
        <v>76</v>
      </c>
    </row>
    <row r="860" spans="1:23" x14ac:dyDescent="0.3">
      <c r="A860" t="s">
        <v>1874</v>
      </c>
      <c r="B860">
        <v>2022</v>
      </c>
      <c r="C860">
        <v>1.6298508032879231</v>
      </c>
      <c r="D860">
        <v>1889</v>
      </c>
      <c r="E860">
        <v>0</v>
      </c>
      <c r="F860">
        <v>1</v>
      </c>
      <c r="G860">
        <v>33</v>
      </c>
      <c r="H860">
        <v>2.6178010471203999E-3</v>
      </c>
      <c r="I860">
        <v>3</v>
      </c>
      <c r="J860">
        <v>0.3</v>
      </c>
      <c r="K860">
        <v>2</v>
      </c>
      <c r="L860">
        <v>0</v>
      </c>
      <c r="M860">
        <v>4</v>
      </c>
      <c r="N860">
        <v>0.63463094744745308</v>
      </c>
      <c r="O860">
        <v>-0.26576474654063181</v>
      </c>
      <c r="P860">
        <v>545927302.08133411</v>
      </c>
      <c r="Q860">
        <v>0</v>
      </c>
      <c r="R860" t="s">
        <v>926</v>
      </c>
      <c r="S860" t="s">
        <v>939</v>
      </c>
      <c r="T860" t="s">
        <v>944</v>
      </c>
      <c r="U860">
        <v>1797</v>
      </c>
      <c r="V860">
        <v>13</v>
      </c>
      <c r="W860">
        <v>1784</v>
      </c>
    </row>
    <row r="861" spans="1:23" x14ac:dyDescent="0.3">
      <c r="A861" t="s">
        <v>1875</v>
      </c>
      <c r="B861">
        <v>2022</v>
      </c>
      <c r="C861">
        <v>7.3282924940597889</v>
      </c>
      <c r="D861">
        <v>7193</v>
      </c>
      <c r="E861">
        <v>0</v>
      </c>
      <c r="F861">
        <v>279</v>
      </c>
      <c r="G861">
        <v>170</v>
      </c>
      <c r="H861">
        <v>1.6254917909477001E-3</v>
      </c>
      <c r="I861">
        <v>18</v>
      </c>
      <c r="J861">
        <v>8.0280644943668007E-3</v>
      </c>
      <c r="K861">
        <v>6</v>
      </c>
      <c r="L861">
        <v>0</v>
      </c>
      <c r="M861">
        <v>3</v>
      </c>
      <c r="N861">
        <v>0.61905769549856926</v>
      </c>
      <c r="O861">
        <v>-0.2413536345538087</v>
      </c>
      <c r="P861">
        <v>541839249.43046999</v>
      </c>
      <c r="Q861">
        <v>0</v>
      </c>
      <c r="R861" t="s">
        <v>926</v>
      </c>
      <c r="S861" t="s">
        <v>946</v>
      </c>
      <c r="T861" t="s">
        <v>947</v>
      </c>
      <c r="U861">
        <v>6852</v>
      </c>
      <c r="V861">
        <v>431</v>
      </c>
      <c r="W861">
        <v>6421</v>
      </c>
    </row>
    <row r="862" spans="1:23" x14ac:dyDescent="0.3">
      <c r="A862" t="s">
        <v>1876</v>
      </c>
      <c r="B862">
        <v>2022</v>
      </c>
      <c r="C862">
        <v>0.81559538149818078</v>
      </c>
      <c r="D862">
        <v>783</v>
      </c>
      <c r="E862">
        <v>0</v>
      </c>
      <c r="F862">
        <v>32</v>
      </c>
      <c r="G862">
        <v>25</v>
      </c>
      <c r="H862">
        <v>5.8608058608058001E-3</v>
      </c>
      <c r="I862">
        <v>3</v>
      </c>
      <c r="J862">
        <v>1.0810810810810799E-2</v>
      </c>
      <c r="K862">
        <v>1</v>
      </c>
      <c r="L862">
        <v>0</v>
      </c>
      <c r="M862">
        <v>1</v>
      </c>
      <c r="N862">
        <v>0.58523011562214222</v>
      </c>
      <c r="O862">
        <v>-0.20293724261525981</v>
      </c>
      <c r="P862">
        <v>609598789.25019407</v>
      </c>
      <c r="Q862">
        <v>0</v>
      </c>
      <c r="R862" t="s">
        <v>926</v>
      </c>
      <c r="S862" t="s">
        <v>946</v>
      </c>
      <c r="T862" t="s">
        <v>948</v>
      </c>
      <c r="U862">
        <v>746</v>
      </c>
      <c r="V862">
        <v>57</v>
      </c>
      <c r="W862">
        <v>689</v>
      </c>
    </row>
    <row r="863" spans="1:23" x14ac:dyDescent="0.3">
      <c r="A863" t="s">
        <v>1877</v>
      </c>
      <c r="B863">
        <v>2022</v>
      </c>
      <c r="C863">
        <v>1.0395166527247419</v>
      </c>
      <c r="D863">
        <v>4703</v>
      </c>
      <c r="E863">
        <v>0</v>
      </c>
      <c r="F863">
        <v>81</v>
      </c>
      <c r="G863">
        <v>368</v>
      </c>
      <c r="H863">
        <v>4.029679541659E-4</v>
      </c>
      <c r="I863">
        <v>9</v>
      </c>
      <c r="J863">
        <v>2.01977698295813E-2</v>
      </c>
      <c r="K863">
        <v>2</v>
      </c>
      <c r="L863">
        <v>0</v>
      </c>
      <c r="M863">
        <v>1</v>
      </c>
      <c r="N863">
        <v>0.62719063521526242</v>
      </c>
      <c r="O863">
        <v>-0.27242235846930851</v>
      </c>
      <c r="P863">
        <v>672060804.99508429</v>
      </c>
      <c r="Q863">
        <v>0</v>
      </c>
      <c r="R863" t="s">
        <v>926</v>
      </c>
      <c r="S863" t="s">
        <v>946</v>
      </c>
      <c r="T863" t="s">
        <v>328</v>
      </c>
      <c r="U863">
        <v>4469</v>
      </c>
      <c r="V863">
        <v>777</v>
      </c>
      <c r="W863">
        <v>3692</v>
      </c>
    </row>
    <row r="864" spans="1:23" x14ac:dyDescent="0.3">
      <c r="A864" t="s">
        <v>1878</v>
      </c>
      <c r="B864">
        <v>2022</v>
      </c>
      <c r="C864">
        <v>1.0039888264999239</v>
      </c>
      <c r="D864">
        <v>3985</v>
      </c>
      <c r="E864">
        <v>0</v>
      </c>
      <c r="F864">
        <v>5</v>
      </c>
      <c r="G864">
        <v>146</v>
      </c>
      <c r="H864">
        <v>1.0322185596832001E-3</v>
      </c>
      <c r="I864">
        <v>6</v>
      </c>
      <c r="J864">
        <v>1.19733924611973E-2</v>
      </c>
      <c r="K864">
        <v>3</v>
      </c>
      <c r="L864">
        <v>0</v>
      </c>
      <c r="M864">
        <v>1</v>
      </c>
      <c r="N864">
        <v>0.69754253871776961</v>
      </c>
      <c r="O864">
        <v>-0.28968002778422858</v>
      </c>
      <c r="P864">
        <v>713147778.95061409</v>
      </c>
      <c r="Q864">
        <v>0</v>
      </c>
      <c r="R864" t="s">
        <v>926</v>
      </c>
      <c r="S864" t="s">
        <v>956</v>
      </c>
      <c r="T864" t="s">
        <v>957</v>
      </c>
      <c r="U864">
        <v>3801</v>
      </c>
      <c r="V864">
        <v>2223</v>
      </c>
      <c r="W864">
        <v>1578</v>
      </c>
    </row>
    <row r="865" spans="1:23" x14ac:dyDescent="0.3">
      <c r="A865" t="s">
        <v>1879</v>
      </c>
      <c r="B865">
        <v>2022</v>
      </c>
      <c r="C865">
        <v>0.72486146366239079</v>
      </c>
      <c r="D865">
        <v>3256</v>
      </c>
      <c r="E865">
        <v>0</v>
      </c>
      <c r="F865">
        <v>1</v>
      </c>
      <c r="G865">
        <v>149</v>
      </c>
      <c r="H865">
        <v>1.1540099469193E-3</v>
      </c>
      <c r="I865">
        <v>6</v>
      </c>
      <c r="J865">
        <v>1.2496976537934299E-2</v>
      </c>
      <c r="K865">
        <v>3</v>
      </c>
      <c r="L865">
        <v>0</v>
      </c>
      <c r="M865">
        <v>0</v>
      </c>
      <c r="N865">
        <v>0.67393903785060905</v>
      </c>
      <c r="O865">
        <v>-0.3281338089963699</v>
      </c>
      <c r="P865">
        <v>118040653.9065161</v>
      </c>
      <c r="Q865">
        <v>0</v>
      </c>
      <c r="R865" t="s">
        <v>926</v>
      </c>
      <c r="S865" t="s">
        <v>956</v>
      </c>
      <c r="T865" t="s">
        <v>255</v>
      </c>
      <c r="U865">
        <v>3103</v>
      </c>
      <c r="V865">
        <v>1271</v>
      </c>
      <c r="W865">
        <v>1832</v>
      </c>
    </row>
    <row r="866" spans="1:23" x14ac:dyDescent="0.3">
      <c r="A866" t="s">
        <v>1880</v>
      </c>
      <c r="B866">
        <v>2022</v>
      </c>
      <c r="C866">
        <v>0.55558102183751268</v>
      </c>
      <c r="D866">
        <v>4440</v>
      </c>
      <c r="E866">
        <v>0</v>
      </c>
      <c r="F866">
        <v>1398</v>
      </c>
      <c r="G866">
        <v>149</v>
      </c>
      <c r="H866">
        <v>9.6419905678790001E-4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0.68545478472664689</v>
      </c>
      <c r="O866">
        <v>-0.31513083445447271</v>
      </c>
      <c r="P866">
        <v>372194216.44688791</v>
      </c>
      <c r="Q866">
        <v>0</v>
      </c>
      <c r="R866" t="s">
        <v>926</v>
      </c>
      <c r="S866" t="s">
        <v>956</v>
      </c>
      <c r="T866" t="s">
        <v>959</v>
      </c>
      <c r="U866">
        <v>4234</v>
      </c>
      <c r="V866">
        <v>474</v>
      </c>
      <c r="W866">
        <v>3760</v>
      </c>
    </row>
    <row r="867" spans="1:23" x14ac:dyDescent="0.3">
      <c r="A867" t="s">
        <v>1881</v>
      </c>
      <c r="B867">
        <v>2022</v>
      </c>
      <c r="C867">
        <v>0.48205638429800152</v>
      </c>
      <c r="D867">
        <v>456</v>
      </c>
      <c r="E867">
        <v>0</v>
      </c>
      <c r="F867">
        <v>90</v>
      </c>
      <c r="G867">
        <v>13</v>
      </c>
      <c r="H867">
        <v>1.46551724137931E-2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0.57514151126306512</v>
      </c>
      <c r="O867">
        <v>-0.19983348598295589</v>
      </c>
      <c r="P867">
        <v>2267544996.8578529</v>
      </c>
      <c r="Q867">
        <v>0</v>
      </c>
      <c r="R867" t="s">
        <v>926</v>
      </c>
      <c r="S867" t="s">
        <v>960</v>
      </c>
      <c r="T867" t="s">
        <v>960</v>
      </c>
      <c r="U867">
        <v>435</v>
      </c>
      <c r="V867">
        <v>185</v>
      </c>
      <c r="W867">
        <v>250</v>
      </c>
    </row>
    <row r="868" spans="1:23" x14ac:dyDescent="0.3">
      <c r="A868" t="s">
        <v>1882</v>
      </c>
      <c r="B868">
        <v>2022</v>
      </c>
      <c r="C868">
        <v>5.6393302727095476</v>
      </c>
      <c r="D868">
        <v>7611</v>
      </c>
      <c r="E868">
        <v>0</v>
      </c>
      <c r="F868">
        <v>43</v>
      </c>
      <c r="G868">
        <v>215</v>
      </c>
      <c r="H868">
        <v>3.194281982937E-4</v>
      </c>
      <c r="I868">
        <v>4</v>
      </c>
      <c r="J868">
        <v>9.3445408208887998E-3</v>
      </c>
      <c r="K868">
        <v>3</v>
      </c>
      <c r="L868">
        <v>0</v>
      </c>
      <c r="M868">
        <v>7</v>
      </c>
      <c r="N868">
        <v>0.6230662053328212</v>
      </c>
      <c r="O868">
        <v>-0.26747183205570291</v>
      </c>
      <c r="P868">
        <v>1238449566.7895081</v>
      </c>
      <c r="Q868">
        <v>0</v>
      </c>
      <c r="R868" t="s">
        <v>963</v>
      </c>
      <c r="S868" t="s">
        <v>964</v>
      </c>
      <c r="T868" t="s">
        <v>966</v>
      </c>
      <c r="U868">
        <v>7248</v>
      </c>
      <c r="V868">
        <v>1592</v>
      </c>
      <c r="W868">
        <v>5656</v>
      </c>
    </row>
    <row r="869" spans="1:23" x14ac:dyDescent="0.3">
      <c r="A869" t="s">
        <v>1883</v>
      </c>
      <c r="B869">
        <v>2022</v>
      </c>
      <c r="C869">
        <v>5.9831496355680418</v>
      </c>
      <c r="D869">
        <v>3261</v>
      </c>
      <c r="E869">
        <v>0</v>
      </c>
      <c r="F869">
        <v>32</v>
      </c>
      <c r="G869">
        <v>150</v>
      </c>
      <c r="H869">
        <v>7.328666252538E-4</v>
      </c>
      <c r="I869">
        <v>4</v>
      </c>
      <c r="J869">
        <v>7.3846153846153798E-2</v>
      </c>
      <c r="K869">
        <v>2</v>
      </c>
      <c r="L869">
        <v>0</v>
      </c>
      <c r="M869">
        <v>1</v>
      </c>
      <c r="N869">
        <v>0.60787432976087885</v>
      </c>
      <c r="O869">
        <v>-0.25405081178363831</v>
      </c>
      <c r="P869">
        <v>408319512.25487357</v>
      </c>
      <c r="Q869">
        <v>0</v>
      </c>
      <c r="R869" t="s">
        <v>963</v>
      </c>
      <c r="S869" t="s">
        <v>964</v>
      </c>
      <c r="T869" t="s">
        <v>967</v>
      </c>
      <c r="U869">
        <v>3107</v>
      </c>
      <c r="V869">
        <v>892</v>
      </c>
      <c r="W869">
        <v>2215</v>
      </c>
    </row>
    <row r="870" spans="1:23" x14ac:dyDescent="0.3">
      <c r="A870" t="s">
        <v>1884</v>
      </c>
      <c r="B870">
        <v>2022</v>
      </c>
      <c r="C870">
        <v>0.59728706153514599</v>
      </c>
      <c r="D870">
        <v>1635</v>
      </c>
      <c r="E870">
        <v>0</v>
      </c>
      <c r="F870">
        <v>13</v>
      </c>
      <c r="G870">
        <v>60</v>
      </c>
      <c r="H870">
        <v>9.3670628171629996E-4</v>
      </c>
      <c r="I870">
        <v>4</v>
      </c>
      <c r="J870">
        <v>1</v>
      </c>
      <c r="K870">
        <v>1</v>
      </c>
      <c r="L870">
        <v>0</v>
      </c>
      <c r="M870">
        <v>2</v>
      </c>
      <c r="N870">
        <v>0.61583599026614322</v>
      </c>
      <c r="O870">
        <v>-0.2474725968795938</v>
      </c>
      <c r="P870">
        <v>982094826.70175695</v>
      </c>
      <c r="Q870">
        <v>0</v>
      </c>
      <c r="R870" t="s">
        <v>963</v>
      </c>
      <c r="S870" t="s">
        <v>964</v>
      </c>
      <c r="T870" t="s">
        <v>968</v>
      </c>
      <c r="U870">
        <v>1559</v>
      </c>
      <c r="V870">
        <v>21</v>
      </c>
      <c r="W870">
        <v>1538</v>
      </c>
    </row>
    <row r="871" spans="1:23" x14ac:dyDescent="0.3">
      <c r="A871" t="s">
        <v>1885</v>
      </c>
      <c r="B871">
        <v>2022</v>
      </c>
      <c r="C871">
        <v>17.27819327855229</v>
      </c>
      <c r="D871">
        <v>3436</v>
      </c>
      <c r="E871">
        <v>0</v>
      </c>
      <c r="F871">
        <v>332</v>
      </c>
      <c r="G871">
        <v>105</v>
      </c>
      <c r="H871">
        <v>8.2939337953659995E-4</v>
      </c>
      <c r="I871">
        <v>3</v>
      </c>
      <c r="J871">
        <v>1.4598540145985399E-2</v>
      </c>
      <c r="K871">
        <v>1</v>
      </c>
      <c r="L871">
        <v>0</v>
      </c>
      <c r="M871">
        <v>1</v>
      </c>
      <c r="N871">
        <v>0.6056715047335498</v>
      </c>
      <c r="O871">
        <v>-0.27345317445839562</v>
      </c>
      <c r="P871">
        <v>136803564.21903411</v>
      </c>
      <c r="Q871">
        <v>0</v>
      </c>
      <c r="R871" t="s">
        <v>963</v>
      </c>
      <c r="S871" t="s">
        <v>964</v>
      </c>
      <c r="T871" t="s">
        <v>969</v>
      </c>
      <c r="U871">
        <v>3279</v>
      </c>
      <c r="V871">
        <v>898</v>
      </c>
      <c r="W871">
        <v>2381</v>
      </c>
    </row>
    <row r="872" spans="1:23" x14ac:dyDescent="0.3">
      <c r="A872" t="s">
        <v>1886</v>
      </c>
      <c r="B872">
        <v>2022</v>
      </c>
      <c r="C872">
        <v>5.53117598043759</v>
      </c>
      <c r="D872">
        <v>1307</v>
      </c>
      <c r="E872">
        <v>0</v>
      </c>
      <c r="F872">
        <v>65</v>
      </c>
      <c r="G872">
        <v>53</v>
      </c>
      <c r="H872">
        <v>2.0261587976780999E-3</v>
      </c>
      <c r="I872">
        <v>3</v>
      </c>
      <c r="J872">
        <v>0.25</v>
      </c>
      <c r="K872">
        <v>1</v>
      </c>
      <c r="L872">
        <v>0</v>
      </c>
      <c r="M872">
        <v>1</v>
      </c>
      <c r="N872">
        <v>0.6129416879484717</v>
      </c>
      <c r="O872">
        <v>-0.232427191263606</v>
      </c>
      <c r="P872">
        <v>871819078.3671912</v>
      </c>
      <c r="Q872">
        <v>0</v>
      </c>
      <c r="R872" t="s">
        <v>963</v>
      </c>
      <c r="S872" t="s">
        <v>964</v>
      </c>
      <c r="T872" t="s">
        <v>970</v>
      </c>
      <c r="U872">
        <v>1246</v>
      </c>
      <c r="V872">
        <v>8</v>
      </c>
      <c r="W872">
        <v>1238</v>
      </c>
    </row>
    <row r="873" spans="1:23" x14ac:dyDescent="0.3">
      <c r="A873" t="s">
        <v>1887</v>
      </c>
      <c r="B873">
        <v>2022</v>
      </c>
      <c r="C873">
        <v>1.7769509815786759</v>
      </c>
      <c r="D873">
        <v>1565</v>
      </c>
      <c r="E873">
        <v>0</v>
      </c>
      <c r="F873">
        <v>127</v>
      </c>
      <c r="G873">
        <v>58</v>
      </c>
      <c r="H873">
        <v>1.0729332949519E-3</v>
      </c>
      <c r="I873">
        <v>16</v>
      </c>
      <c r="J873">
        <v>0</v>
      </c>
      <c r="K873">
        <v>0</v>
      </c>
      <c r="L873">
        <v>0</v>
      </c>
      <c r="M873">
        <v>1</v>
      </c>
      <c r="N873">
        <v>0.61999134140540513</v>
      </c>
      <c r="O873">
        <v>-0.27133652621063897</v>
      </c>
      <c r="P873">
        <v>130948424.9244604</v>
      </c>
      <c r="Q873">
        <v>0</v>
      </c>
      <c r="R873" t="s">
        <v>963</v>
      </c>
      <c r="S873" t="s">
        <v>964</v>
      </c>
      <c r="T873" t="s">
        <v>171</v>
      </c>
      <c r="U873">
        <v>1491</v>
      </c>
      <c r="V873">
        <v>131</v>
      </c>
      <c r="W873">
        <v>1360</v>
      </c>
    </row>
    <row r="874" spans="1:23" x14ac:dyDescent="0.3">
      <c r="A874" t="s">
        <v>1888</v>
      </c>
      <c r="B874">
        <v>2022</v>
      </c>
      <c r="C874">
        <v>1.2667953122292579</v>
      </c>
      <c r="D874">
        <v>3843</v>
      </c>
      <c r="E874">
        <v>0</v>
      </c>
      <c r="F874">
        <v>92</v>
      </c>
      <c r="G874">
        <v>138</v>
      </c>
      <c r="H874">
        <v>5.0798868421979997E-4</v>
      </c>
      <c r="I874">
        <v>4</v>
      </c>
      <c r="J874">
        <v>3.2768361581920903E-2</v>
      </c>
      <c r="K874">
        <v>2</v>
      </c>
      <c r="L874">
        <v>0</v>
      </c>
      <c r="M874">
        <v>11</v>
      </c>
      <c r="N874">
        <v>0.59639104987537672</v>
      </c>
      <c r="O874">
        <v>-0.2393029906394771</v>
      </c>
      <c r="P874">
        <v>1478548421.4867339</v>
      </c>
      <c r="Q874">
        <v>0</v>
      </c>
      <c r="R874" t="s">
        <v>963</v>
      </c>
      <c r="S874" t="s">
        <v>964</v>
      </c>
      <c r="T874" t="s">
        <v>971</v>
      </c>
      <c r="U874">
        <v>3639</v>
      </c>
      <c r="V874">
        <v>246</v>
      </c>
      <c r="W874">
        <v>3393</v>
      </c>
    </row>
    <row r="875" spans="1:23" x14ac:dyDescent="0.3">
      <c r="A875" t="s">
        <v>1889</v>
      </c>
      <c r="B875">
        <v>2022</v>
      </c>
      <c r="C875">
        <v>1.8769811476470291</v>
      </c>
      <c r="D875">
        <v>3682</v>
      </c>
      <c r="E875">
        <v>0</v>
      </c>
      <c r="F875">
        <v>1704</v>
      </c>
      <c r="G875">
        <v>193</v>
      </c>
      <c r="H875">
        <v>8.4097540641930001E-4</v>
      </c>
      <c r="I875">
        <v>20</v>
      </c>
      <c r="J875">
        <v>0</v>
      </c>
      <c r="K875">
        <v>0</v>
      </c>
      <c r="L875">
        <v>0</v>
      </c>
      <c r="M875">
        <v>0</v>
      </c>
      <c r="N875">
        <v>0.64551779027926204</v>
      </c>
      <c r="O875">
        <v>-0.29953878455199701</v>
      </c>
      <c r="P875">
        <v>308387838.13876569</v>
      </c>
      <c r="Q875">
        <v>0</v>
      </c>
      <c r="R875" t="s">
        <v>963</v>
      </c>
      <c r="S875" t="s">
        <v>964</v>
      </c>
      <c r="T875" t="s">
        <v>894</v>
      </c>
      <c r="U875">
        <v>3511</v>
      </c>
      <c r="V875">
        <v>272</v>
      </c>
      <c r="W875">
        <v>3239</v>
      </c>
    </row>
    <row r="876" spans="1:23" x14ac:dyDescent="0.3">
      <c r="A876" t="s">
        <v>1890</v>
      </c>
      <c r="B876">
        <v>2022</v>
      </c>
      <c r="C876">
        <v>0.59860717409757769</v>
      </c>
      <c r="D876">
        <v>3417</v>
      </c>
      <c r="E876">
        <v>0</v>
      </c>
      <c r="F876">
        <v>1898</v>
      </c>
      <c r="G876">
        <v>83</v>
      </c>
      <c r="H876">
        <v>1.021629867022E-3</v>
      </c>
      <c r="I876">
        <v>10</v>
      </c>
      <c r="J876">
        <v>0</v>
      </c>
      <c r="K876">
        <v>0</v>
      </c>
      <c r="L876">
        <v>0</v>
      </c>
      <c r="M876">
        <v>0</v>
      </c>
      <c r="N876">
        <v>0.65349708365380421</v>
      </c>
      <c r="O876">
        <v>-0.27471105227667741</v>
      </c>
      <c r="P876">
        <v>457599351.78716987</v>
      </c>
      <c r="Q876">
        <v>0</v>
      </c>
      <c r="R876" t="s">
        <v>963</v>
      </c>
      <c r="S876" t="s">
        <v>964</v>
      </c>
      <c r="T876" t="s">
        <v>973</v>
      </c>
      <c r="U876">
        <v>3255</v>
      </c>
      <c r="V876">
        <v>262</v>
      </c>
      <c r="W876">
        <v>2993</v>
      </c>
    </row>
    <row r="877" spans="1:23" x14ac:dyDescent="0.3">
      <c r="A877" t="s">
        <v>1891</v>
      </c>
      <c r="B877">
        <v>2022</v>
      </c>
      <c r="C877">
        <v>1.1637225223681891</v>
      </c>
      <c r="D877">
        <v>2619</v>
      </c>
      <c r="E877">
        <v>0</v>
      </c>
      <c r="F877">
        <v>22</v>
      </c>
      <c r="G877">
        <v>72</v>
      </c>
      <c r="H877">
        <v>1.5574000740789999E-3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0.67702399338471442</v>
      </c>
      <c r="O877">
        <v>-0.29430608826731069</v>
      </c>
      <c r="P877">
        <v>313930742.83686417</v>
      </c>
      <c r="Q877">
        <v>0</v>
      </c>
      <c r="R877" t="s">
        <v>963</v>
      </c>
      <c r="S877" t="s">
        <v>964</v>
      </c>
      <c r="T877" t="s">
        <v>974</v>
      </c>
      <c r="U877">
        <v>2496</v>
      </c>
      <c r="V877">
        <v>0</v>
      </c>
      <c r="W877">
        <v>2496</v>
      </c>
    </row>
    <row r="878" spans="1:23" x14ac:dyDescent="0.3">
      <c r="A878" t="s">
        <v>1892</v>
      </c>
      <c r="B878">
        <v>2022</v>
      </c>
      <c r="C878">
        <v>0.52598693747757319</v>
      </c>
      <c r="D878">
        <v>1197</v>
      </c>
      <c r="E878">
        <v>0</v>
      </c>
      <c r="F878">
        <v>117</v>
      </c>
      <c r="G878">
        <v>18</v>
      </c>
      <c r="H878">
        <v>4.9874686716790996E-3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0.57501530638721199</v>
      </c>
      <c r="O878">
        <v>-0.18591080125296011</v>
      </c>
      <c r="P878">
        <v>921515864.98987877</v>
      </c>
      <c r="Q878">
        <v>0</v>
      </c>
      <c r="R878" t="s">
        <v>963</v>
      </c>
      <c r="S878" t="s">
        <v>975</v>
      </c>
      <c r="T878" t="s">
        <v>977</v>
      </c>
      <c r="U878">
        <v>1137</v>
      </c>
      <c r="V878">
        <v>14</v>
      </c>
      <c r="W878">
        <v>1123</v>
      </c>
    </row>
    <row r="879" spans="1:23" x14ac:dyDescent="0.3">
      <c r="A879" t="s">
        <v>1893</v>
      </c>
      <c r="B879">
        <v>2022</v>
      </c>
      <c r="C879">
        <v>0.50920870795834861</v>
      </c>
      <c r="D879">
        <v>743</v>
      </c>
      <c r="E879">
        <v>0</v>
      </c>
      <c r="F879">
        <v>1</v>
      </c>
      <c r="G879">
        <v>34</v>
      </c>
      <c r="H879">
        <v>7.0771355275199999E-4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0.6019357702563306</v>
      </c>
      <c r="O879">
        <v>-0.23869858906351391</v>
      </c>
      <c r="P879">
        <v>7124362352.9952555</v>
      </c>
      <c r="Q879">
        <v>0</v>
      </c>
      <c r="R879" t="s">
        <v>963</v>
      </c>
      <c r="S879" t="s">
        <v>975</v>
      </c>
      <c r="T879" t="s">
        <v>978</v>
      </c>
      <c r="U879">
        <v>708</v>
      </c>
      <c r="V879">
        <v>35</v>
      </c>
      <c r="W879">
        <v>673</v>
      </c>
    </row>
    <row r="880" spans="1:23" x14ac:dyDescent="0.3">
      <c r="A880" t="s">
        <v>1894</v>
      </c>
      <c r="B880">
        <v>2022</v>
      </c>
      <c r="C880">
        <v>0.53150632011650978</v>
      </c>
      <c r="D880">
        <v>984</v>
      </c>
      <c r="E880">
        <v>0</v>
      </c>
      <c r="F880">
        <v>2</v>
      </c>
      <c r="G880">
        <v>1</v>
      </c>
      <c r="H880">
        <v>4.54545454545454E-2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0.56484860540036563</v>
      </c>
      <c r="O880">
        <v>-0.17856725063002951</v>
      </c>
      <c r="P880">
        <v>657302441.8760854</v>
      </c>
      <c r="Q880">
        <v>0</v>
      </c>
      <c r="R880" t="s">
        <v>963</v>
      </c>
      <c r="S880" t="s">
        <v>975</v>
      </c>
      <c r="T880" t="s">
        <v>979</v>
      </c>
      <c r="U880">
        <v>938</v>
      </c>
      <c r="V880">
        <v>78</v>
      </c>
      <c r="W880">
        <v>860</v>
      </c>
    </row>
    <row r="881" spans="1:23" x14ac:dyDescent="0.3">
      <c r="A881" t="s">
        <v>1895</v>
      </c>
      <c r="B881">
        <v>2022</v>
      </c>
      <c r="C881">
        <v>1.4194965369282899</v>
      </c>
      <c r="D881">
        <v>1742</v>
      </c>
      <c r="E881">
        <v>0</v>
      </c>
      <c r="F881">
        <v>7</v>
      </c>
      <c r="G881">
        <v>39</v>
      </c>
      <c r="H881">
        <v>7.5818917924181002E-3</v>
      </c>
      <c r="I881">
        <v>3</v>
      </c>
      <c r="J881">
        <v>0</v>
      </c>
      <c r="K881">
        <v>0</v>
      </c>
      <c r="L881">
        <v>0</v>
      </c>
      <c r="M881">
        <v>1</v>
      </c>
      <c r="N881">
        <v>0.59169232093126067</v>
      </c>
      <c r="O881">
        <v>-0.19653548131586079</v>
      </c>
      <c r="P881">
        <v>97964738.69385384</v>
      </c>
      <c r="Q881">
        <v>0</v>
      </c>
      <c r="R881" t="s">
        <v>963</v>
      </c>
      <c r="S881" t="s">
        <v>981</v>
      </c>
      <c r="T881" t="s">
        <v>983</v>
      </c>
      <c r="U881">
        <v>1652</v>
      </c>
      <c r="V881">
        <v>13</v>
      </c>
      <c r="W881">
        <v>1639</v>
      </c>
    </row>
    <row r="882" spans="1:23" x14ac:dyDescent="0.3">
      <c r="A882" t="s">
        <v>1896</v>
      </c>
      <c r="B882">
        <v>2022</v>
      </c>
      <c r="C882">
        <v>65.333523134509633</v>
      </c>
      <c r="D882">
        <v>4450</v>
      </c>
      <c r="E882">
        <v>0</v>
      </c>
      <c r="F882">
        <v>141</v>
      </c>
      <c r="G882">
        <v>171</v>
      </c>
      <c r="H882">
        <v>6.8135894266549998E-4</v>
      </c>
      <c r="I882">
        <v>10</v>
      </c>
      <c r="J882">
        <v>2.7743271221532001E-2</v>
      </c>
      <c r="K882">
        <v>3</v>
      </c>
      <c r="L882">
        <v>0</v>
      </c>
      <c r="M882">
        <v>1</v>
      </c>
      <c r="N882">
        <v>0.54627480696127861</v>
      </c>
      <c r="O882">
        <v>-0.26399179559172198</v>
      </c>
      <c r="P882">
        <v>133678987.8361751</v>
      </c>
      <c r="Q882">
        <v>0</v>
      </c>
      <c r="R882" t="s">
        <v>963</v>
      </c>
      <c r="S882" t="s">
        <v>981</v>
      </c>
      <c r="T882" t="s">
        <v>435</v>
      </c>
      <c r="U882">
        <v>4243</v>
      </c>
      <c r="V882">
        <v>493</v>
      </c>
      <c r="W882">
        <v>3750</v>
      </c>
    </row>
    <row r="883" spans="1:23" x14ac:dyDescent="0.3">
      <c r="A883" t="s">
        <v>1897</v>
      </c>
      <c r="B883">
        <v>2022</v>
      </c>
      <c r="C883">
        <v>9.0586049725868687</v>
      </c>
      <c r="D883">
        <v>5538</v>
      </c>
      <c r="E883">
        <v>0</v>
      </c>
      <c r="F883">
        <v>3527</v>
      </c>
      <c r="G883">
        <v>203</v>
      </c>
      <c r="H883">
        <v>1.0609081073848E-3</v>
      </c>
      <c r="I883">
        <v>9</v>
      </c>
      <c r="J883">
        <v>0</v>
      </c>
      <c r="K883">
        <v>0</v>
      </c>
      <c r="L883">
        <v>0</v>
      </c>
      <c r="M883">
        <v>2</v>
      </c>
      <c r="N883">
        <v>0.5898457118780478</v>
      </c>
      <c r="O883">
        <v>-0.25519062943279169</v>
      </c>
      <c r="P883">
        <v>282144379.33992231</v>
      </c>
      <c r="Q883">
        <v>0</v>
      </c>
      <c r="R883" t="s">
        <v>963</v>
      </c>
      <c r="S883" t="s">
        <v>981</v>
      </c>
      <c r="T883" t="s">
        <v>984</v>
      </c>
      <c r="U883">
        <v>5280</v>
      </c>
      <c r="V883">
        <v>417</v>
      </c>
      <c r="W883">
        <v>4863</v>
      </c>
    </row>
    <row r="884" spans="1:23" x14ac:dyDescent="0.3">
      <c r="A884" t="s">
        <v>1898</v>
      </c>
      <c r="B884">
        <v>2022</v>
      </c>
      <c r="C884">
        <v>2.120264844293549</v>
      </c>
      <c r="D884">
        <v>4138</v>
      </c>
      <c r="E884">
        <v>0</v>
      </c>
      <c r="F884">
        <v>1</v>
      </c>
      <c r="G884">
        <v>109</v>
      </c>
      <c r="H884">
        <v>1.3168351867642999E-3</v>
      </c>
      <c r="I884">
        <v>2</v>
      </c>
      <c r="J884">
        <v>9.0909090909090898E-2</v>
      </c>
      <c r="K884">
        <v>1</v>
      </c>
      <c r="L884">
        <v>0</v>
      </c>
      <c r="M884">
        <v>1</v>
      </c>
      <c r="N884">
        <v>0.52616825126455913</v>
      </c>
      <c r="O884">
        <v>-0.26995459830574781</v>
      </c>
      <c r="P884">
        <v>124723771.4622442</v>
      </c>
      <c r="Q884">
        <v>0</v>
      </c>
      <c r="R884" t="s">
        <v>963</v>
      </c>
      <c r="S884" t="s">
        <v>981</v>
      </c>
      <c r="T884" t="s">
        <v>986</v>
      </c>
      <c r="U884">
        <v>3945</v>
      </c>
      <c r="V884">
        <v>467</v>
      </c>
      <c r="W884">
        <v>3478</v>
      </c>
    </row>
    <row r="885" spans="1:23" x14ac:dyDescent="0.3">
      <c r="A885" t="s">
        <v>1899</v>
      </c>
      <c r="B885">
        <v>2022</v>
      </c>
      <c r="C885">
        <v>2.45541829361524</v>
      </c>
      <c r="D885">
        <v>4127</v>
      </c>
      <c r="E885">
        <v>0</v>
      </c>
      <c r="F885">
        <v>3</v>
      </c>
      <c r="G885">
        <v>96</v>
      </c>
      <c r="H885">
        <v>1.7884973692535999E-3</v>
      </c>
      <c r="I885">
        <v>4</v>
      </c>
      <c r="J885">
        <v>0</v>
      </c>
      <c r="K885">
        <v>0</v>
      </c>
      <c r="L885">
        <v>0</v>
      </c>
      <c r="M885">
        <v>0</v>
      </c>
      <c r="N885">
        <v>0.6126681539609129</v>
      </c>
      <c r="O885">
        <v>-0.2788484289508249</v>
      </c>
      <c r="P885">
        <v>189851663.68595821</v>
      </c>
      <c r="Q885">
        <v>0</v>
      </c>
      <c r="R885" t="s">
        <v>963</v>
      </c>
      <c r="S885" t="s">
        <v>988</v>
      </c>
      <c r="T885" t="s">
        <v>990</v>
      </c>
      <c r="U885">
        <v>3934</v>
      </c>
      <c r="V885">
        <v>83</v>
      </c>
      <c r="W885">
        <v>3851</v>
      </c>
    </row>
    <row r="886" spans="1:23" x14ac:dyDescent="0.3">
      <c r="A886" t="s">
        <v>1900</v>
      </c>
      <c r="B886">
        <v>2022</v>
      </c>
      <c r="C886">
        <v>0.4603726287138285</v>
      </c>
      <c r="D886">
        <v>3753</v>
      </c>
      <c r="E886">
        <v>0</v>
      </c>
      <c r="F886">
        <v>3</v>
      </c>
      <c r="G886">
        <v>85</v>
      </c>
      <c r="H886">
        <v>8.7144492648830001E-4</v>
      </c>
      <c r="I886">
        <v>6</v>
      </c>
      <c r="J886">
        <v>0</v>
      </c>
      <c r="K886">
        <v>0</v>
      </c>
      <c r="L886">
        <v>0</v>
      </c>
      <c r="M886">
        <v>0</v>
      </c>
      <c r="N886">
        <v>0.68278810063086426</v>
      </c>
      <c r="O886">
        <v>-0.28974754318714713</v>
      </c>
      <c r="P886">
        <v>841107970.33125377</v>
      </c>
      <c r="Q886">
        <v>0</v>
      </c>
      <c r="R886" t="s">
        <v>963</v>
      </c>
      <c r="S886" t="s">
        <v>988</v>
      </c>
      <c r="T886" t="s">
        <v>991</v>
      </c>
      <c r="U886">
        <v>3575</v>
      </c>
      <c r="V886">
        <v>53</v>
      </c>
      <c r="W886">
        <v>3522</v>
      </c>
    </row>
    <row r="887" spans="1:23" x14ac:dyDescent="0.3">
      <c r="A887" t="s">
        <v>1901</v>
      </c>
      <c r="B887">
        <v>2022</v>
      </c>
      <c r="C887">
        <v>0.92882831561634815</v>
      </c>
      <c r="D887">
        <v>9023</v>
      </c>
      <c r="E887">
        <v>0</v>
      </c>
      <c r="F887">
        <v>178</v>
      </c>
      <c r="G887">
        <v>536</v>
      </c>
      <c r="H887">
        <v>1.222268197227E-4</v>
      </c>
      <c r="I887">
        <v>24</v>
      </c>
      <c r="J887">
        <v>1.3183846557488E-3</v>
      </c>
      <c r="K887">
        <v>4</v>
      </c>
      <c r="L887">
        <v>0</v>
      </c>
      <c r="M887">
        <v>29</v>
      </c>
      <c r="P887">
        <v>678074685.62177205</v>
      </c>
      <c r="Q887">
        <v>0</v>
      </c>
      <c r="R887" t="s">
        <v>994</v>
      </c>
      <c r="S887" t="s">
        <v>995</v>
      </c>
      <c r="T887" t="s">
        <v>997</v>
      </c>
      <c r="U887">
        <v>8600</v>
      </c>
      <c r="V887">
        <v>1041</v>
      </c>
      <c r="W887">
        <v>7559</v>
      </c>
    </row>
    <row r="888" spans="1:23" x14ac:dyDescent="0.3">
      <c r="A888" t="s">
        <v>1902</v>
      </c>
      <c r="B888">
        <v>2022</v>
      </c>
      <c r="C888">
        <v>1.447581154959249</v>
      </c>
      <c r="D888">
        <v>12063</v>
      </c>
      <c r="E888">
        <v>0</v>
      </c>
      <c r="F888">
        <v>75</v>
      </c>
      <c r="G888">
        <v>358</v>
      </c>
      <c r="H888">
        <v>3.9929244229730001E-4</v>
      </c>
      <c r="I888">
        <v>18</v>
      </c>
      <c r="J888">
        <v>4.7619047619047603E-2</v>
      </c>
      <c r="K888">
        <v>1</v>
      </c>
      <c r="L888">
        <v>0</v>
      </c>
      <c r="M888">
        <v>14</v>
      </c>
      <c r="N888">
        <v>0.58075770282116546</v>
      </c>
      <c r="O888">
        <v>-0.29281416834140001</v>
      </c>
      <c r="P888">
        <v>310964368.11171311</v>
      </c>
      <c r="Q888">
        <v>0</v>
      </c>
      <c r="R888" t="s">
        <v>994</v>
      </c>
      <c r="S888" t="s">
        <v>995</v>
      </c>
      <c r="T888" t="s">
        <v>999</v>
      </c>
      <c r="U888">
        <v>11438</v>
      </c>
      <c r="V888">
        <v>3138</v>
      </c>
      <c r="W888">
        <v>8300</v>
      </c>
    </row>
    <row r="889" spans="1:23" x14ac:dyDescent="0.3">
      <c r="A889" t="s">
        <v>1903</v>
      </c>
      <c r="B889">
        <v>2022</v>
      </c>
      <c r="C889">
        <v>1.388976272130297</v>
      </c>
      <c r="D889">
        <v>14282</v>
      </c>
      <c r="E889">
        <v>0</v>
      </c>
      <c r="F889">
        <v>244</v>
      </c>
      <c r="G889">
        <v>524</v>
      </c>
      <c r="H889">
        <v>3.3235882051949999E-4</v>
      </c>
      <c r="I889">
        <v>8</v>
      </c>
      <c r="J889">
        <v>0</v>
      </c>
      <c r="K889">
        <v>0</v>
      </c>
      <c r="L889">
        <v>0</v>
      </c>
      <c r="M889">
        <v>21</v>
      </c>
      <c r="N889">
        <v>0.43831470335442918</v>
      </c>
      <c r="O889">
        <v>-0.2233135300169205</v>
      </c>
      <c r="P889">
        <v>204159319.6655238</v>
      </c>
      <c r="Q889">
        <v>0</v>
      </c>
      <c r="R889" t="s">
        <v>994</v>
      </c>
      <c r="S889" t="s">
        <v>995</v>
      </c>
      <c r="T889" t="s">
        <v>1000</v>
      </c>
      <c r="U889">
        <v>13624</v>
      </c>
      <c r="V889">
        <v>2543</v>
      </c>
      <c r="W889">
        <v>11081</v>
      </c>
    </row>
    <row r="890" spans="1:23" x14ac:dyDescent="0.3">
      <c r="A890" t="s">
        <v>1904</v>
      </c>
      <c r="B890">
        <v>2022</v>
      </c>
      <c r="C890">
        <v>1.528736259412143</v>
      </c>
      <c r="D890">
        <v>10344</v>
      </c>
      <c r="E890">
        <v>0</v>
      </c>
      <c r="F890">
        <v>830</v>
      </c>
      <c r="G890">
        <v>550</v>
      </c>
      <c r="H890">
        <v>2.5846770707770001E-4</v>
      </c>
      <c r="I890">
        <v>3</v>
      </c>
      <c r="J890">
        <v>1.5870967741935402E-2</v>
      </c>
      <c r="K890">
        <v>2</v>
      </c>
      <c r="L890">
        <v>0</v>
      </c>
      <c r="M890">
        <v>27</v>
      </c>
      <c r="N890">
        <v>0.5441000079150764</v>
      </c>
      <c r="O890">
        <v>-0.2485100182080327</v>
      </c>
      <c r="P890">
        <v>310253416.01449829</v>
      </c>
      <c r="Q890">
        <v>0</v>
      </c>
      <c r="R890" t="s">
        <v>994</v>
      </c>
      <c r="S890" t="s">
        <v>995</v>
      </c>
      <c r="T890" t="s">
        <v>1001</v>
      </c>
      <c r="U890">
        <v>9865</v>
      </c>
      <c r="V890">
        <v>2051</v>
      </c>
      <c r="W890">
        <v>7814</v>
      </c>
    </row>
    <row r="891" spans="1:23" x14ac:dyDescent="0.3">
      <c r="A891" t="s">
        <v>1905</v>
      </c>
      <c r="B891">
        <v>2022</v>
      </c>
      <c r="C891">
        <v>0.89562937402625376</v>
      </c>
      <c r="D891">
        <v>6263</v>
      </c>
      <c r="E891">
        <v>0</v>
      </c>
      <c r="F891">
        <v>4</v>
      </c>
      <c r="G891">
        <v>224</v>
      </c>
      <c r="H891">
        <v>4.0423915216950001E-4</v>
      </c>
      <c r="I891">
        <v>3</v>
      </c>
      <c r="J891">
        <v>0</v>
      </c>
      <c r="K891">
        <v>0</v>
      </c>
      <c r="L891">
        <v>0</v>
      </c>
      <c r="M891">
        <v>22</v>
      </c>
      <c r="N891">
        <v>0.54057108662104503</v>
      </c>
      <c r="O891">
        <v>-0.24999127288287221</v>
      </c>
      <c r="P891">
        <v>282755587.33769262</v>
      </c>
      <c r="Q891">
        <v>0</v>
      </c>
      <c r="R891" t="s">
        <v>994</v>
      </c>
      <c r="S891" t="s">
        <v>995</v>
      </c>
      <c r="T891" t="s">
        <v>1002</v>
      </c>
      <c r="U891">
        <v>5939</v>
      </c>
      <c r="V891">
        <v>1532</v>
      </c>
      <c r="W891">
        <v>4407</v>
      </c>
    </row>
    <row r="892" spans="1:23" x14ac:dyDescent="0.3">
      <c r="A892" t="s">
        <v>1906</v>
      </c>
      <c r="B892">
        <v>2022</v>
      </c>
      <c r="C892">
        <v>0.71004517236254805</v>
      </c>
      <c r="D892">
        <v>7413</v>
      </c>
      <c r="E892">
        <v>0</v>
      </c>
      <c r="F892">
        <v>33</v>
      </c>
      <c r="G892">
        <v>212</v>
      </c>
      <c r="H892">
        <v>4.5606579776350003E-4</v>
      </c>
      <c r="I892">
        <v>6</v>
      </c>
      <c r="J892">
        <v>0</v>
      </c>
      <c r="K892">
        <v>0</v>
      </c>
      <c r="L892">
        <v>0</v>
      </c>
      <c r="M892">
        <v>26</v>
      </c>
      <c r="N892">
        <v>0.6274566711802223</v>
      </c>
      <c r="O892">
        <v>-0.31394141585959667</v>
      </c>
      <c r="P892">
        <v>352339824.62275881</v>
      </c>
      <c r="Q892">
        <v>0</v>
      </c>
      <c r="R892" t="s">
        <v>994</v>
      </c>
      <c r="S892" t="s">
        <v>995</v>
      </c>
      <c r="T892" t="s">
        <v>1003</v>
      </c>
      <c r="U892">
        <v>7040</v>
      </c>
      <c r="V892">
        <v>1662</v>
      </c>
      <c r="W892">
        <v>5378</v>
      </c>
    </row>
    <row r="893" spans="1:23" x14ac:dyDescent="0.3">
      <c r="A893" t="s">
        <v>1907</v>
      </c>
      <c r="B893">
        <v>2022</v>
      </c>
      <c r="C893">
        <v>1.3216624137162729</v>
      </c>
      <c r="D893">
        <v>7738</v>
      </c>
      <c r="E893">
        <v>0</v>
      </c>
      <c r="F893">
        <v>207</v>
      </c>
      <c r="G893">
        <v>263</v>
      </c>
      <c r="H893">
        <v>5.2703087371849995E-4</v>
      </c>
      <c r="I893">
        <v>25</v>
      </c>
      <c r="J893">
        <v>0</v>
      </c>
      <c r="K893">
        <v>0</v>
      </c>
      <c r="L893">
        <v>0</v>
      </c>
      <c r="M893">
        <v>10</v>
      </c>
      <c r="N893">
        <v>0.436562365934</v>
      </c>
      <c r="O893">
        <v>-0.1982298887155324</v>
      </c>
      <c r="P893">
        <v>102140525.5603929</v>
      </c>
      <c r="Q893">
        <v>0</v>
      </c>
      <c r="R893" t="s">
        <v>994</v>
      </c>
      <c r="S893" t="s">
        <v>1004</v>
      </c>
      <c r="T893" t="s">
        <v>1005</v>
      </c>
      <c r="U893">
        <v>7386</v>
      </c>
      <c r="V893">
        <v>1356</v>
      </c>
      <c r="W893">
        <v>6030</v>
      </c>
    </row>
    <row r="894" spans="1:23" x14ac:dyDescent="0.3">
      <c r="A894" t="s">
        <v>1908</v>
      </c>
      <c r="B894">
        <v>2022</v>
      </c>
      <c r="C894">
        <v>1.4695788180136209</v>
      </c>
      <c r="D894">
        <v>4745</v>
      </c>
      <c r="E894">
        <v>0</v>
      </c>
      <c r="F894">
        <v>244</v>
      </c>
      <c r="G894">
        <v>238</v>
      </c>
      <c r="H894">
        <v>1.2108974080376001E-3</v>
      </c>
      <c r="I894">
        <v>13</v>
      </c>
      <c r="J894">
        <v>0</v>
      </c>
      <c r="K894">
        <v>0</v>
      </c>
      <c r="L894">
        <v>0</v>
      </c>
      <c r="M894">
        <v>8</v>
      </c>
      <c r="N894">
        <v>0.40996036351631931</v>
      </c>
      <c r="O894">
        <v>-0.19538461823139719</v>
      </c>
      <c r="P894">
        <v>58505104.55903329</v>
      </c>
      <c r="Q894">
        <v>0</v>
      </c>
      <c r="R894" t="s">
        <v>994</v>
      </c>
      <c r="S894" t="s">
        <v>1004</v>
      </c>
      <c r="T894" t="s">
        <v>1006</v>
      </c>
      <c r="U894">
        <v>4529</v>
      </c>
      <c r="V894">
        <v>1121</v>
      </c>
      <c r="W894">
        <v>3408</v>
      </c>
    </row>
    <row r="895" spans="1:23" x14ac:dyDescent="0.3">
      <c r="A895" t="s">
        <v>1909</v>
      </c>
      <c r="B895">
        <v>2022</v>
      </c>
      <c r="C895">
        <v>1.844905613388355</v>
      </c>
      <c r="D895">
        <v>2402</v>
      </c>
      <c r="E895">
        <v>0</v>
      </c>
      <c r="F895">
        <v>14</v>
      </c>
      <c r="G895">
        <v>97</v>
      </c>
      <c r="H895">
        <v>1.0388948198664001E-3</v>
      </c>
      <c r="I895">
        <v>9</v>
      </c>
      <c r="J895">
        <v>3.9183673469387698E-2</v>
      </c>
      <c r="K895">
        <v>2</v>
      </c>
      <c r="L895">
        <v>0</v>
      </c>
      <c r="M895">
        <v>6</v>
      </c>
      <c r="N895">
        <v>0.5328600504166956</v>
      </c>
      <c r="O895">
        <v>-0.24866006516439479</v>
      </c>
      <c r="P895">
        <v>82791428.481541321</v>
      </c>
      <c r="Q895">
        <v>0</v>
      </c>
      <c r="R895" t="s">
        <v>994</v>
      </c>
      <c r="S895" t="s">
        <v>1004</v>
      </c>
      <c r="T895" t="s">
        <v>1007</v>
      </c>
      <c r="U895">
        <v>2293</v>
      </c>
      <c r="V895">
        <v>311</v>
      </c>
      <c r="W895">
        <v>1982</v>
      </c>
    </row>
    <row r="896" spans="1:23" x14ac:dyDescent="0.3">
      <c r="A896" t="s">
        <v>1910</v>
      </c>
      <c r="B896">
        <v>2022</v>
      </c>
      <c r="C896">
        <v>0.67879509032127427</v>
      </c>
      <c r="D896">
        <v>1801</v>
      </c>
      <c r="E896">
        <v>0</v>
      </c>
      <c r="F896">
        <v>0</v>
      </c>
      <c r="G896">
        <v>100</v>
      </c>
      <c r="H896">
        <v>2.2967384493089999E-4</v>
      </c>
      <c r="I896">
        <v>12</v>
      </c>
      <c r="J896">
        <v>0</v>
      </c>
      <c r="K896">
        <v>0</v>
      </c>
      <c r="L896">
        <v>0</v>
      </c>
      <c r="M896">
        <v>0</v>
      </c>
      <c r="N896">
        <v>0.47011125275761378</v>
      </c>
      <c r="O896">
        <v>-0.31093132824867431</v>
      </c>
      <c r="P896">
        <v>380002100.73220432</v>
      </c>
      <c r="R896" t="s">
        <v>23</v>
      </c>
      <c r="S896" t="s">
        <v>24</v>
      </c>
      <c r="T896" t="s">
        <v>27</v>
      </c>
      <c r="U896">
        <v>1720</v>
      </c>
      <c r="V896">
        <v>540</v>
      </c>
      <c r="W896">
        <v>1180</v>
      </c>
    </row>
    <row r="897" spans="1:23" x14ac:dyDescent="0.3">
      <c r="A897" t="s">
        <v>1911</v>
      </c>
      <c r="B897">
        <v>2022</v>
      </c>
      <c r="C897">
        <v>2.331000138616611</v>
      </c>
      <c r="D897">
        <v>1623</v>
      </c>
      <c r="E897">
        <v>0</v>
      </c>
      <c r="F897">
        <v>0</v>
      </c>
      <c r="G897">
        <v>43</v>
      </c>
      <c r="H897">
        <v>1.372444327016E-3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0.48943174803095119</v>
      </c>
      <c r="O897">
        <v>-0.27858931197051578</v>
      </c>
      <c r="P897">
        <v>20024826.706904691</v>
      </c>
      <c r="R897" t="s">
        <v>23</v>
      </c>
      <c r="S897" t="s">
        <v>50</v>
      </c>
      <c r="T897" t="s">
        <v>51</v>
      </c>
      <c r="U897">
        <v>1552</v>
      </c>
      <c r="V897">
        <v>600</v>
      </c>
      <c r="W897">
        <v>952</v>
      </c>
    </row>
    <row r="898" spans="1:23" x14ac:dyDescent="0.3">
      <c r="A898" t="s">
        <v>1912</v>
      </c>
      <c r="B898">
        <v>2022</v>
      </c>
      <c r="C898">
        <v>2.1431513008996301</v>
      </c>
      <c r="D898">
        <v>2628</v>
      </c>
      <c r="E898">
        <v>0</v>
      </c>
      <c r="F898">
        <v>0</v>
      </c>
      <c r="G898">
        <v>114</v>
      </c>
      <c r="H898">
        <v>4.6477459872370001E-4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0.51327135513644229</v>
      </c>
      <c r="O898">
        <v>-0.3512959480920233</v>
      </c>
      <c r="P898">
        <v>37890839.594574757</v>
      </c>
      <c r="R898" t="s">
        <v>23</v>
      </c>
      <c r="S898" t="s">
        <v>50</v>
      </c>
      <c r="T898" t="s">
        <v>53</v>
      </c>
      <c r="U898">
        <v>2511</v>
      </c>
      <c r="V898">
        <v>720</v>
      </c>
      <c r="W898">
        <v>1791</v>
      </c>
    </row>
    <row r="899" spans="1:23" x14ac:dyDescent="0.3">
      <c r="A899" t="s">
        <v>1913</v>
      </c>
      <c r="B899">
        <v>2022</v>
      </c>
      <c r="C899">
        <v>1.196282050214718</v>
      </c>
      <c r="D899">
        <v>1375</v>
      </c>
      <c r="E899">
        <v>0</v>
      </c>
      <c r="F899">
        <v>0</v>
      </c>
      <c r="G899">
        <v>72</v>
      </c>
      <c r="H899">
        <v>5.4614423520669996E-4</v>
      </c>
      <c r="I899">
        <v>18</v>
      </c>
      <c r="J899">
        <v>0</v>
      </c>
      <c r="K899">
        <v>0</v>
      </c>
      <c r="L899">
        <v>0</v>
      </c>
      <c r="M899">
        <v>0</v>
      </c>
      <c r="N899">
        <v>0.55851367610886893</v>
      </c>
      <c r="O899">
        <v>-0.3368149700568952</v>
      </c>
      <c r="P899">
        <v>38819228.484779269</v>
      </c>
      <c r="R899" t="s">
        <v>23</v>
      </c>
      <c r="S899" t="s">
        <v>63</v>
      </c>
      <c r="T899" t="s">
        <v>69</v>
      </c>
      <c r="U899">
        <v>1315</v>
      </c>
      <c r="V899">
        <v>710</v>
      </c>
      <c r="W899">
        <v>605</v>
      </c>
    </row>
    <row r="900" spans="1:23" x14ac:dyDescent="0.3">
      <c r="A900" t="s">
        <v>1914</v>
      </c>
      <c r="B900">
        <v>2022</v>
      </c>
      <c r="C900">
        <v>0.79634765929847839</v>
      </c>
      <c r="D900">
        <v>2786</v>
      </c>
      <c r="E900">
        <v>0</v>
      </c>
      <c r="F900">
        <v>0</v>
      </c>
      <c r="G900">
        <v>112</v>
      </c>
      <c r="H900">
        <v>3.0152162448509999E-4</v>
      </c>
      <c r="I900">
        <v>4</v>
      </c>
      <c r="J900">
        <v>0</v>
      </c>
      <c r="K900">
        <v>0</v>
      </c>
      <c r="L900">
        <v>0</v>
      </c>
      <c r="M900">
        <v>1</v>
      </c>
      <c r="N900">
        <v>0.39100774954216921</v>
      </c>
      <c r="O900">
        <v>-0.16375067421183831</v>
      </c>
      <c r="P900">
        <v>197973639.02855709</v>
      </c>
      <c r="R900" t="s">
        <v>23</v>
      </c>
      <c r="S900" t="s">
        <v>75</v>
      </c>
      <c r="T900" t="s">
        <v>77</v>
      </c>
      <c r="U900">
        <v>2646</v>
      </c>
      <c r="V900">
        <v>914</v>
      </c>
      <c r="W900">
        <v>1732</v>
      </c>
    </row>
    <row r="901" spans="1:23" x14ac:dyDescent="0.3">
      <c r="A901" t="s">
        <v>1915</v>
      </c>
      <c r="B901">
        <v>2022</v>
      </c>
      <c r="C901">
        <v>3.3895745065995331</v>
      </c>
      <c r="D901">
        <v>1105</v>
      </c>
      <c r="E901">
        <v>0</v>
      </c>
      <c r="F901">
        <v>0</v>
      </c>
      <c r="G901">
        <v>39</v>
      </c>
      <c r="H901">
        <v>2.3138800597544999E-3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0.5120888513882238</v>
      </c>
      <c r="O901">
        <v>-0.32772453684687491</v>
      </c>
      <c r="P901">
        <v>16458595.445361581</v>
      </c>
      <c r="R901" t="s">
        <v>23</v>
      </c>
      <c r="S901" t="s">
        <v>80</v>
      </c>
      <c r="T901" t="s">
        <v>82</v>
      </c>
      <c r="U901">
        <v>1058</v>
      </c>
      <c r="V901">
        <v>386</v>
      </c>
      <c r="W901">
        <v>672</v>
      </c>
    </row>
    <row r="902" spans="1:23" x14ac:dyDescent="0.3">
      <c r="A902" t="s">
        <v>1916</v>
      </c>
      <c r="B902">
        <v>2022</v>
      </c>
      <c r="C902">
        <v>1.1164821647682011</v>
      </c>
      <c r="D902">
        <v>3586</v>
      </c>
      <c r="E902">
        <v>0</v>
      </c>
      <c r="F902">
        <v>0</v>
      </c>
      <c r="G902">
        <v>127</v>
      </c>
      <c r="H902">
        <v>5.2424531830840004E-4</v>
      </c>
      <c r="I902">
        <v>10</v>
      </c>
      <c r="J902">
        <v>0</v>
      </c>
      <c r="K902">
        <v>0</v>
      </c>
      <c r="L902">
        <v>0</v>
      </c>
      <c r="M902">
        <v>0</v>
      </c>
      <c r="N902">
        <v>0.52426724344555109</v>
      </c>
      <c r="O902">
        <v>-0.3490405769995979</v>
      </c>
      <c r="P902">
        <v>79229823.918953538</v>
      </c>
      <c r="R902" t="s">
        <v>23</v>
      </c>
      <c r="S902" t="s">
        <v>80</v>
      </c>
      <c r="T902" t="s">
        <v>83</v>
      </c>
      <c r="U902">
        <v>3428</v>
      </c>
      <c r="V902">
        <v>825</v>
      </c>
      <c r="W902">
        <v>2603</v>
      </c>
    </row>
    <row r="903" spans="1:23" x14ac:dyDescent="0.3">
      <c r="A903" t="s">
        <v>1917</v>
      </c>
      <c r="B903">
        <v>2022</v>
      </c>
      <c r="C903">
        <v>1.2512707379923711</v>
      </c>
      <c r="D903">
        <v>2158</v>
      </c>
      <c r="E903">
        <v>0</v>
      </c>
      <c r="F903">
        <v>0</v>
      </c>
      <c r="G903">
        <v>114</v>
      </c>
      <c r="H903">
        <v>7.1940236627329995E-4</v>
      </c>
      <c r="I903">
        <v>9</v>
      </c>
      <c r="J903">
        <v>0</v>
      </c>
      <c r="K903">
        <v>0</v>
      </c>
      <c r="L903">
        <v>0</v>
      </c>
      <c r="M903">
        <v>0</v>
      </c>
      <c r="N903">
        <v>0.58516496332480061</v>
      </c>
      <c r="O903">
        <v>-0.3871661264169543</v>
      </c>
      <c r="P903">
        <v>42986860.922375113</v>
      </c>
      <c r="R903" t="s">
        <v>23</v>
      </c>
      <c r="S903" t="s">
        <v>80</v>
      </c>
      <c r="T903" t="s">
        <v>85</v>
      </c>
      <c r="U903">
        <v>2065</v>
      </c>
      <c r="V903">
        <v>727</v>
      </c>
      <c r="W903">
        <v>1338</v>
      </c>
    </row>
    <row r="904" spans="1:23" x14ac:dyDescent="0.3">
      <c r="A904" t="s">
        <v>1918</v>
      </c>
      <c r="B904">
        <v>2022</v>
      </c>
      <c r="C904">
        <v>1.6496209290331261</v>
      </c>
      <c r="D904">
        <v>1210</v>
      </c>
      <c r="E904">
        <v>0</v>
      </c>
      <c r="F904">
        <v>0</v>
      </c>
      <c r="G904">
        <v>35</v>
      </c>
      <c r="H904">
        <v>3.2498144396076001E-3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0.50396516377988476</v>
      </c>
      <c r="O904">
        <v>-0.30214941524510619</v>
      </c>
      <c r="P904">
        <v>30656831.914547201</v>
      </c>
      <c r="R904" t="s">
        <v>23</v>
      </c>
      <c r="S904" t="s">
        <v>89</v>
      </c>
      <c r="T904" t="s">
        <v>90</v>
      </c>
      <c r="U904">
        <v>1158</v>
      </c>
      <c r="V904">
        <v>733</v>
      </c>
      <c r="W904">
        <v>425</v>
      </c>
    </row>
    <row r="905" spans="1:23" x14ac:dyDescent="0.3">
      <c r="A905" t="s">
        <v>1919</v>
      </c>
      <c r="B905">
        <v>2022</v>
      </c>
      <c r="C905">
        <v>2.210971806104165</v>
      </c>
      <c r="D905">
        <v>1066</v>
      </c>
      <c r="E905">
        <v>0</v>
      </c>
      <c r="F905">
        <v>0</v>
      </c>
      <c r="G905">
        <v>35</v>
      </c>
      <c r="H905">
        <v>2.8464883122043001E-3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0.41979015848699508</v>
      </c>
      <c r="O905">
        <v>-0.23683688149440171</v>
      </c>
      <c r="P905">
        <v>14010563.931088479</v>
      </c>
      <c r="R905" t="s">
        <v>23</v>
      </c>
      <c r="S905" t="s">
        <v>89</v>
      </c>
      <c r="T905" t="s">
        <v>93</v>
      </c>
      <c r="U905">
        <v>1020</v>
      </c>
      <c r="V905">
        <v>570</v>
      </c>
      <c r="W905">
        <v>450</v>
      </c>
    </row>
    <row r="906" spans="1:23" x14ac:dyDescent="0.3">
      <c r="A906" t="s">
        <v>1920</v>
      </c>
      <c r="B906">
        <v>2022</v>
      </c>
      <c r="C906">
        <v>3.4428777207105261</v>
      </c>
      <c r="D906">
        <v>1135</v>
      </c>
      <c r="E906">
        <v>0</v>
      </c>
      <c r="F906">
        <v>0</v>
      </c>
      <c r="G906">
        <v>59</v>
      </c>
      <c r="H906">
        <v>1.5549896038849001E-3</v>
      </c>
      <c r="I906">
        <v>9</v>
      </c>
      <c r="J906">
        <v>0</v>
      </c>
      <c r="K906">
        <v>0</v>
      </c>
      <c r="L906">
        <v>0</v>
      </c>
      <c r="M906">
        <v>0</v>
      </c>
      <c r="N906">
        <v>0.57499949319596888</v>
      </c>
      <c r="O906">
        <v>-0.3379534589400906</v>
      </c>
      <c r="P906">
        <v>17713102.856892992</v>
      </c>
      <c r="R906" t="s">
        <v>23</v>
      </c>
      <c r="S906" t="s">
        <v>94</v>
      </c>
      <c r="T906" t="s">
        <v>94</v>
      </c>
      <c r="U906">
        <v>1085</v>
      </c>
      <c r="V906">
        <v>895</v>
      </c>
      <c r="W906">
        <v>190</v>
      </c>
    </row>
    <row r="907" spans="1:23" x14ac:dyDescent="0.3">
      <c r="A907" t="s">
        <v>1921</v>
      </c>
      <c r="B907">
        <v>2022</v>
      </c>
      <c r="C907">
        <v>1.1142107597827779</v>
      </c>
      <c r="D907">
        <v>1770</v>
      </c>
      <c r="E907">
        <v>0</v>
      </c>
      <c r="F907">
        <v>0</v>
      </c>
      <c r="G907">
        <v>68</v>
      </c>
      <c r="H907">
        <v>4.8777471436769999E-4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0.4997845626250324</v>
      </c>
      <c r="O907">
        <v>-0.25515077069219361</v>
      </c>
      <c r="P907">
        <v>121604394.17264</v>
      </c>
      <c r="R907" t="s">
        <v>23</v>
      </c>
      <c r="S907" t="s">
        <v>94</v>
      </c>
      <c r="T907" t="s">
        <v>95</v>
      </c>
      <c r="U907">
        <v>1691</v>
      </c>
      <c r="V907">
        <v>1170</v>
      </c>
      <c r="W907">
        <v>521</v>
      </c>
    </row>
    <row r="908" spans="1:23" x14ac:dyDescent="0.3">
      <c r="A908" t="s">
        <v>1922</v>
      </c>
      <c r="B908">
        <v>2022</v>
      </c>
      <c r="C908">
        <v>1.902208075904237</v>
      </c>
      <c r="D908">
        <v>2121</v>
      </c>
      <c r="E908">
        <v>0</v>
      </c>
      <c r="F908">
        <v>0</v>
      </c>
      <c r="G908">
        <v>73</v>
      </c>
      <c r="H908">
        <v>7.4926070287030001E-4</v>
      </c>
      <c r="I908">
        <v>4</v>
      </c>
      <c r="J908">
        <v>0</v>
      </c>
      <c r="K908">
        <v>0</v>
      </c>
      <c r="L908">
        <v>0</v>
      </c>
      <c r="M908">
        <v>1</v>
      </c>
      <c r="N908">
        <v>0.50417702625830874</v>
      </c>
      <c r="O908">
        <v>-0.22997739191433639</v>
      </c>
      <c r="P908">
        <v>65398488.14263054</v>
      </c>
      <c r="R908" t="s">
        <v>23</v>
      </c>
      <c r="S908" t="s">
        <v>96</v>
      </c>
      <c r="T908" t="s">
        <v>96</v>
      </c>
      <c r="U908">
        <v>2026</v>
      </c>
      <c r="V908">
        <v>1548</v>
      </c>
      <c r="W908">
        <v>478</v>
      </c>
    </row>
    <row r="909" spans="1:23" x14ac:dyDescent="0.3">
      <c r="A909" t="s">
        <v>1923</v>
      </c>
      <c r="B909">
        <v>2022</v>
      </c>
      <c r="C909">
        <v>1.691445833603074</v>
      </c>
      <c r="D909">
        <v>1770</v>
      </c>
      <c r="E909">
        <v>0</v>
      </c>
      <c r="F909">
        <v>0</v>
      </c>
      <c r="G909">
        <v>88</v>
      </c>
      <c r="H909">
        <v>7.428661056184E-4</v>
      </c>
      <c r="I909">
        <v>1</v>
      </c>
      <c r="J909">
        <v>0</v>
      </c>
      <c r="K909">
        <v>0</v>
      </c>
      <c r="L909">
        <v>0</v>
      </c>
      <c r="M909">
        <v>1</v>
      </c>
      <c r="N909">
        <v>0.49800087782233599</v>
      </c>
      <c r="O909">
        <v>-0.2367077704945435</v>
      </c>
      <c r="P909">
        <v>70129985.711157143</v>
      </c>
      <c r="R909" t="s">
        <v>23</v>
      </c>
      <c r="S909" t="s">
        <v>96</v>
      </c>
      <c r="T909" t="s">
        <v>98</v>
      </c>
      <c r="U909">
        <v>1690</v>
      </c>
      <c r="V909">
        <v>1336</v>
      </c>
      <c r="W909">
        <v>354</v>
      </c>
    </row>
    <row r="910" spans="1:23" x14ac:dyDescent="0.3">
      <c r="A910" t="s">
        <v>1924</v>
      </c>
      <c r="B910">
        <v>2022</v>
      </c>
      <c r="C910">
        <v>0.75574304503746836</v>
      </c>
      <c r="D910">
        <v>1948</v>
      </c>
      <c r="E910">
        <v>0</v>
      </c>
      <c r="F910">
        <v>0</v>
      </c>
      <c r="G910">
        <v>68</v>
      </c>
      <c r="H910">
        <v>1.6474430472839999E-4</v>
      </c>
      <c r="I910">
        <v>2</v>
      </c>
      <c r="J910">
        <v>0</v>
      </c>
      <c r="K910">
        <v>0</v>
      </c>
      <c r="L910">
        <v>0</v>
      </c>
      <c r="M910">
        <v>11</v>
      </c>
      <c r="N910">
        <v>0.37840218603464948</v>
      </c>
      <c r="O910">
        <v>-0.18784092247775</v>
      </c>
      <c r="P910">
        <v>117759129.1017286</v>
      </c>
      <c r="R910" t="s">
        <v>101</v>
      </c>
      <c r="S910" t="s">
        <v>102</v>
      </c>
      <c r="T910" t="s">
        <v>103</v>
      </c>
      <c r="U910">
        <v>1859</v>
      </c>
      <c r="V910">
        <v>240</v>
      </c>
      <c r="W910">
        <v>1619</v>
      </c>
    </row>
    <row r="911" spans="1:23" x14ac:dyDescent="0.3">
      <c r="A911" t="s">
        <v>1925</v>
      </c>
      <c r="B911">
        <v>2022</v>
      </c>
      <c r="C911">
        <v>0.8764552350516388</v>
      </c>
      <c r="D911">
        <v>3339</v>
      </c>
      <c r="E911">
        <v>0</v>
      </c>
      <c r="F911">
        <v>0</v>
      </c>
      <c r="G911">
        <v>106</v>
      </c>
      <c r="H911">
        <v>2.506891748586E-4</v>
      </c>
      <c r="I911">
        <v>17</v>
      </c>
      <c r="J911">
        <v>0</v>
      </c>
      <c r="K911">
        <v>0</v>
      </c>
      <c r="L911">
        <v>0</v>
      </c>
      <c r="M911">
        <v>1</v>
      </c>
      <c r="N911">
        <v>0.39553964174088069</v>
      </c>
      <c r="O911">
        <v>-0.2137323668005405</v>
      </c>
      <c r="P911">
        <v>217778200.36489359</v>
      </c>
      <c r="R911" t="s">
        <v>128</v>
      </c>
      <c r="S911" t="s">
        <v>128</v>
      </c>
      <c r="T911" t="s">
        <v>142</v>
      </c>
      <c r="U911">
        <v>3191</v>
      </c>
      <c r="V911">
        <v>871</v>
      </c>
      <c r="W911">
        <v>2320</v>
      </c>
    </row>
    <row r="912" spans="1:23" x14ac:dyDescent="0.3">
      <c r="A912" t="s">
        <v>1926</v>
      </c>
      <c r="B912">
        <v>2022</v>
      </c>
      <c r="C912">
        <v>0.78781994349914941</v>
      </c>
      <c r="D912">
        <v>1422</v>
      </c>
      <c r="E912">
        <v>0</v>
      </c>
      <c r="F912">
        <v>0</v>
      </c>
      <c r="G912">
        <v>43</v>
      </c>
      <c r="H912">
        <v>8.9313374210170003E-4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0.26736674887753192</v>
      </c>
      <c r="O912">
        <v>-0.126051354513216</v>
      </c>
      <c r="P912">
        <v>68036862.187057689</v>
      </c>
      <c r="R912" t="s">
        <v>128</v>
      </c>
      <c r="S912" t="s">
        <v>128</v>
      </c>
      <c r="T912" t="s">
        <v>151</v>
      </c>
      <c r="U912">
        <v>1356</v>
      </c>
      <c r="V912">
        <v>581</v>
      </c>
      <c r="W912">
        <v>775</v>
      </c>
    </row>
    <row r="913" spans="1:23" x14ac:dyDescent="0.3">
      <c r="A913" t="s">
        <v>1927</v>
      </c>
      <c r="B913">
        <v>2022</v>
      </c>
      <c r="C913">
        <v>1.613393549207605</v>
      </c>
      <c r="D913">
        <v>11380</v>
      </c>
      <c r="E913">
        <v>0</v>
      </c>
      <c r="F913">
        <v>0</v>
      </c>
      <c r="G913">
        <v>282</v>
      </c>
      <c r="H913">
        <v>8.2584652248869996E-4</v>
      </c>
      <c r="I913">
        <v>4</v>
      </c>
      <c r="J913">
        <v>5.5555555555555497E-2</v>
      </c>
      <c r="K913">
        <v>1</v>
      </c>
      <c r="L913">
        <v>0</v>
      </c>
      <c r="M913">
        <v>0</v>
      </c>
      <c r="N913">
        <v>0.42475535256018421</v>
      </c>
      <c r="O913">
        <v>-0.31599571410940208</v>
      </c>
      <c r="P913">
        <v>151420475.41930261</v>
      </c>
      <c r="R913" t="s">
        <v>128</v>
      </c>
      <c r="S913" t="s">
        <v>153</v>
      </c>
      <c r="T913" t="s">
        <v>155</v>
      </c>
      <c r="U913">
        <v>10864</v>
      </c>
      <c r="V913">
        <v>3942</v>
      </c>
      <c r="W913">
        <v>6922</v>
      </c>
    </row>
    <row r="914" spans="1:23" x14ac:dyDescent="0.3">
      <c r="A914" t="s">
        <v>1928</v>
      </c>
      <c r="B914">
        <v>2022</v>
      </c>
      <c r="C914">
        <v>0.97937460475310656</v>
      </c>
      <c r="D914">
        <v>671</v>
      </c>
      <c r="E914">
        <v>0</v>
      </c>
      <c r="F914">
        <v>0</v>
      </c>
      <c r="G914">
        <v>38</v>
      </c>
      <c r="H914">
        <v>1.4836697778108001E-3</v>
      </c>
      <c r="I914">
        <v>6</v>
      </c>
      <c r="J914">
        <v>0</v>
      </c>
      <c r="K914">
        <v>0</v>
      </c>
      <c r="L914">
        <v>0</v>
      </c>
      <c r="M914">
        <v>1</v>
      </c>
      <c r="N914">
        <v>0.39949154178948321</v>
      </c>
      <c r="O914">
        <v>-0.27280771652771568</v>
      </c>
      <c r="P914">
        <v>39427389.115394592</v>
      </c>
      <c r="R914" t="s">
        <v>160</v>
      </c>
      <c r="S914" t="s">
        <v>185</v>
      </c>
      <c r="T914" t="s">
        <v>188</v>
      </c>
      <c r="U914">
        <v>641</v>
      </c>
      <c r="V914">
        <v>305</v>
      </c>
      <c r="W914">
        <v>336</v>
      </c>
    </row>
    <row r="915" spans="1:23" x14ac:dyDescent="0.3">
      <c r="A915" t="s">
        <v>1929</v>
      </c>
      <c r="B915">
        <v>2022</v>
      </c>
      <c r="C915">
        <v>1.7907285725864179</v>
      </c>
      <c r="D915">
        <v>3561</v>
      </c>
      <c r="E915">
        <v>0</v>
      </c>
      <c r="F915">
        <v>0</v>
      </c>
      <c r="G915">
        <v>147</v>
      </c>
      <c r="H915">
        <v>5.4166823922900003E-4</v>
      </c>
      <c r="I915">
        <v>2</v>
      </c>
      <c r="J915">
        <v>0</v>
      </c>
      <c r="K915">
        <v>0</v>
      </c>
      <c r="L915">
        <v>0</v>
      </c>
      <c r="M915">
        <v>1</v>
      </c>
      <c r="N915">
        <v>0.44259831734808841</v>
      </c>
      <c r="O915">
        <v>-0.29616846142093661</v>
      </c>
      <c r="P915">
        <v>112034428.8035332</v>
      </c>
      <c r="R915" t="s">
        <v>160</v>
      </c>
      <c r="S915" t="s">
        <v>185</v>
      </c>
      <c r="T915" t="s">
        <v>190</v>
      </c>
      <c r="U915">
        <v>3386</v>
      </c>
      <c r="V915">
        <v>2006</v>
      </c>
      <c r="W915">
        <v>1380</v>
      </c>
    </row>
    <row r="916" spans="1:23" x14ac:dyDescent="0.3">
      <c r="A916" t="s">
        <v>1930</v>
      </c>
      <c r="B916">
        <v>2022</v>
      </c>
      <c r="C916">
        <v>1.6450034122128629</v>
      </c>
      <c r="D916">
        <v>974</v>
      </c>
      <c r="E916">
        <v>0</v>
      </c>
      <c r="F916">
        <v>0</v>
      </c>
      <c r="G916">
        <v>44</v>
      </c>
      <c r="H916">
        <v>1.2345417999996E-3</v>
      </c>
      <c r="I916">
        <v>4</v>
      </c>
      <c r="J916">
        <v>0</v>
      </c>
      <c r="K916">
        <v>0</v>
      </c>
      <c r="L916">
        <v>0</v>
      </c>
      <c r="M916">
        <v>3</v>
      </c>
      <c r="N916">
        <v>0.4740577739981362</v>
      </c>
      <c r="O916">
        <v>-0.2496101933592875</v>
      </c>
      <c r="P916">
        <v>18618360.87754301</v>
      </c>
      <c r="R916" t="s">
        <v>160</v>
      </c>
      <c r="S916" t="s">
        <v>185</v>
      </c>
      <c r="T916" t="s">
        <v>191</v>
      </c>
      <c r="U916">
        <v>929</v>
      </c>
      <c r="V916">
        <v>366</v>
      </c>
      <c r="W916">
        <v>563</v>
      </c>
    </row>
    <row r="917" spans="1:23" x14ac:dyDescent="0.3">
      <c r="A917" t="s">
        <v>1931</v>
      </c>
      <c r="B917">
        <v>2022</v>
      </c>
      <c r="C917">
        <v>1.616261806335848</v>
      </c>
      <c r="D917">
        <v>1552</v>
      </c>
      <c r="E917">
        <v>0</v>
      </c>
      <c r="F917">
        <v>0</v>
      </c>
      <c r="G917">
        <v>54</v>
      </c>
      <c r="H917">
        <v>2.1692860060627999E-3</v>
      </c>
      <c r="I917">
        <v>4</v>
      </c>
      <c r="J917">
        <v>0</v>
      </c>
      <c r="K917">
        <v>0</v>
      </c>
      <c r="L917">
        <v>0</v>
      </c>
      <c r="M917">
        <v>2</v>
      </c>
      <c r="N917">
        <v>0.4184620343080831</v>
      </c>
      <c r="O917">
        <v>-0.24189248723624429</v>
      </c>
      <c r="P917">
        <v>33210375.741317101</v>
      </c>
      <c r="R917" t="s">
        <v>160</v>
      </c>
      <c r="S917" t="s">
        <v>192</v>
      </c>
      <c r="T917" t="s">
        <v>194</v>
      </c>
      <c r="U917">
        <v>1482</v>
      </c>
      <c r="V917">
        <v>809</v>
      </c>
      <c r="W917">
        <v>673</v>
      </c>
    </row>
    <row r="918" spans="1:23" x14ac:dyDescent="0.3">
      <c r="A918" t="s">
        <v>1932</v>
      </c>
      <c r="B918">
        <v>2022</v>
      </c>
      <c r="C918">
        <v>0.61712242153411145</v>
      </c>
      <c r="D918">
        <v>1847</v>
      </c>
      <c r="E918">
        <v>0</v>
      </c>
      <c r="F918">
        <v>0</v>
      </c>
      <c r="G918">
        <v>29</v>
      </c>
      <c r="H918">
        <v>3.4934497816590003E-4</v>
      </c>
      <c r="I918">
        <v>3</v>
      </c>
      <c r="J918">
        <v>0</v>
      </c>
      <c r="K918">
        <v>0</v>
      </c>
      <c r="L918">
        <v>0</v>
      </c>
      <c r="M918">
        <v>8</v>
      </c>
      <c r="N918">
        <v>0.415616732665408</v>
      </c>
      <c r="O918">
        <v>-0.18885819391713299</v>
      </c>
      <c r="P918">
        <v>117963625.61211181</v>
      </c>
      <c r="R918" t="s">
        <v>195</v>
      </c>
      <c r="S918" t="s">
        <v>210</v>
      </c>
      <c r="T918" t="s">
        <v>214</v>
      </c>
      <c r="U918">
        <v>1762</v>
      </c>
      <c r="V918">
        <v>39</v>
      </c>
      <c r="W918">
        <v>1723</v>
      </c>
    </row>
    <row r="919" spans="1:23" x14ac:dyDescent="0.3">
      <c r="A919" t="s">
        <v>1933</v>
      </c>
      <c r="B919">
        <v>2022</v>
      </c>
      <c r="C919">
        <v>1.3908473066818461</v>
      </c>
      <c r="D919">
        <v>615</v>
      </c>
      <c r="E919">
        <v>0</v>
      </c>
      <c r="F919">
        <v>0</v>
      </c>
      <c r="G919">
        <v>38</v>
      </c>
      <c r="H919">
        <v>2.1344235589819999E-3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0.47269114081062369</v>
      </c>
      <c r="O919">
        <v>-0.36471230647965069</v>
      </c>
      <c r="P919">
        <v>20635779.295242049</v>
      </c>
      <c r="R919" t="s">
        <v>236</v>
      </c>
      <c r="S919" t="s">
        <v>248</v>
      </c>
      <c r="T919" t="s">
        <v>254</v>
      </c>
      <c r="U919">
        <v>588</v>
      </c>
      <c r="V919">
        <v>123</v>
      </c>
      <c r="W919">
        <v>465</v>
      </c>
    </row>
    <row r="920" spans="1:23" x14ac:dyDescent="0.3">
      <c r="A920" t="s">
        <v>1934</v>
      </c>
      <c r="B920">
        <v>2022</v>
      </c>
      <c r="C920">
        <v>1.31108893252881</v>
      </c>
      <c r="D920">
        <v>659</v>
      </c>
      <c r="E920">
        <v>0</v>
      </c>
      <c r="F920">
        <v>0</v>
      </c>
      <c r="G920">
        <v>54</v>
      </c>
      <c r="H920">
        <v>1.8992843767794E-3</v>
      </c>
      <c r="I920">
        <v>3</v>
      </c>
      <c r="J920">
        <v>0</v>
      </c>
      <c r="K920">
        <v>0</v>
      </c>
      <c r="L920">
        <v>0</v>
      </c>
      <c r="M920">
        <v>1</v>
      </c>
      <c r="N920">
        <v>0.47254453712073707</v>
      </c>
      <c r="O920">
        <v>-0.36574042784238608</v>
      </c>
      <c r="P920">
        <v>20844794.42192452</v>
      </c>
      <c r="R920" t="s">
        <v>236</v>
      </c>
      <c r="S920" t="s">
        <v>248</v>
      </c>
      <c r="T920" t="s">
        <v>255</v>
      </c>
      <c r="U920">
        <v>630</v>
      </c>
      <c r="V920">
        <v>265</v>
      </c>
      <c r="W920">
        <v>365</v>
      </c>
    </row>
    <row r="921" spans="1:23" x14ac:dyDescent="0.3">
      <c r="A921" t="s">
        <v>1935</v>
      </c>
      <c r="B921">
        <v>2022</v>
      </c>
      <c r="C921">
        <v>1.0897557558764841</v>
      </c>
      <c r="D921">
        <v>3575</v>
      </c>
      <c r="E921">
        <v>0</v>
      </c>
      <c r="F921">
        <v>0</v>
      </c>
      <c r="G921">
        <v>136</v>
      </c>
      <c r="H921">
        <v>1.9864836578550001E-4</v>
      </c>
      <c r="I921">
        <v>13</v>
      </c>
      <c r="J921">
        <v>0</v>
      </c>
      <c r="K921">
        <v>0</v>
      </c>
      <c r="L921">
        <v>0</v>
      </c>
      <c r="M921">
        <v>1</v>
      </c>
      <c r="N921">
        <v>0.44683957942289559</v>
      </c>
      <c r="O921">
        <v>-0.29178478163496568</v>
      </c>
      <c r="P921">
        <v>142032173.86255279</v>
      </c>
      <c r="R921" t="s">
        <v>236</v>
      </c>
      <c r="S921" t="s">
        <v>248</v>
      </c>
      <c r="T921" t="s">
        <v>256</v>
      </c>
      <c r="U921">
        <v>3383</v>
      </c>
      <c r="V921">
        <v>604</v>
      </c>
      <c r="W921">
        <v>2779</v>
      </c>
    </row>
    <row r="922" spans="1:23" x14ac:dyDescent="0.3">
      <c r="A922" t="s">
        <v>1936</v>
      </c>
      <c r="B922">
        <v>2022</v>
      </c>
      <c r="C922">
        <v>1.541713863812177</v>
      </c>
      <c r="D922">
        <v>716</v>
      </c>
      <c r="E922">
        <v>0</v>
      </c>
      <c r="F922">
        <v>0</v>
      </c>
      <c r="G922">
        <v>46</v>
      </c>
      <c r="H922">
        <v>7.0274068868579999E-4</v>
      </c>
      <c r="I922">
        <v>3</v>
      </c>
      <c r="J922">
        <v>0</v>
      </c>
      <c r="K922">
        <v>0</v>
      </c>
      <c r="L922">
        <v>0</v>
      </c>
      <c r="M922">
        <v>0</v>
      </c>
      <c r="N922">
        <v>0.4967829629702209</v>
      </c>
      <c r="O922">
        <v>-0.36998176064286059</v>
      </c>
      <c r="P922">
        <v>25276717.458457969</v>
      </c>
      <c r="R922" t="s">
        <v>236</v>
      </c>
      <c r="S922" t="s">
        <v>265</v>
      </c>
      <c r="T922" t="s">
        <v>266</v>
      </c>
      <c r="U922">
        <v>684</v>
      </c>
      <c r="V922">
        <v>201</v>
      </c>
      <c r="W922">
        <v>483</v>
      </c>
    </row>
    <row r="923" spans="1:23" x14ac:dyDescent="0.3">
      <c r="A923" t="s">
        <v>1937</v>
      </c>
      <c r="B923">
        <v>2022</v>
      </c>
      <c r="C923">
        <v>0.93772937331128037</v>
      </c>
      <c r="D923">
        <v>758</v>
      </c>
      <c r="E923">
        <v>0</v>
      </c>
      <c r="F923">
        <v>0</v>
      </c>
      <c r="G923">
        <v>45</v>
      </c>
      <c r="H923">
        <v>1.2209957832966E-3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0.55054491856159726</v>
      </c>
      <c r="O923">
        <v>-0.35442023197921069</v>
      </c>
      <c r="P923">
        <v>28853602.734274291</v>
      </c>
      <c r="R923" t="s">
        <v>236</v>
      </c>
      <c r="S923" t="s">
        <v>265</v>
      </c>
      <c r="T923" t="s">
        <v>267</v>
      </c>
      <c r="U923">
        <v>724</v>
      </c>
      <c r="V923">
        <v>94</v>
      </c>
      <c r="W923">
        <v>630</v>
      </c>
    </row>
    <row r="924" spans="1:23" x14ac:dyDescent="0.3">
      <c r="A924" t="s">
        <v>1938</v>
      </c>
      <c r="B924">
        <v>2022</v>
      </c>
      <c r="C924">
        <v>1.0700512206572901</v>
      </c>
      <c r="D924">
        <v>1376</v>
      </c>
      <c r="E924">
        <v>0</v>
      </c>
      <c r="F924">
        <v>0</v>
      </c>
      <c r="G924">
        <v>71</v>
      </c>
      <c r="H924">
        <v>4.2060854970610002E-4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0.53737158507281468</v>
      </c>
      <c r="O924">
        <v>-0.34800607765619151</v>
      </c>
      <c r="P924">
        <v>66557209.259205602</v>
      </c>
      <c r="R924" t="s">
        <v>236</v>
      </c>
      <c r="S924" t="s">
        <v>265</v>
      </c>
      <c r="T924" t="s">
        <v>269</v>
      </c>
      <c r="U924">
        <v>1312</v>
      </c>
      <c r="V924">
        <v>567</v>
      </c>
      <c r="W924">
        <v>745</v>
      </c>
    </row>
    <row r="925" spans="1:23" x14ac:dyDescent="0.3">
      <c r="A925" t="s">
        <v>1939</v>
      </c>
      <c r="B925">
        <v>2022</v>
      </c>
      <c r="C925">
        <v>2.1385475952699999</v>
      </c>
      <c r="D925">
        <v>690</v>
      </c>
      <c r="E925">
        <v>0</v>
      </c>
      <c r="F925">
        <v>0</v>
      </c>
      <c r="G925">
        <v>23</v>
      </c>
      <c r="H925">
        <v>4.8869189680644997E-3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0.34496960685093708</v>
      </c>
      <c r="O925">
        <v>-0.22149278521214599</v>
      </c>
      <c r="P925">
        <v>10184544.229289589</v>
      </c>
      <c r="R925" t="s">
        <v>236</v>
      </c>
      <c r="S925" t="s">
        <v>273</v>
      </c>
      <c r="T925" t="s">
        <v>276</v>
      </c>
      <c r="U925">
        <v>659</v>
      </c>
      <c r="V925">
        <v>434</v>
      </c>
      <c r="W925">
        <v>225</v>
      </c>
    </row>
    <row r="926" spans="1:23" x14ac:dyDescent="0.3">
      <c r="A926" t="s">
        <v>1940</v>
      </c>
      <c r="B926">
        <v>2022</v>
      </c>
      <c r="C926">
        <v>1.460403757957071</v>
      </c>
      <c r="D926">
        <v>913</v>
      </c>
      <c r="E926">
        <v>0</v>
      </c>
      <c r="F926">
        <v>0</v>
      </c>
      <c r="G926">
        <v>30</v>
      </c>
      <c r="H926">
        <v>4.6240811760944996E-3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0.30304957255397091</v>
      </c>
      <c r="O926">
        <v>-0.18688559775823679</v>
      </c>
      <c r="P926">
        <v>14529066.327125899</v>
      </c>
      <c r="R926" t="s">
        <v>236</v>
      </c>
      <c r="S926" t="s">
        <v>273</v>
      </c>
      <c r="T926" t="s">
        <v>279</v>
      </c>
      <c r="U926">
        <v>872</v>
      </c>
      <c r="V926">
        <v>233</v>
      </c>
      <c r="W926">
        <v>639</v>
      </c>
    </row>
    <row r="927" spans="1:23" x14ac:dyDescent="0.3">
      <c r="A927" t="s">
        <v>1941</v>
      </c>
      <c r="B927">
        <v>2022</v>
      </c>
      <c r="C927">
        <v>1.153980736674042</v>
      </c>
      <c r="D927">
        <v>1540</v>
      </c>
      <c r="E927">
        <v>0</v>
      </c>
      <c r="F927">
        <v>0</v>
      </c>
      <c r="G927">
        <v>22</v>
      </c>
      <c r="H927">
        <v>1.4194377932905001E-3</v>
      </c>
      <c r="I927">
        <v>4</v>
      </c>
      <c r="J927">
        <v>0</v>
      </c>
      <c r="K927">
        <v>0</v>
      </c>
      <c r="L927">
        <v>0</v>
      </c>
      <c r="M927">
        <v>0</v>
      </c>
      <c r="N927">
        <v>0.33204475266712008</v>
      </c>
      <c r="O927">
        <v>-0.18734777028494859</v>
      </c>
      <c r="P927">
        <v>29165410.919427998</v>
      </c>
      <c r="R927" t="s">
        <v>236</v>
      </c>
      <c r="S927" t="s">
        <v>273</v>
      </c>
      <c r="T927" t="s">
        <v>280</v>
      </c>
      <c r="U927">
        <v>1471</v>
      </c>
      <c r="V927">
        <v>260</v>
      </c>
      <c r="W927">
        <v>1211</v>
      </c>
    </row>
    <row r="928" spans="1:23" x14ac:dyDescent="0.3">
      <c r="A928" t="s">
        <v>1942</v>
      </c>
      <c r="B928">
        <v>2022</v>
      </c>
      <c r="C928">
        <v>0.73147741239589159</v>
      </c>
      <c r="D928">
        <v>822</v>
      </c>
      <c r="E928">
        <v>0</v>
      </c>
      <c r="F928">
        <v>0</v>
      </c>
      <c r="G928">
        <v>34</v>
      </c>
      <c r="H928">
        <v>4.1065713454424002E-3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0.39603095112898118</v>
      </c>
      <c r="O928">
        <v>-0.21629420528518481</v>
      </c>
      <c r="P928">
        <v>73937519.042771757</v>
      </c>
      <c r="R928" t="s">
        <v>236</v>
      </c>
      <c r="S928" t="s">
        <v>283</v>
      </c>
      <c r="T928" t="s">
        <v>285</v>
      </c>
      <c r="U928">
        <v>786</v>
      </c>
      <c r="V928">
        <v>294</v>
      </c>
      <c r="W928">
        <v>492</v>
      </c>
    </row>
    <row r="929" spans="1:23" x14ac:dyDescent="0.3">
      <c r="A929" t="s">
        <v>1943</v>
      </c>
      <c r="B929">
        <v>2022</v>
      </c>
      <c r="C929">
        <v>0.62547179802142006</v>
      </c>
      <c r="D929">
        <v>408</v>
      </c>
      <c r="E929">
        <v>0</v>
      </c>
      <c r="F929">
        <v>0</v>
      </c>
      <c r="G929">
        <v>16</v>
      </c>
      <c r="H929">
        <v>2.7210884353741E-3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0.27266636224995111</v>
      </c>
      <c r="O929">
        <v>-0.13813330996725581</v>
      </c>
      <c r="P929">
        <v>89194304.464892507</v>
      </c>
      <c r="R929" t="s">
        <v>236</v>
      </c>
      <c r="S929" t="s">
        <v>283</v>
      </c>
      <c r="T929" t="s">
        <v>288</v>
      </c>
      <c r="U929">
        <v>389</v>
      </c>
      <c r="V929">
        <v>87</v>
      </c>
      <c r="W929">
        <v>302</v>
      </c>
    </row>
    <row r="930" spans="1:23" x14ac:dyDescent="0.3">
      <c r="A930" t="s">
        <v>1944</v>
      </c>
      <c r="B930">
        <v>2022</v>
      </c>
      <c r="C930">
        <v>1.453420131411064</v>
      </c>
      <c r="D930">
        <v>2361</v>
      </c>
      <c r="E930">
        <v>0</v>
      </c>
      <c r="F930">
        <v>0</v>
      </c>
      <c r="G930">
        <v>177</v>
      </c>
      <c r="H930">
        <v>8.3093067223050001E-4</v>
      </c>
      <c r="I930">
        <v>5</v>
      </c>
      <c r="J930">
        <v>0</v>
      </c>
      <c r="K930">
        <v>0</v>
      </c>
      <c r="L930">
        <v>0</v>
      </c>
      <c r="M930">
        <v>1</v>
      </c>
      <c r="N930">
        <v>0.2930099572865103</v>
      </c>
      <c r="O930">
        <v>-4.7830364399231898E-2</v>
      </c>
      <c r="P930">
        <v>140647076.0288702</v>
      </c>
      <c r="R930" t="s">
        <v>291</v>
      </c>
      <c r="S930" t="s">
        <v>294</v>
      </c>
      <c r="T930" t="s">
        <v>298</v>
      </c>
      <c r="U930">
        <v>2243</v>
      </c>
      <c r="V930">
        <v>1079</v>
      </c>
      <c r="W930">
        <v>1164</v>
      </c>
    </row>
    <row r="931" spans="1:23" x14ac:dyDescent="0.3">
      <c r="A931" t="s">
        <v>1945</v>
      </c>
      <c r="B931">
        <v>2022</v>
      </c>
      <c r="C931">
        <v>1.8713572880034539</v>
      </c>
      <c r="D931">
        <v>2630</v>
      </c>
      <c r="E931">
        <v>0</v>
      </c>
      <c r="F931">
        <v>0</v>
      </c>
      <c r="G931">
        <v>73</v>
      </c>
      <c r="H931">
        <v>4.0452091210270002E-4</v>
      </c>
      <c r="I931">
        <v>2</v>
      </c>
      <c r="J931">
        <v>0</v>
      </c>
      <c r="K931">
        <v>0</v>
      </c>
      <c r="L931">
        <v>0</v>
      </c>
      <c r="M931">
        <v>2</v>
      </c>
      <c r="N931">
        <v>0.64917815773865561</v>
      </c>
      <c r="O931">
        <v>-0.3429101456376959</v>
      </c>
      <c r="P931">
        <v>49329009.940239184</v>
      </c>
      <c r="R931" t="s">
        <v>291</v>
      </c>
      <c r="S931" t="s">
        <v>299</v>
      </c>
      <c r="T931" t="s">
        <v>35</v>
      </c>
      <c r="U931">
        <v>2507</v>
      </c>
      <c r="V931">
        <v>1744</v>
      </c>
      <c r="W931">
        <v>763</v>
      </c>
    </row>
    <row r="932" spans="1:23" x14ac:dyDescent="0.3">
      <c r="A932" t="s">
        <v>1946</v>
      </c>
      <c r="B932">
        <v>2022</v>
      </c>
      <c r="C932">
        <v>0.96931784983522962</v>
      </c>
      <c r="D932">
        <v>1482</v>
      </c>
      <c r="E932">
        <v>0</v>
      </c>
      <c r="F932">
        <v>0</v>
      </c>
      <c r="G932">
        <v>66</v>
      </c>
      <c r="H932">
        <v>5.4524769213680003E-4</v>
      </c>
      <c r="I932">
        <v>19</v>
      </c>
      <c r="J932">
        <v>0</v>
      </c>
      <c r="K932">
        <v>0</v>
      </c>
      <c r="L932">
        <v>0</v>
      </c>
      <c r="M932">
        <v>0</v>
      </c>
      <c r="N932">
        <v>0.52888706491033344</v>
      </c>
      <c r="O932">
        <v>-0.27022932427620511</v>
      </c>
      <c r="P932">
        <v>100293053.3195058</v>
      </c>
      <c r="R932" t="s">
        <v>291</v>
      </c>
      <c r="S932" t="s">
        <v>299</v>
      </c>
      <c r="T932" t="s">
        <v>300</v>
      </c>
      <c r="U932">
        <v>1413</v>
      </c>
      <c r="V932">
        <v>794</v>
      </c>
      <c r="W932">
        <v>619</v>
      </c>
    </row>
    <row r="933" spans="1:23" x14ac:dyDescent="0.3">
      <c r="A933" t="s">
        <v>1947</v>
      </c>
      <c r="B933">
        <v>2022</v>
      </c>
      <c r="C933">
        <v>1.2709346134373321</v>
      </c>
      <c r="D933">
        <v>1033</v>
      </c>
      <c r="E933">
        <v>0</v>
      </c>
      <c r="F933">
        <v>0</v>
      </c>
      <c r="G933">
        <v>26</v>
      </c>
      <c r="H933">
        <v>1.5885068908032E-3</v>
      </c>
      <c r="I933">
        <v>1</v>
      </c>
      <c r="L933">
        <v>0</v>
      </c>
      <c r="M933">
        <v>0</v>
      </c>
      <c r="N933">
        <v>0.66002804755616762</v>
      </c>
      <c r="O933">
        <v>-0.3657725256742192</v>
      </c>
      <c r="P933">
        <v>30533261.747789301</v>
      </c>
      <c r="R933" t="s">
        <v>291</v>
      </c>
      <c r="S933" t="s">
        <v>299</v>
      </c>
      <c r="T933" t="s">
        <v>301</v>
      </c>
      <c r="U933">
        <v>985</v>
      </c>
      <c r="V933">
        <v>466</v>
      </c>
      <c r="W933">
        <v>519</v>
      </c>
    </row>
    <row r="934" spans="1:23" x14ac:dyDescent="0.3">
      <c r="A934" t="s">
        <v>1948</v>
      </c>
      <c r="B934">
        <v>2022</v>
      </c>
      <c r="C934">
        <v>4.3982720809145013</v>
      </c>
      <c r="D934">
        <v>457</v>
      </c>
      <c r="E934">
        <v>0</v>
      </c>
      <c r="F934">
        <v>0</v>
      </c>
      <c r="G934">
        <v>8</v>
      </c>
      <c r="H934">
        <v>2.2909507445589001E-3</v>
      </c>
      <c r="I934">
        <v>2</v>
      </c>
      <c r="L934">
        <v>0</v>
      </c>
      <c r="M934">
        <v>0</v>
      </c>
      <c r="N934">
        <v>0.54849380400058823</v>
      </c>
      <c r="O934">
        <v>-0.33517731678026991</v>
      </c>
      <c r="P934">
        <v>2817837.484634256</v>
      </c>
      <c r="R934" t="s">
        <v>291</v>
      </c>
      <c r="S934" t="s">
        <v>299</v>
      </c>
      <c r="T934" t="s">
        <v>302</v>
      </c>
      <c r="U934">
        <v>435</v>
      </c>
      <c r="V934">
        <v>297</v>
      </c>
      <c r="W934">
        <v>138</v>
      </c>
    </row>
    <row r="935" spans="1:23" x14ac:dyDescent="0.3">
      <c r="A935" t="s">
        <v>1949</v>
      </c>
      <c r="B935">
        <v>2022</v>
      </c>
      <c r="C935">
        <v>3.3631023582069579</v>
      </c>
      <c r="D935">
        <v>491</v>
      </c>
      <c r="E935">
        <v>0</v>
      </c>
      <c r="F935">
        <v>0</v>
      </c>
      <c r="G935">
        <v>11</v>
      </c>
      <c r="H935">
        <v>2.5031210986267002E-3</v>
      </c>
      <c r="I935">
        <v>1</v>
      </c>
      <c r="L935">
        <v>0</v>
      </c>
      <c r="M935">
        <v>0</v>
      </c>
      <c r="N935">
        <v>0.51846440449415321</v>
      </c>
      <c r="O935">
        <v>-0.38035632054982788</v>
      </c>
      <c r="P935">
        <v>2443030.8031301619</v>
      </c>
      <c r="R935" t="s">
        <v>291</v>
      </c>
      <c r="S935" t="s">
        <v>299</v>
      </c>
      <c r="T935" t="s">
        <v>303</v>
      </c>
      <c r="U935">
        <v>468</v>
      </c>
      <c r="V935">
        <v>248</v>
      </c>
      <c r="W935">
        <v>220</v>
      </c>
    </row>
    <row r="936" spans="1:23" x14ac:dyDescent="0.3">
      <c r="A936" t="s">
        <v>1950</v>
      </c>
      <c r="B936">
        <v>2022</v>
      </c>
      <c r="C936">
        <v>0.97542646532897637</v>
      </c>
      <c r="D936">
        <v>268</v>
      </c>
      <c r="E936">
        <v>0</v>
      </c>
      <c r="F936">
        <v>0</v>
      </c>
      <c r="G936">
        <v>17</v>
      </c>
      <c r="H936">
        <v>3.9215382949429004E-3</v>
      </c>
      <c r="I936">
        <v>4</v>
      </c>
      <c r="J936">
        <v>0</v>
      </c>
      <c r="K936">
        <v>0</v>
      </c>
      <c r="L936">
        <v>0</v>
      </c>
      <c r="M936">
        <v>1</v>
      </c>
      <c r="N936">
        <v>0.28221260007474541</v>
      </c>
      <c r="O936">
        <v>-0.13941885821291941</v>
      </c>
      <c r="P936">
        <v>18608313.96193051</v>
      </c>
      <c r="R936" t="s">
        <v>291</v>
      </c>
      <c r="S936" t="s">
        <v>314</v>
      </c>
      <c r="T936" t="s">
        <v>315</v>
      </c>
      <c r="U936">
        <v>256</v>
      </c>
      <c r="V936">
        <v>139</v>
      </c>
      <c r="W936">
        <v>117</v>
      </c>
    </row>
    <row r="937" spans="1:23" x14ac:dyDescent="0.3">
      <c r="A937" t="s">
        <v>1951</v>
      </c>
      <c r="B937">
        <v>2022</v>
      </c>
      <c r="C937">
        <v>1.2582735130012439</v>
      </c>
      <c r="D937">
        <v>5142</v>
      </c>
      <c r="E937">
        <v>0</v>
      </c>
      <c r="F937">
        <v>0</v>
      </c>
      <c r="G937">
        <v>216</v>
      </c>
      <c r="H937">
        <v>3.8608348862359998E-4</v>
      </c>
      <c r="I937">
        <v>18</v>
      </c>
      <c r="J937">
        <v>0</v>
      </c>
      <c r="K937">
        <v>0</v>
      </c>
      <c r="L937">
        <v>0</v>
      </c>
      <c r="M937">
        <v>0</v>
      </c>
      <c r="N937">
        <v>0.56078113812094499</v>
      </c>
      <c r="O937">
        <v>-0.273699700101798</v>
      </c>
      <c r="P937">
        <v>148901053.9082163</v>
      </c>
      <c r="R937" t="s">
        <v>291</v>
      </c>
      <c r="S937" t="s">
        <v>316</v>
      </c>
      <c r="T937" t="s">
        <v>320</v>
      </c>
      <c r="U937">
        <v>4906</v>
      </c>
      <c r="V937">
        <v>2659</v>
      </c>
      <c r="W937">
        <v>2247</v>
      </c>
    </row>
    <row r="938" spans="1:23" x14ac:dyDescent="0.3">
      <c r="A938" t="s">
        <v>1952</v>
      </c>
      <c r="B938">
        <v>2022</v>
      </c>
      <c r="C938">
        <v>3.7164063005254762</v>
      </c>
      <c r="D938">
        <v>2271</v>
      </c>
      <c r="E938">
        <v>0</v>
      </c>
      <c r="F938">
        <v>0</v>
      </c>
      <c r="G938">
        <v>52</v>
      </c>
      <c r="H938">
        <v>2.5316213840803998E-3</v>
      </c>
      <c r="I938">
        <v>7</v>
      </c>
      <c r="J938">
        <v>0</v>
      </c>
      <c r="K938">
        <v>0</v>
      </c>
      <c r="L938">
        <v>0</v>
      </c>
      <c r="M938">
        <v>0</v>
      </c>
      <c r="N938">
        <v>0.55142094480211634</v>
      </c>
      <c r="O938">
        <v>-0.21928137469669409</v>
      </c>
      <c r="P938">
        <v>27119803.726722721</v>
      </c>
      <c r="R938" t="s">
        <v>291</v>
      </c>
      <c r="S938" t="s">
        <v>316</v>
      </c>
      <c r="T938" t="s">
        <v>322</v>
      </c>
      <c r="U938">
        <v>2165</v>
      </c>
      <c r="V938">
        <v>1109</v>
      </c>
      <c r="W938">
        <v>1056</v>
      </c>
    </row>
    <row r="939" spans="1:23" x14ac:dyDescent="0.3">
      <c r="A939" t="s">
        <v>1953</v>
      </c>
      <c r="B939">
        <v>2022</v>
      </c>
      <c r="C939">
        <v>0.85994203596324204</v>
      </c>
      <c r="D939">
        <v>1912</v>
      </c>
      <c r="E939">
        <v>0</v>
      </c>
      <c r="F939">
        <v>0</v>
      </c>
      <c r="G939">
        <v>100</v>
      </c>
      <c r="H939">
        <v>3.1610534277870002E-4</v>
      </c>
      <c r="I939">
        <v>8</v>
      </c>
      <c r="J939">
        <v>0</v>
      </c>
      <c r="K939">
        <v>0</v>
      </c>
      <c r="L939">
        <v>0</v>
      </c>
      <c r="M939">
        <v>2</v>
      </c>
      <c r="N939">
        <v>0.38848489327862129</v>
      </c>
      <c r="O939">
        <v>-0.32876747581973931</v>
      </c>
      <c r="P939">
        <v>145177015.58348289</v>
      </c>
      <c r="R939" t="s">
        <v>291</v>
      </c>
      <c r="S939" t="s">
        <v>323</v>
      </c>
      <c r="T939" t="s">
        <v>324</v>
      </c>
      <c r="U939">
        <v>1820</v>
      </c>
      <c r="V939">
        <v>540</v>
      </c>
      <c r="W939">
        <v>1280</v>
      </c>
    </row>
    <row r="940" spans="1:23" x14ac:dyDescent="0.3">
      <c r="A940" t="s">
        <v>1954</v>
      </c>
      <c r="B940">
        <v>2022</v>
      </c>
      <c r="C940">
        <v>0.93745313327164281</v>
      </c>
      <c r="D940">
        <v>1424</v>
      </c>
      <c r="E940">
        <v>0</v>
      </c>
      <c r="F940">
        <v>0</v>
      </c>
      <c r="G940">
        <v>52</v>
      </c>
      <c r="H940">
        <v>9.4876660341550005E-4</v>
      </c>
      <c r="I940">
        <v>5</v>
      </c>
      <c r="J940">
        <v>0</v>
      </c>
      <c r="K940">
        <v>0</v>
      </c>
      <c r="L940">
        <v>0</v>
      </c>
      <c r="M940">
        <v>0</v>
      </c>
      <c r="N940">
        <v>0.21432256267663111</v>
      </c>
      <c r="O940">
        <v>-9.3969864636810493E-2</v>
      </c>
      <c r="P940">
        <v>60438593.771347947</v>
      </c>
      <c r="R940" t="s">
        <v>291</v>
      </c>
      <c r="S940" t="s">
        <v>323</v>
      </c>
      <c r="T940" t="s">
        <v>325</v>
      </c>
      <c r="U940">
        <v>1357</v>
      </c>
      <c r="V940">
        <v>534</v>
      </c>
      <c r="W940">
        <v>823</v>
      </c>
    </row>
    <row r="941" spans="1:23" x14ac:dyDescent="0.3">
      <c r="A941" t="s">
        <v>1955</v>
      </c>
      <c r="B941">
        <v>2022</v>
      </c>
      <c r="C941">
        <v>1.0227378993045511</v>
      </c>
      <c r="D941">
        <v>543</v>
      </c>
      <c r="E941">
        <v>0</v>
      </c>
      <c r="F941">
        <v>0</v>
      </c>
      <c r="G941">
        <v>32</v>
      </c>
      <c r="H941">
        <v>1.4836697778108001E-3</v>
      </c>
      <c r="I941">
        <v>7</v>
      </c>
      <c r="J941">
        <v>0</v>
      </c>
      <c r="K941">
        <v>0</v>
      </c>
      <c r="L941">
        <v>0</v>
      </c>
      <c r="M941">
        <v>0</v>
      </c>
      <c r="N941">
        <v>0.33479397193950389</v>
      </c>
      <c r="O941">
        <v>-0.18846414910343359</v>
      </c>
      <c r="P941">
        <v>40347817.873863533</v>
      </c>
      <c r="R941" t="s">
        <v>291</v>
      </c>
      <c r="S941" t="s">
        <v>323</v>
      </c>
      <c r="T941" t="s">
        <v>327</v>
      </c>
      <c r="U941">
        <v>517</v>
      </c>
      <c r="V941">
        <v>370</v>
      </c>
      <c r="W941">
        <v>147</v>
      </c>
    </row>
    <row r="942" spans="1:23" x14ac:dyDescent="0.3">
      <c r="A942" t="s">
        <v>1956</v>
      </c>
      <c r="B942">
        <v>2022</v>
      </c>
      <c r="C942">
        <v>1.5710452029938531</v>
      </c>
      <c r="D942">
        <v>1252</v>
      </c>
      <c r="E942">
        <v>0</v>
      </c>
      <c r="F942">
        <v>0</v>
      </c>
      <c r="G942">
        <v>66</v>
      </c>
      <c r="H942">
        <v>5.0709841074349997E-4</v>
      </c>
      <c r="I942">
        <v>14</v>
      </c>
      <c r="J942">
        <v>0</v>
      </c>
      <c r="K942">
        <v>0</v>
      </c>
      <c r="L942">
        <v>0</v>
      </c>
      <c r="M942">
        <v>0</v>
      </c>
      <c r="N942">
        <v>0.42627149321177749</v>
      </c>
      <c r="O942">
        <v>-0.34190697014070298</v>
      </c>
      <c r="P942">
        <v>47599690.675527729</v>
      </c>
      <c r="R942" t="s">
        <v>291</v>
      </c>
      <c r="S942" t="s">
        <v>323</v>
      </c>
      <c r="T942" t="s">
        <v>328</v>
      </c>
      <c r="U942">
        <v>1193</v>
      </c>
      <c r="V942">
        <v>507</v>
      </c>
      <c r="W942">
        <v>686</v>
      </c>
    </row>
    <row r="943" spans="1:23" x14ac:dyDescent="0.3">
      <c r="A943" t="s">
        <v>1957</v>
      </c>
      <c r="B943">
        <v>2022</v>
      </c>
      <c r="C943">
        <v>0.7799452111752464</v>
      </c>
      <c r="D943">
        <v>725</v>
      </c>
      <c r="E943">
        <v>0</v>
      </c>
      <c r="F943">
        <v>0</v>
      </c>
      <c r="G943">
        <v>25</v>
      </c>
      <c r="H943">
        <v>1.8831885553738999E-3</v>
      </c>
      <c r="I943">
        <v>8</v>
      </c>
      <c r="J943">
        <v>0</v>
      </c>
      <c r="K943">
        <v>0</v>
      </c>
      <c r="L943">
        <v>0</v>
      </c>
      <c r="M943">
        <v>1</v>
      </c>
      <c r="N943">
        <v>0.50304297643238172</v>
      </c>
      <c r="O943">
        <v>-0.28336228508744732</v>
      </c>
      <c r="P943">
        <v>77889224.575242832</v>
      </c>
      <c r="R943" t="s">
        <v>291</v>
      </c>
      <c r="S943" t="s">
        <v>330</v>
      </c>
      <c r="T943" t="s">
        <v>332</v>
      </c>
      <c r="U943">
        <v>692</v>
      </c>
      <c r="V943">
        <v>153</v>
      </c>
      <c r="W943">
        <v>539</v>
      </c>
    </row>
    <row r="944" spans="1:23" x14ac:dyDescent="0.3">
      <c r="A944" t="s">
        <v>1958</v>
      </c>
      <c r="B944">
        <v>2022</v>
      </c>
      <c r="C944">
        <v>1.5244077990888869</v>
      </c>
      <c r="D944">
        <v>2554</v>
      </c>
      <c r="E944">
        <v>0</v>
      </c>
      <c r="F944">
        <v>0</v>
      </c>
      <c r="G944">
        <v>92</v>
      </c>
      <c r="H944">
        <v>1.0519339692506E-3</v>
      </c>
      <c r="I944">
        <v>9</v>
      </c>
      <c r="J944">
        <v>0</v>
      </c>
      <c r="K944">
        <v>0</v>
      </c>
      <c r="L944">
        <v>0</v>
      </c>
      <c r="M944">
        <v>0</v>
      </c>
      <c r="N944">
        <v>0.62148017961514124</v>
      </c>
      <c r="O944">
        <v>-0.33505749323866491</v>
      </c>
      <c r="P944">
        <v>65927978.076058611</v>
      </c>
      <c r="R944" t="s">
        <v>291</v>
      </c>
      <c r="S944" t="s">
        <v>334</v>
      </c>
      <c r="T944" t="s">
        <v>337</v>
      </c>
      <c r="U944">
        <v>2435</v>
      </c>
      <c r="V944">
        <v>1621</v>
      </c>
      <c r="W944">
        <v>814</v>
      </c>
    </row>
    <row r="945" spans="1:23" x14ac:dyDescent="0.3">
      <c r="A945" t="s">
        <v>1959</v>
      </c>
      <c r="B945">
        <v>2022</v>
      </c>
      <c r="C945">
        <v>3.1329064700110192</v>
      </c>
      <c r="D945">
        <v>1516</v>
      </c>
      <c r="E945">
        <v>0</v>
      </c>
      <c r="F945">
        <v>0</v>
      </c>
      <c r="G945">
        <v>78</v>
      </c>
      <c r="H945">
        <v>3.6893700026797002E-3</v>
      </c>
      <c r="I945">
        <v>13</v>
      </c>
      <c r="J945">
        <v>0</v>
      </c>
      <c r="K945">
        <v>0</v>
      </c>
      <c r="L945">
        <v>0</v>
      </c>
      <c r="M945">
        <v>0</v>
      </c>
      <c r="N945">
        <v>0.55681173271489093</v>
      </c>
      <c r="O945">
        <v>-0.34830629346278091</v>
      </c>
      <c r="P945">
        <v>22550489.917779699</v>
      </c>
      <c r="R945" t="s">
        <v>291</v>
      </c>
      <c r="S945" t="s">
        <v>334</v>
      </c>
      <c r="T945" t="s">
        <v>149</v>
      </c>
      <c r="U945">
        <v>1446</v>
      </c>
      <c r="V945">
        <v>951</v>
      </c>
      <c r="W945">
        <v>495</v>
      </c>
    </row>
    <row r="946" spans="1:23" x14ac:dyDescent="0.3">
      <c r="A946" t="s">
        <v>1960</v>
      </c>
      <c r="B946">
        <v>2022</v>
      </c>
      <c r="C946">
        <v>0.9798482136275064</v>
      </c>
      <c r="D946">
        <v>2280</v>
      </c>
      <c r="E946">
        <v>0</v>
      </c>
      <c r="F946">
        <v>0</v>
      </c>
      <c r="G946">
        <v>66</v>
      </c>
      <c r="H946">
        <v>1.2761686263262999E-3</v>
      </c>
      <c r="I946">
        <v>2</v>
      </c>
      <c r="J946">
        <v>0</v>
      </c>
      <c r="K946">
        <v>0</v>
      </c>
      <c r="L946">
        <v>0</v>
      </c>
      <c r="M946">
        <v>2</v>
      </c>
      <c r="N946">
        <v>0.4941179625048312</v>
      </c>
      <c r="O946">
        <v>-0.2412610098130519</v>
      </c>
      <c r="P946">
        <v>66463810.690266088</v>
      </c>
      <c r="R946" t="s">
        <v>291</v>
      </c>
      <c r="S946" t="s">
        <v>334</v>
      </c>
      <c r="T946" t="s">
        <v>338</v>
      </c>
      <c r="U946">
        <v>2172</v>
      </c>
      <c r="V946">
        <v>1417</v>
      </c>
      <c r="W946">
        <v>755</v>
      </c>
    </row>
    <row r="947" spans="1:23" x14ac:dyDescent="0.3">
      <c r="A947" t="s">
        <v>1961</v>
      </c>
      <c r="B947">
        <v>2022</v>
      </c>
      <c r="C947">
        <v>1.270035704378579</v>
      </c>
      <c r="D947">
        <v>3904</v>
      </c>
      <c r="E947">
        <v>0</v>
      </c>
      <c r="F947">
        <v>0</v>
      </c>
      <c r="G947">
        <v>85</v>
      </c>
      <c r="H947">
        <v>1.0187692166490001E-3</v>
      </c>
      <c r="I947">
        <v>4</v>
      </c>
      <c r="J947">
        <v>0</v>
      </c>
      <c r="K947">
        <v>0</v>
      </c>
      <c r="L947">
        <v>0</v>
      </c>
      <c r="M947">
        <v>0</v>
      </c>
      <c r="N947">
        <v>0.4019087087443235</v>
      </c>
      <c r="O947">
        <v>-0.18700876709229311</v>
      </c>
      <c r="P947">
        <v>113230798.3465877</v>
      </c>
      <c r="R947" t="s">
        <v>291</v>
      </c>
      <c r="S947" t="s">
        <v>334</v>
      </c>
      <c r="T947" t="s">
        <v>339</v>
      </c>
      <c r="U947">
        <v>3701</v>
      </c>
      <c r="V947">
        <v>1768</v>
      </c>
      <c r="W947">
        <v>1933</v>
      </c>
    </row>
    <row r="948" spans="1:23" x14ac:dyDescent="0.3">
      <c r="A948" t="s">
        <v>1962</v>
      </c>
      <c r="B948">
        <v>2022</v>
      </c>
      <c r="C948">
        <v>0.97063139381600161</v>
      </c>
      <c r="D948">
        <v>1400</v>
      </c>
      <c r="E948">
        <v>0</v>
      </c>
      <c r="F948">
        <v>0</v>
      </c>
      <c r="G948">
        <v>113</v>
      </c>
      <c r="H948">
        <v>5.9681878675609998E-4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0.53268683696847585</v>
      </c>
      <c r="O948">
        <v>-0.3631500895531945</v>
      </c>
      <c r="P948">
        <v>75836396.468999714</v>
      </c>
      <c r="R948" t="s">
        <v>291</v>
      </c>
      <c r="S948" t="s">
        <v>340</v>
      </c>
      <c r="T948" t="s">
        <v>341</v>
      </c>
      <c r="U948">
        <v>1333</v>
      </c>
      <c r="V948">
        <v>40</v>
      </c>
      <c r="W948">
        <v>1293</v>
      </c>
    </row>
    <row r="949" spans="1:23" x14ac:dyDescent="0.3">
      <c r="A949" t="s">
        <v>1963</v>
      </c>
      <c r="B949">
        <v>2022</v>
      </c>
      <c r="C949">
        <v>0.7465488056061893</v>
      </c>
      <c r="D949">
        <v>2296</v>
      </c>
      <c r="E949">
        <v>0</v>
      </c>
      <c r="F949">
        <v>0</v>
      </c>
      <c r="G949">
        <v>132</v>
      </c>
      <c r="H949">
        <v>4.4188142258539997E-4</v>
      </c>
      <c r="I949">
        <v>7</v>
      </c>
      <c r="J949">
        <v>0</v>
      </c>
      <c r="K949">
        <v>0</v>
      </c>
      <c r="L949">
        <v>0</v>
      </c>
      <c r="M949">
        <v>0</v>
      </c>
      <c r="N949">
        <v>0.54673213587741631</v>
      </c>
      <c r="O949">
        <v>-0.39467489634772418</v>
      </c>
      <c r="P949">
        <v>180620157.42646199</v>
      </c>
      <c r="R949" t="s">
        <v>291</v>
      </c>
      <c r="S949" t="s">
        <v>340</v>
      </c>
      <c r="T949" t="s">
        <v>343</v>
      </c>
      <c r="U949">
        <v>2195</v>
      </c>
      <c r="V949">
        <v>192</v>
      </c>
      <c r="W949">
        <v>2003</v>
      </c>
    </row>
    <row r="950" spans="1:23" x14ac:dyDescent="0.3">
      <c r="A950" t="s">
        <v>1964</v>
      </c>
      <c r="B950">
        <v>2022</v>
      </c>
      <c r="C950">
        <v>1.304139286678007</v>
      </c>
      <c r="D950">
        <v>1672</v>
      </c>
      <c r="E950">
        <v>0</v>
      </c>
      <c r="F950">
        <v>0</v>
      </c>
      <c r="G950">
        <v>37</v>
      </c>
      <c r="H950">
        <v>1.7527719793090999E-3</v>
      </c>
      <c r="I950">
        <v>9</v>
      </c>
      <c r="J950">
        <v>0</v>
      </c>
      <c r="K950">
        <v>0</v>
      </c>
      <c r="L950">
        <v>0</v>
      </c>
      <c r="M950">
        <v>0</v>
      </c>
      <c r="N950">
        <v>0.60358609696126153</v>
      </c>
      <c r="O950">
        <v>-0.32318303794251202</v>
      </c>
      <c r="P950">
        <v>45254526.785903648</v>
      </c>
      <c r="R950" t="s">
        <v>291</v>
      </c>
      <c r="S950" t="s">
        <v>340</v>
      </c>
      <c r="T950" t="s">
        <v>348</v>
      </c>
      <c r="U950">
        <v>1594</v>
      </c>
      <c r="V950">
        <v>520</v>
      </c>
      <c r="W950">
        <v>1074</v>
      </c>
    </row>
    <row r="951" spans="1:23" x14ac:dyDescent="0.3">
      <c r="A951" t="s">
        <v>1965</v>
      </c>
      <c r="B951">
        <v>2022</v>
      </c>
      <c r="C951">
        <v>0.97778957565947044</v>
      </c>
      <c r="D951">
        <v>734</v>
      </c>
      <c r="E951">
        <v>0</v>
      </c>
      <c r="F951">
        <v>0</v>
      </c>
      <c r="G951">
        <v>39</v>
      </c>
      <c r="H951">
        <v>3.7641662169453998E-3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0.23280393083524509</v>
      </c>
      <c r="O951">
        <v>-7.5682654096654103E-2</v>
      </c>
      <c r="P951">
        <v>28853870.309515242</v>
      </c>
      <c r="R951" t="s">
        <v>291</v>
      </c>
      <c r="S951" t="s">
        <v>350</v>
      </c>
      <c r="T951" t="s">
        <v>180</v>
      </c>
      <c r="U951">
        <v>700</v>
      </c>
      <c r="V951">
        <v>350</v>
      </c>
      <c r="W951">
        <v>350</v>
      </c>
    </row>
    <row r="952" spans="1:23" x14ac:dyDescent="0.3">
      <c r="A952" t="s">
        <v>1966</v>
      </c>
      <c r="B952">
        <v>2022</v>
      </c>
      <c r="C952">
        <v>0.64883190745969044</v>
      </c>
      <c r="D952">
        <v>2896</v>
      </c>
      <c r="E952">
        <v>0</v>
      </c>
      <c r="F952">
        <v>0</v>
      </c>
      <c r="G952">
        <v>39</v>
      </c>
      <c r="H952">
        <v>9.0292904340630005E-4</v>
      </c>
      <c r="I952">
        <v>3</v>
      </c>
      <c r="J952">
        <v>0</v>
      </c>
      <c r="K952">
        <v>0</v>
      </c>
      <c r="L952">
        <v>0</v>
      </c>
      <c r="M952">
        <v>0</v>
      </c>
      <c r="P952">
        <v>289336121.58748162</v>
      </c>
      <c r="R952" t="s">
        <v>352</v>
      </c>
      <c r="S952" t="s">
        <v>352</v>
      </c>
      <c r="T952" t="s">
        <v>354</v>
      </c>
      <c r="U952">
        <v>2760</v>
      </c>
      <c r="V952">
        <v>106</v>
      </c>
      <c r="W952">
        <v>2654</v>
      </c>
    </row>
    <row r="953" spans="1:23" x14ac:dyDescent="0.3">
      <c r="A953" t="s">
        <v>1967</v>
      </c>
      <c r="B953">
        <v>2022</v>
      </c>
      <c r="C953">
        <v>1.358908736329997</v>
      </c>
      <c r="D953">
        <v>6120</v>
      </c>
      <c r="E953">
        <v>0</v>
      </c>
      <c r="F953">
        <v>0</v>
      </c>
      <c r="G953">
        <v>78</v>
      </c>
      <c r="H953">
        <v>1.00143061516452E-2</v>
      </c>
      <c r="I953">
        <v>4</v>
      </c>
      <c r="J953">
        <v>0</v>
      </c>
      <c r="K953">
        <v>0</v>
      </c>
      <c r="L953">
        <v>0</v>
      </c>
      <c r="M953">
        <v>1</v>
      </c>
      <c r="N953">
        <v>0.39678220641484652</v>
      </c>
      <c r="O953">
        <v>3.48832651504557E-2</v>
      </c>
      <c r="P953">
        <v>97176027.729120359</v>
      </c>
      <c r="R953" t="s">
        <v>352</v>
      </c>
      <c r="S953" t="s">
        <v>361</v>
      </c>
      <c r="T953" t="s">
        <v>362</v>
      </c>
      <c r="U953">
        <v>5779</v>
      </c>
      <c r="V953">
        <v>1503</v>
      </c>
      <c r="W953">
        <v>4276</v>
      </c>
    </row>
    <row r="954" spans="1:23" x14ac:dyDescent="0.3">
      <c r="A954" t="s">
        <v>1968</v>
      </c>
      <c r="B954">
        <v>2022</v>
      </c>
      <c r="C954">
        <v>0.66057988269743884</v>
      </c>
      <c r="D954">
        <v>3226</v>
      </c>
      <c r="E954">
        <v>0</v>
      </c>
      <c r="F954">
        <v>0</v>
      </c>
      <c r="G954">
        <v>62</v>
      </c>
      <c r="H954">
        <v>7.9808434249710003E-4</v>
      </c>
      <c r="I954">
        <v>10</v>
      </c>
      <c r="L954">
        <v>0</v>
      </c>
      <c r="M954">
        <v>0</v>
      </c>
      <c r="N954">
        <v>0.40071379635830018</v>
      </c>
      <c r="O954">
        <v>-0.18439351934564249</v>
      </c>
      <c r="P954">
        <v>218743928.82419151</v>
      </c>
      <c r="R954" t="s">
        <v>352</v>
      </c>
      <c r="S954" t="s">
        <v>361</v>
      </c>
      <c r="T954" t="s">
        <v>363</v>
      </c>
      <c r="U954">
        <v>3075</v>
      </c>
      <c r="V954">
        <v>64</v>
      </c>
      <c r="W954">
        <v>3011</v>
      </c>
    </row>
    <row r="955" spans="1:23" x14ac:dyDescent="0.3">
      <c r="A955" t="s">
        <v>1969</v>
      </c>
      <c r="B955">
        <v>2022</v>
      </c>
      <c r="C955">
        <v>0.57242533570148635</v>
      </c>
      <c r="D955">
        <v>561</v>
      </c>
      <c r="E955">
        <v>0</v>
      </c>
      <c r="F955">
        <v>0</v>
      </c>
      <c r="G955">
        <v>10</v>
      </c>
      <c r="H955">
        <v>1.6122476629183001E-2</v>
      </c>
      <c r="I955">
        <v>3</v>
      </c>
      <c r="J955">
        <v>0</v>
      </c>
      <c r="K955">
        <v>0</v>
      </c>
      <c r="L955">
        <v>0</v>
      </c>
      <c r="M955">
        <v>0</v>
      </c>
      <c r="N955">
        <v>0.54595348160724722</v>
      </c>
      <c r="O955">
        <v>-0.20690196377278941</v>
      </c>
      <c r="P955">
        <v>765238654.66826546</v>
      </c>
      <c r="R955" t="s">
        <v>352</v>
      </c>
      <c r="S955" t="s">
        <v>361</v>
      </c>
      <c r="T955" t="s">
        <v>366</v>
      </c>
      <c r="U955">
        <v>534</v>
      </c>
      <c r="V955">
        <v>26</v>
      </c>
      <c r="W955">
        <v>508</v>
      </c>
    </row>
    <row r="956" spans="1:23" x14ac:dyDescent="0.3">
      <c r="A956" t="s">
        <v>1970</v>
      </c>
      <c r="B956">
        <v>2022</v>
      </c>
      <c r="C956">
        <v>0.66535429825992409</v>
      </c>
      <c r="D956">
        <v>1928</v>
      </c>
      <c r="E956">
        <v>0</v>
      </c>
      <c r="F956">
        <v>0</v>
      </c>
      <c r="G956">
        <v>32</v>
      </c>
      <c r="H956">
        <v>3.0486963719133001E-3</v>
      </c>
      <c r="I956">
        <v>4</v>
      </c>
      <c r="L956">
        <v>0</v>
      </c>
      <c r="M956">
        <v>0</v>
      </c>
      <c r="N956">
        <v>0.53582473001653708</v>
      </c>
      <c r="O956">
        <v>-0.2433012478280554</v>
      </c>
      <c r="P956">
        <v>181207924.6181117</v>
      </c>
      <c r="R956" t="s">
        <v>352</v>
      </c>
      <c r="S956" t="s">
        <v>361</v>
      </c>
      <c r="T956" t="s">
        <v>368</v>
      </c>
      <c r="U956">
        <v>1838</v>
      </c>
      <c r="V956">
        <v>0</v>
      </c>
      <c r="W956">
        <v>1838</v>
      </c>
    </row>
    <row r="957" spans="1:23" x14ac:dyDescent="0.3">
      <c r="A957" t="s">
        <v>1971</v>
      </c>
      <c r="B957">
        <v>2022</v>
      </c>
      <c r="C957">
        <v>0.57120354826072561</v>
      </c>
      <c r="D957">
        <v>1535</v>
      </c>
      <c r="E957">
        <v>0</v>
      </c>
      <c r="F957">
        <v>0</v>
      </c>
      <c r="G957">
        <v>43</v>
      </c>
      <c r="H957">
        <v>3.0766232319856999E-3</v>
      </c>
      <c r="I957">
        <v>5</v>
      </c>
      <c r="J957">
        <v>0</v>
      </c>
      <c r="K957">
        <v>0</v>
      </c>
      <c r="L957">
        <v>0</v>
      </c>
      <c r="M957">
        <v>0</v>
      </c>
      <c r="N957">
        <v>0.62101738880412516</v>
      </c>
      <c r="O957">
        <v>-0.30644039944244089</v>
      </c>
      <c r="P957">
        <v>49668353.162611783</v>
      </c>
      <c r="R957" t="s">
        <v>352</v>
      </c>
      <c r="S957" t="s">
        <v>361</v>
      </c>
      <c r="T957" t="s">
        <v>370</v>
      </c>
      <c r="U957">
        <v>1466</v>
      </c>
      <c r="V957">
        <v>199</v>
      </c>
      <c r="W957">
        <v>1267</v>
      </c>
    </row>
    <row r="958" spans="1:23" x14ac:dyDescent="0.3">
      <c r="A958" t="s">
        <v>1972</v>
      </c>
      <c r="B958">
        <v>2022</v>
      </c>
      <c r="C958">
        <v>0.67030489853391406</v>
      </c>
      <c r="D958">
        <v>2304</v>
      </c>
      <c r="E958">
        <v>0</v>
      </c>
      <c r="F958">
        <v>0</v>
      </c>
      <c r="G958">
        <v>34</v>
      </c>
      <c r="H958">
        <v>1.458650695937E-3</v>
      </c>
      <c r="I958">
        <v>3</v>
      </c>
      <c r="J958">
        <v>0</v>
      </c>
      <c r="K958">
        <v>0</v>
      </c>
      <c r="L958">
        <v>0</v>
      </c>
      <c r="M958">
        <v>1</v>
      </c>
      <c r="N958">
        <v>0.42411127506859181</v>
      </c>
      <c r="O958">
        <v>-0.21995352964098591</v>
      </c>
      <c r="P958">
        <v>71897297.233913884</v>
      </c>
      <c r="R958" t="s">
        <v>352</v>
      </c>
      <c r="S958" t="s">
        <v>361</v>
      </c>
      <c r="T958" t="s">
        <v>372</v>
      </c>
      <c r="U958">
        <v>2200</v>
      </c>
      <c r="V958">
        <v>206</v>
      </c>
      <c r="W958">
        <v>1994</v>
      </c>
    </row>
    <row r="959" spans="1:23" x14ac:dyDescent="0.3">
      <c r="A959" t="s">
        <v>1973</v>
      </c>
      <c r="B959">
        <v>2022</v>
      </c>
      <c r="C959">
        <v>0.68372641962730407</v>
      </c>
      <c r="D959">
        <v>1208</v>
      </c>
      <c r="E959">
        <v>0</v>
      </c>
      <c r="F959">
        <v>0</v>
      </c>
      <c r="G959">
        <v>37</v>
      </c>
      <c r="H959">
        <v>3.5226314634512002E-3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0.57699373547325283</v>
      </c>
      <c r="O959">
        <v>-0.28832469257468729</v>
      </c>
      <c r="P959">
        <v>21948291.39352686</v>
      </c>
      <c r="R959" t="s">
        <v>352</v>
      </c>
      <c r="S959" t="s">
        <v>361</v>
      </c>
      <c r="T959" t="s">
        <v>374</v>
      </c>
      <c r="U959">
        <v>1153</v>
      </c>
      <c r="V959">
        <v>490</v>
      </c>
      <c r="W959">
        <v>663</v>
      </c>
    </row>
    <row r="960" spans="1:23" x14ac:dyDescent="0.3">
      <c r="A960" t="s">
        <v>1974</v>
      </c>
      <c r="B960">
        <v>2022</v>
      </c>
      <c r="C960">
        <v>0.60877187445529957</v>
      </c>
      <c r="D960">
        <v>3400</v>
      </c>
      <c r="E960">
        <v>0</v>
      </c>
      <c r="F960">
        <v>0</v>
      </c>
      <c r="G960">
        <v>74</v>
      </c>
      <c r="H960">
        <v>5.8478867730679999E-4</v>
      </c>
      <c r="I960">
        <v>17</v>
      </c>
      <c r="L960">
        <v>0</v>
      </c>
      <c r="M960">
        <v>0</v>
      </c>
      <c r="N960">
        <v>0.62239053327348703</v>
      </c>
      <c r="O960">
        <v>-0.30435676715205662</v>
      </c>
      <c r="P960">
        <v>183621271.44426239</v>
      </c>
      <c r="R960" t="s">
        <v>352</v>
      </c>
      <c r="S960" t="s">
        <v>384</v>
      </c>
      <c r="T960" t="s">
        <v>387</v>
      </c>
      <c r="U960">
        <v>3241</v>
      </c>
      <c r="V960">
        <v>184</v>
      </c>
      <c r="W960">
        <v>3057</v>
      </c>
    </row>
    <row r="961" spans="1:23" x14ac:dyDescent="0.3">
      <c r="A961" t="s">
        <v>1975</v>
      </c>
      <c r="B961">
        <v>2022</v>
      </c>
      <c r="C961">
        <v>0.69682098796915137</v>
      </c>
      <c r="D961">
        <v>20849</v>
      </c>
      <c r="E961">
        <v>0</v>
      </c>
      <c r="F961">
        <v>0</v>
      </c>
      <c r="G961">
        <v>357</v>
      </c>
      <c r="H961">
        <v>1.6962455892870001E-4</v>
      </c>
      <c r="I961">
        <v>27</v>
      </c>
      <c r="J961">
        <v>0</v>
      </c>
      <c r="K961">
        <v>0</v>
      </c>
      <c r="L961">
        <v>0</v>
      </c>
      <c r="M961">
        <v>3</v>
      </c>
      <c r="N961">
        <v>0.56391862219427247</v>
      </c>
      <c r="O961">
        <v>-0.25792622322342529</v>
      </c>
      <c r="P961">
        <v>1005162969.782281</v>
      </c>
      <c r="R961" t="s">
        <v>352</v>
      </c>
      <c r="S961" t="s">
        <v>384</v>
      </c>
      <c r="T961" t="s">
        <v>388</v>
      </c>
      <c r="U961">
        <v>19862</v>
      </c>
      <c r="V961">
        <v>602</v>
      </c>
      <c r="W961">
        <v>19260</v>
      </c>
    </row>
    <row r="962" spans="1:23" x14ac:dyDescent="0.3">
      <c r="A962" t="s">
        <v>1976</v>
      </c>
      <c r="B962">
        <v>2022</v>
      </c>
      <c r="C962">
        <v>0.61159911911747544</v>
      </c>
      <c r="D962">
        <v>1957</v>
      </c>
      <c r="E962">
        <v>0</v>
      </c>
      <c r="F962">
        <v>0</v>
      </c>
      <c r="G962">
        <v>42</v>
      </c>
      <c r="H962">
        <v>1.3377807427173E-3</v>
      </c>
      <c r="I962">
        <v>4</v>
      </c>
      <c r="J962">
        <v>0</v>
      </c>
      <c r="K962">
        <v>0</v>
      </c>
      <c r="L962">
        <v>0</v>
      </c>
      <c r="M962">
        <v>0</v>
      </c>
      <c r="N962">
        <v>0.31802160378858652</v>
      </c>
      <c r="O962">
        <v>-0.1504086311135876</v>
      </c>
      <c r="P962">
        <v>1136258665.6468711</v>
      </c>
      <c r="R962" t="s">
        <v>352</v>
      </c>
      <c r="S962" t="s">
        <v>106</v>
      </c>
      <c r="T962" t="s">
        <v>390</v>
      </c>
      <c r="U962">
        <v>1866</v>
      </c>
      <c r="V962">
        <v>304</v>
      </c>
      <c r="W962">
        <v>1562</v>
      </c>
    </row>
    <row r="963" spans="1:23" x14ac:dyDescent="0.3">
      <c r="A963" t="s">
        <v>1977</v>
      </c>
      <c r="B963">
        <v>2022</v>
      </c>
      <c r="C963">
        <v>1.3354157933853339</v>
      </c>
      <c r="D963">
        <v>1232</v>
      </c>
      <c r="E963">
        <v>0</v>
      </c>
      <c r="F963">
        <v>0</v>
      </c>
      <c r="G963">
        <v>91</v>
      </c>
      <c r="H963">
        <v>2.0982269981864999E-3</v>
      </c>
      <c r="I963">
        <v>6</v>
      </c>
      <c r="J963">
        <v>0</v>
      </c>
      <c r="K963">
        <v>0</v>
      </c>
      <c r="L963">
        <v>0</v>
      </c>
      <c r="M963">
        <v>2</v>
      </c>
      <c r="N963">
        <v>0.69285463422286675</v>
      </c>
      <c r="O963">
        <v>-0.34380117328988979</v>
      </c>
      <c r="P963">
        <v>31979169.523108281</v>
      </c>
      <c r="R963" t="s">
        <v>352</v>
      </c>
      <c r="S963" t="s">
        <v>106</v>
      </c>
      <c r="T963" t="s">
        <v>392</v>
      </c>
      <c r="U963">
        <v>1164</v>
      </c>
      <c r="V963">
        <v>32</v>
      </c>
      <c r="W963">
        <v>1132</v>
      </c>
    </row>
    <row r="964" spans="1:23" x14ac:dyDescent="0.3">
      <c r="A964" t="s">
        <v>1978</v>
      </c>
      <c r="B964">
        <v>2022</v>
      </c>
      <c r="C964">
        <v>0.81306742797711462</v>
      </c>
      <c r="D964">
        <v>1171</v>
      </c>
      <c r="E964">
        <v>0</v>
      </c>
      <c r="F964">
        <v>0</v>
      </c>
      <c r="G964">
        <v>64</v>
      </c>
      <c r="H964">
        <v>1.1961594964615999E-3</v>
      </c>
      <c r="I964">
        <v>8</v>
      </c>
      <c r="J964">
        <v>0</v>
      </c>
      <c r="K964">
        <v>0</v>
      </c>
      <c r="L964">
        <v>0</v>
      </c>
      <c r="M964">
        <v>0</v>
      </c>
      <c r="N964">
        <v>0.68787815358326199</v>
      </c>
      <c r="O964">
        <v>-0.33698551275037719</v>
      </c>
      <c r="P964">
        <v>69116135.142892689</v>
      </c>
      <c r="R964" t="s">
        <v>352</v>
      </c>
      <c r="S964" t="s">
        <v>106</v>
      </c>
      <c r="T964" t="s">
        <v>393</v>
      </c>
      <c r="U964">
        <v>1117</v>
      </c>
      <c r="V964">
        <v>326</v>
      </c>
      <c r="W964">
        <v>791</v>
      </c>
    </row>
    <row r="965" spans="1:23" x14ac:dyDescent="0.3">
      <c r="A965" t="s">
        <v>1979</v>
      </c>
      <c r="B965">
        <v>2022</v>
      </c>
      <c r="C965">
        <v>0.66726879609880463</v>
      </c>
      <c r="D965">
        <v>259</v>
      </c>
      <c r="E965">
        <v>0</v>
      </c>
      <c r="F965">
        <v>0</v>
      </c>
      <c r="G965">
        <v>21</v>
      </c>
      <c r="H965">
        <v>2.2321097515758002E-3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0.55008239837998807</v>
      </c>
      <c r="O965">
        <v>-0.2412692903996109</v>
      </c>
      <c r="P965">
        <v>218794192.20440769</v>
      </c>
      <c r="R965" t="s">
        <v>352</v>
      </c>
      <c r="S965" t="s">
        <v>106</v>
      </c>
      <c r="T965" t="s">
        <v>394</v>
      </c>
      <c r="U965">
        <v>247</v>
      </c>
      <c r="V965">
        <v>95</v>
      </c>
      <c r="W965">
        <v>152</v>
      </c>
    </row>
    <row r="966" spans="1:23" x14ac:dyDescent="0.3">
      <c r="A966" t="s">
        <v>1980</v>
      </c>
      <c r="B966">
        <v>2022</v>
      </c>
      <c r="C966">
        <v>0.92209480936212995</v>
      </c>
      <c r="D966">
        <v>824</v>
      </c>
      <c r="E966">
        <v>0</v>
      </c>
      <c r="F966">
        <v>0</v>
      </c>
      <c r="G966">
        <v>39</v>
      </c>
      <c r="H966">
        <v>4.2818529718735001E-3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0.69407863013174853</v>
      </c>
      <c r="O966">
        <v>-0.34705992712508449</v>
      </c>
      <c r="P966">
        <v>45830605.596574172</v>
      </c>
      <c r="R966" t="s">
        <v>352</v>
      </c>
      <c r="S966" t="s">
        <v>106</v>
      </c>
      <c r="T966" t="s">
        <v>396</v>
      </c>
      <c r="U966">
        <v>786</v>
      </c>
      <c r="V966">
        <v>219</v>
      </c>
      <c r="W966">
        <v>567</v>
      </c>
    </row>
    <row r="967" spans="1:23" x14ac:dyDescent="0.3">
      <c r="A967" t="s">
        <v>1981</v>
      </c>
      <c r="B967">
        <v>2022</v>
      </c>
      <c r="C967">
        <v>0.63237843868602395</v>
      </c>
      <c r="D967">
        <v>1716</v>
      </c>
      <c r="E967">
        <v>0</v>
      </c>
      <c r="F967">
        <v>0</v>
      </c>
      <c r="G967">
        <v>40</v>
      </c>
      <c r="H967">
        <v>5.7276788984106002E-3</v>
      </c>
      <c r="I967">
        <v>5</v>
      </c>
      <c r="J967">
        <v>0</v>
      </c>
      <c r="K967">
        <v>0</v>
      </c>
      <c r="L967">
        <v>0</v>
      </c>
      <c r="M967">
        <v>0</v>
      </c>
      <c r="N967">
        <v>0.63952029057424109</v>
      </c>
      <c r="O967">
        <v>-0.3062651006158566</v>
      </c>
      <c r="P967">
        <v>81137789.007875264</v>
      </c>
      <c r="R967" t="s">
        <v>352</v>
      </c>
      <c r="S967" t="s">
        <v>106</v>
      </c>
      <c r="T967" t="s">
        <v>397</v>
      </c>
      <c r="U967">
        <v>1636</v>
      </c>
      <c r="V967">
        <v>429</v>
      </c>
      <c r="W967">
        <v>1207</v>
      </c>
    </row>
    <row r="968" spans="1:23" x14ac:dyDescent="0.3">
      <c r="A968" t="s">
        <v>1982</v>
      </c>
      <c r="B968">
        <v>2022</v>
      </c>
      <c r="C968">
        <v>1.0248810942890221</v>
      </c>
      <c r="D968">
        <v>1435</v>
      </c>
      <c r="E968">
        <v>0</v>
      </c>
      <c r="F968">
        <v>0</v>
      </c>
      <c r="G968">
        <v>71</v>
      </c>
      <c r="H968">
        <v>1.0272100607888E-3</v>
      </c>
      <c r="I968">
        <v>10</v>
      </c>
      <c r="J968">
        <v>1</v>
      </c>
      <c r="K968">
        <v>1</v>
      </c>
      <c r="L968">
        <v>0</v>
      </c>
      <c r="M968">
        <v>0</v>
      </c>
      <c r="N968">
        <v>0.58737585142902471</v>
      </c>
      <c r="O968">
        <v>-0.16943882729679949</v>
      </c>
      <c r="P968">
        <v>227148267.35547569</v>
      </c>
      <c r="R968" t="s">
        <v>352</v>
      </c>
      <c r="S968" t="s">
        <v>106</v>
      </c>
      <c r="T968" t="s">
        <v>398</v>
      </c>
      <c r="U968">
        <v>1360</v>
      </c>
      <c r="V968">
        <v>9</v>
      </c>
      <c r="W968">
        <v>1351</v>
      </c>
    </row>
    <row r="969" spans="1:23" x14ac:dyDescent="0.3">
      <c r="A969" t="s">
        <v>1983</v>
      </c>
      <c r="B969">
        <v>2022</v>
      </c>
      <c r="C969">
        <v>0.676576943624146</v>
      </c>
      <c r="D969">
        <v>536</v>
      </c>
      <c r="E969">
        <v>0</v>
      </c>
      <c r="F969">
        <v>0</v>
      </c>
      <c r="G969">
        <v>33</v>
      </c>
      <c r="H969">
        <v>2.2521957024992001E-3</v>
      </c>
      <c r="I969">
        <v>3</v>
      </c>
      <c r="J969">
        <v>0</v>
      </c>
      <c r="K969">
        <v>0</v>
      </c>
      <c r="L969">
        <v>0</v>
      </c>
      <c r="M969">
        <v>0</v>
      </c>
      <c r="N969">
        <v>0.52808532057384061</v>
      </c>
      <c r="O969">
        <v>-0.23795641982622581</v>
      </c>
      <c r="P969">
        <v>100300686.3581726</v>
      </c>
      <c r="R969" t="s">
        <v>352</v>
      </c>
      <c r="S969" t="s">
        <v>106</v>
      </c>
      <c r="T969" t="s">
        <v>168</v>
      </c>
      <c r="U969">
        <v>511</v>
      </c>
      <c r="V969">
        <v>149</v>
      </c>
      <c r="W969">
        <v>362</v>
      </c>
    </row>
    <row r="970" spans="1:23" x14ac:dyDescent="0.3">
      <c r="A970" t="s">
        <v>1984</v>
      </c>
      <c r="B970">
        <v>2022</v>
      </c>
      <c r="C970">
        <v>0.58924699297620986</v>
      </c>
      <c r="D970">
        <v>4728</v>
      </c>
      <c r="E970">
        <v>0</v>
      </c>
      <c r="F970">
        <v>0</v>
      </c>
      <c r="G970">
        <v>75</v>
      </c>
      <c r="H970">
        <v>4.2589181636980001E-4</v>
      </c>
      <c r="I970">
        <v>17</v>
      </c>
      <c r="J970">
        <v>0</v>
      </c>
      <c r="K970">
        <v>0</v>
      </c>
      <c r="L970">
        <v>0</v>
      </c>
      <c r="M970">
        <v>0</v>
      </c>
      <c r="N970">
        <v>0.60089062492252476</v>
      </c>
      <c r="O970">
        <v>-0.28032512129092091</v>
      </c>
      <c r="P970">
        <v>539470235.17225051</v>
      </c>
      <c r="R970" t="s">
        <v>352</v>
      </c>
      <c r="S970" t="s">
        <v>404</v>
      </c>
      <c r="T970" t="s">
        <v>406</v>
      </c>
      <c r="U970">
        <v>4508</v>
      </c>
      <c r="V970">
        <v>58</v>
      </c>
      <c r="W970">
        <v>4450</v>
      </c>
    </row>
    <row r="971" spans="1:23" x14ac:dyDescent="0.3">
      <c r="A971" t="s">
        <v>1985</v>
      </c>
      <c r="B971">
        <v>2022</v>
      </c>
      <c r="C971">
        <v>0.89000387503566392</v>
      </c>
      <c r="D971">
        <v>6202</v>
      </c>
      <c r="E971">
        <v>0</v>
      </c>
      <c r="F971">
        <v>0</v>
      </c>
      <c r="G971">
        <v>130</v>
      </c>
      <c r="H971">
        <v>5.1612656823830005E-4</v>
      </c>
      <c r="I971">
        <v>15</v>
      </c>
      <c r="J971">
        <v>0.14285714285714279</v>
      </c>
      <c r="K971">
        <v>1</v>
      </c>
      <c r="L971">
        <v>0</v>
      </c>
      <c r="M971">
        <v>0</v>
      </c>
      <c r="N971">
        <v>0.29559496308758609</v>
      </c>
      <c r="O971">
        <v>-0.30472031655966447</v>
      </c>
      <c r="P971">
        <v>213264023.9504894</v>
      </c>
      <c r="R971" t="s">
        <v>410</v>
      </c>
      <c r="S971" t="s">
        <v>420</v>
      </c>
      <c r="T971" t="s">
        <v>421</v>
      </c>
      <c r="U971">
        <v>5904</v>
      </c>
      <c r="V971">
        <v>689</v>
      </c>
      <c r="W971">
        <v>5215</v>
      </c>
    </row>
    <row r="972" spans="1:23" x14ac:dyDescent="0.3">
      <c r="A972" t="s">
        <v>1986</v>
      </c>
      <c r="B972">
        <v>2022</v>
      </c>
      <c r="C972">
        <v>1.1852576088230571</v>
      </c>
      <c r="D972">
        <v>6499</v>
      </c>
      <c r="E972">
        <v>0</v>
      </c>
      <c r="F972">
        <v>0</v>
      </c>
      <c r="G972">
        <v>152</v>
      </c>
      <c r="H972">
        <v>1.2969573410869001E-3</v>
      </c>
      <c r="I972">
        <v>3</v>
      </c>
      <c r="J972">
        <v>0</v>
      </c>
      <c r="K972">
        <v>0</v>
      </c>
      <c r="L972">
        <v>0</v>
      </c>
      <c r="M972">
        <v>0</v>
      </c>
      <c r="N972">
        <v>0.13420836251624851</v>
      </c>
      <c r="O972">
        <v>-5.6474119625740102E-2</v>
      </c>
      <c r="P972">
        <v>131532543.6010212</v>
      </c>
      <c r="R972" t="s">
        <v>410</v>
      </c>
      <c r="S972" t="s">
        <v>433</v>
      </c>
      <c r="T972" t="s">
        <v>436</v>
      </c>
      <c r="U972">
        <v>6182</v>
      </c>
      <c r="V972">
        <v>2284</v>
      </c>
      <c r="W972">
        <v>3898</v>
      </c>
    </row>
    <row r="973" spans="1:23" x14ac:dyDescent="0.3">
      <c r="A973" t="s">
        <v>1987</v>
      </c>
      <c r="B973">
        <v>2022</v>
      </c>
      <c r="C973">
        <v>1.477878817659356</v>
      </c>
      <c r="D973">
        <v>6033</v>
      </c>
      <c r="E973">
        <v>0</v>
      </c>
      <c r="F973">
        <v>0</v>
      </c>
      <c r="G973">
        <v>121</v>
      </c>
      <c r="H973">
        <v>1.3997596286560001E-3</v>
      </c>
      <c r="I973">
        <v>3</v>
      </c>
      <c r="J973">
        <v>0</v>
      </c>
      <c r="K973">
        <v>0</v>
      </c>
      <c r="L973">
        <v>0</v>
      </c>
      <c r="M973">
        <v>3</v>
      </c>
      <c r="N973">
        <v>0.28086056654246139</v>
      </c>
      <c r="O973">
        <v>-0.36050628877371649</v>
      </c>
      <c r="P973">
        <v>100035165.85415339</v>
      </c>
      <c r="R973" t="s">
        <v>410</v>
      </c>
      <c r="S973" t="s">
        <v>440</v>
      </c>
      <c r="T973" t="s">
        <v>441</v>
      </c>
      <c r="U973">
        <v>5751</v>
      </c>
      <c r="V973">
        <v>385</v>
      </c>
      <c r="W973">
        <v>5366</v>
      </c>
    </row>
    <row r="974" spans="1:23" x14ac:dyDescent="0.3">
      <c r="A974" t="s">
        <v>1988</v>
      </c>
      <c r="B974">
        <v>2022</v>
      </c>
      <c r="C974">
        <v>3.899582696874373</v>
      </c>
      <c r="D974">
        <v>13777</v>
      </c>
      <c r="E974">
        <v>0</v>
      </c>
      <c r="F974">
        <v>0</v>
      </c>
      <c r="G974">
        <v>249</v>
      </c>
      <c r="H974">
        <v>4.9781314340439995E-4</v>
      </c>
      <c r="I974">
        <v>8</v>
      </c>
      <c r="J974">
        <v>6.0606060606060601E-2</v>
      </c>
      <c r="K974">
        <v>1</v>
      </c>
      <c r="L974">
        <v>0</v>
      </c>
      <c r="M974">
        <v>0</v>
      </c>
      <c r="N974">
        <v>0.39185480451097099</v>
      </c>
      <c r="O974">
        <v>-0.24825014453145069</v>
      </c>
      <c r="P974">
        <v>107528482.93559989</v>
      </c>
      <c r="R974" t="s">
        <v>410</v>
      </c>
      <c r="S974" t="s">
        <v>450</v>
      </c>
      <c r="T974" t="s">
        <v>452</v>
      </c>
      <c r="U974">
        <v>13139</v>
      </c>
      <c r="V974">
        <v>2775</v>
      </c>
      <c r="W974">
        <v>10364</v>
      </c>
    </row>
    <row r="975" spans="1:23" x14ac:dyDescent="0.3">
      <c r="A975" t="s">
        <v>1989</v>
      </c>
      <c r="B975">
        <v>2022</v>
      </c>
      <c r="C975">
        <v>0.84561712041859749</v>
      </c>
      <c r="D975">
        <v>622</v>
      </c>
      <c r="E975">
        <v>0</v>
      </c>
      <c r="F975">
        <v>0</v>
      </c>
      <c r="G975">
        <v>38</v>
      </c>
      <c r="H975">
        <v>1.5420182086847999E-3</v>
      </c>
      <c r="I975">
        <v>10</v>
      </c>
      <c r="L975">
        <v>0</v>
      </c>
      <c r="M975">
        <v>0</v>
      </c>
      <c r="P975">
        <v>54906513.331152722</v>
      </c>
      <c r="R975" t="s">
        <v>464</v>
      </c>
      <c r="S975" t="s">
        <v>477</v>
      </c>
      <c r="T975" t="s">
        <v>484</v>
      </c>
      <c r="U975">
        <v>592</v>
      </c>
      <c r="V975">
        <v>185</v>
      </c>
      <c r="W975">
        <v>407</v>
      </c>
    </row>
    <row r="976" spans="1:23" x14ac:dyDescent="0.3">
      <c r="A976" t="s">
        <v>1990</v>
      </c>
      <c r="B976">
        <v>2022</v>
      </c>
      <c r="C976">
        <v>0.95189448638765639</v>
      </c>
      <c r="D976">
        <v>232</v>
      </c>
      <c r="E976">
        <v>0</v>
      </c>
      <c r="F976">
        <v>0</v>
      </c>
      <c r="G976">
        <v>19</v>
      </c>
      <c r="H976">
        <v>2.2172624492333998E-3</v>
      </c>
      <c r="I976">
        <v>1</v>
      </c>
      <c r="J976">
        <v>0</v>
      </c>
      <c r="K976">
        <v>0</v>
      </c>
      <c r="L976">
        <v>0</v>
      </c>
      <c r="M976">
        <v>1</v>
      </c>
      <c r="P976">
        <v>9955712.7632541247</v>
      </c>
      <c r="R976" t="s">
        <v>464</v>
      </c>
      <c r="S976" t="s">
        <v>485</v>
      </c>
      <c r="T976" t="s">
        <v>489</v>
      </c>
      <c r="U976">
        <v>221</v>
      </c>
      <c r="V976">
        <v>86</v>
      </c>
      <c r="W976">
        <v>135</v>
      </c>
    </row>
    <row r="977" spans="1:23" x14ac:dyDescent="0.3">
      <c r="A977" t="s">
        <v>1991</v>
      </c>
      <c r="B977">
        <v>2022</v>
      </c>
      <c r="C977">
        <v>1.096873872729875</v>
      </c>
      <c r="D977">
        <v>1071</v>
      </c>
      <c r="E977">
        <v>0</v>
      </c>
      <c r="F977">
        <v>0</v>
      </c>
      <c r="G977">
        <v>55</v>
      </c>
      <c r="H977">
        <v>4.4792631791879998E-4</v>
      </c>
      <c r="I977">
        <v>1</v>
      </c>
      <c r="J977">
        <v>0</v>
      </c>
      <c r="K977">
        <v>0</v>
      </c>
      <c r="L977">
        <v>0</v>
      </c>
      <c r="M977">
        <v>2</v>
      </c>
      <c r="N977">
        <v>0.43639740951471861</v>
      </c>
      <c r="O977">
        <v>-0.24147982045908861</v>
      </c>
      <c r="P977">
        <v>49488185.804452352</v>
      </c>
      <c r="R977" t="s">
        <v>464</v>
      </c>
      <c r="S977" t="s">
        <v>492</v>
      </c>
      <c r="T977" t="s">
        <v>493</v>
      </c>
      <c r="U977">
        <v>1020</v>
      </c>
      <c r="V977">
        <v>95</v>
      </c>
      <c r="W977">
        <v>925</v>
      </c>
    </row>
    <row r="978" spans="1:23" x14ac:dyDescent="0.3">
      <c r="A978" t="s">
        <v>1992</v>
      </c>
      <c r="B978">
        <v>2022</v>
      </c>
      <c r="C978">
        <v>0.57594343826105443</v>
      </c>
      <c r="D978">
        <v>2179</v>
      </c>
      <c r="E978">
        <v>0</v>
      </c>
      <c r="F978">
        <v>0</v>
      </c>
      <c r="G978">
        <v>89</v>
      </c>
      <c r="H978">
        <v>4.9613520158250002E-4</v>
      </c>
      <c r="I978">
        <v>3</v>
      </c>
      <c r="J978">
        <v>0</v>
      </c>
      <c r="K978">
        <v>0</v>
      </c>
      <c r="L978">
        <v>0</v>
      </c>
      <c r="M978">
        <v>0</v>
      </c>
      <c r="N978">
        <v>0.4652787402963004</v>
      </c>
      <c r="O978">
        <v>-0.35336813693609609</v>
      </c>
      <c r="P978">
        <v>99931558.129725635</v>
      </c>
      <c r="R978" t="s">
        <v>503</v>
      </c>
      <c r="S978" t="s">
        <v>503</v>
      </c>
      <c r="T978" t="s">
        <v>507</v>
      </c>
      <c r="U978">
        <v>2082</v>
      </c>
      <c r="V978">
        <v>464</v>
      </c>
      <c r="W978">
        <v>1618</v>
      </c>
    </row>
    <row r="979" spans="1:23" x14ac:dyDescent="0.3">
      <c r="A979" t="s">
        <v>1993</v>
      </c>
      <c r="B979">
        <v>2022</v>
      </c>
      <c r="C979">
        <v>0.65595155484389922</v>
      </c>
      <c r="D979">
        <v>1058</v>
      </c>
      <c r="E979">
        <v>0</v>
      </c>
      <c r="F979">
        <v>0</v>
      </c>
      <c r="G979">
        <v>11</v>
      </c>
      <c r="H979">
        <v>7.2806678940539997E-4</v>
      </c>
      <c r="I979">
        <v>1</v>
      </c>
      <c r="J979">
        <v>0</v>
      </c>
      <c r="K979">
        <v>0</v>
      </c>
      <c r="L979">
        <v>0</v>
      </c>
      <c r="M979">
        <v>2</v>
      </c>
      <c r="N979">
        <v>0.53756987048652838</v>
      </c>
      <c r="O979">
        <v>-0.28741713597223761</v>
      </c>
      <c r="P979">
        <v>102249186.0508755</v>
      </c>
      <c r="R979" t="s">
        <v>503</v>
      </c>
      <c r="S979" t="s">
        <v>503</v>
      </c>
      <c r="T979" t="s">
        <v>508</v>
      </c>
      <c r="U979">
        <v>1010</v>
      </c>
      <c r="V979">
        <v>123</v>
      </c>
      <c r="W979">
        <v>887</v>
      </c>
    </row>
    <row r="980" spans="1:23" x14ac:dyDescent="0.3">
      <c r="A980" t="s">
        <v>1994</v>
      </c>
      <c r="B980">
        <v>2022</v>
      </c>
      <c r="C980">
        <v>0.56337150480284248</v>
      </c>
      <c r="D980">
        <v>1066</v>
      </c>
      <c r="E980">
        <v>0</v>
      </c>
      <c r="F980">
        <v>0</v>
      </c>
      <c r="G980">
        <v>27</v>
      </c>
      <c r="H980">
        <v>4.7562371770890001E-4</v>
      </c>
      <c r="I980">
        <v>6</v>
      </c>
      <c r="J980">
        <v>0</v>
      </c>
      <c r="K980">
        <v>0</v>
      </c>
      <c r="L980">
        <v>0</v>
      </c>
      <c r="M980">
        <v>1</v>
      </c>
      <c r="N980">
        <v>0.48085973839442259</v>
      </c>
      <c r="O980">
        <v>-0.39482842038693022</v>
      </c>
      <c r="P980">
        <v>116909433.6790434</v>
      </c>
      <c r="R980" t="s">
        <v>503</v>
      </c>
      <c r="S980" t="s">
        <v>516</v>
      </c>
      <c r="T980" t="s">
        <v>520</v>
      </c>
      <c r="U980">
        <v>1016</v>
      </c>
      <c r="V980">
        <v>136</v>
      </c>
      <c r="W980">
        <v>880</v>
      </c>
    </row>
    <row r="981" spans="1:23" x14ac:dyDescent="0.3">
      <c r="A981" t="s">
        <v>1995</v>
      </c>
      <c r="B981">
        <v>2022</v>
      </c>
      <c r="C981">
        <v>0.66236826384313641</v>
      </c>
      <c r="D981">
        <v>308</v>
      </c>
      <c r="E981">
        <v>0</v>
      </c>
      <c r="F981">
        <v>0</v>
      </c>
      <c r="G981">
        <v>23</v>
      </c>
      <c r="H981">
        <v>8.706999262439E-4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0.48235564324026242</v>
      </c>
      <c r="O981">
        <v>-0.31968130612928253</v>
      </c>
      <c r="P981">
        <v>105755160.1507453</v>
      </c>
      <c r="R981" t="s">
        <v>503</v>
      </c>
      <c r="S981" t="s">
        <v>522</v>
      </c>
      <c r="T981" t="s">
        <v>523</v>
      </c>
      <c r="U981">
        <v>293</v>
      </c>
      <c r="V981">
        <v>106</v>
      </c>
      <c r="W981">
        <v>187</v>
      </c>
    </row>
    <row r="982" spans="1:23" x14ac:dyDescent="0.3">
      <c r="A982" t="s">
        <v>1996</v>
      </c>
      <c r="B982">
        <v>2022</v>
      </c>
      <c r="C982">
        <v>0.7656988478661515</v>
      </c>
      <c r="D982">
        <v>1251</v>
      </c>
      <c r="E982">
        <v>0</v>
      </c>
      <c r="F982">
        <v>0</v>
      </c>
      <c r="G982">
        <v>36</v>
      </c>
      <c r="H982">
        <v>7.3718572324180001E-4</v>
      </c>
      <c r="I982">
        <v>3</v>
      </c>
      <c r="J982">
        <v>0</v>
      </c>
      <c r="K982">
        <v>0</v>
      </c>
      <c r="L982">
        <v>0</v>
      </c>
      <c r="M982">
        <v>0</v>
      </c>
      <c r="N982">
        <v>0.47853415242184227</v>
      </c>
      <c r="O982">
        <v>-0.3402995478498006</v>
      </c>
      <c r="P982">
        <v>44463617.494865216</v>
      </c>
      <c r="R982" t="s">
        <v>503</v>
      </c>
      <c r="S982" t="s">
        <v>530</v>
      </c>
      <c r="T982" t="s">
        <v>317</v>
      </c>
      <c r="U982">
        <v>1193</v>
      </c>
      <c r="V982">
        <v>538</v>
      </c>
      <c r="W982">
        <v>655</v>
      </c>
    </row>
    <row r="983" spans="1:23" x14ac:dyDescent="0.3">
      <c r="A983" t="s">
        <v>1997</v>
      </c>
      <c r="B983">
        <v>2022</v>
      </c>
      <c r="C983">
        <v>0.80532840415197027</v>
      </c>
      <c r="D983">
        <v>400</v>
      </c>
      <c r="E983">
        <v>0</v>
      </c>
      <c r="F983">
        <v>0</v>
      </c>
      <c r="G983">
        <v>29</v>
      </c>
      <c r="H983">
        <v>3.1640561617460002E-4</v>
      </c>
      <c r="I983">
        <v>3</v>
      </c>
      <c r="J983">
        <v>0</v>
      </c>
      <c r="K983">
        <v>0</v>
      </c>
      <c r="L983">
        <v>0</v>
      </c>
      <c r="M983">
        <v>0</v>
      </c>
      <c r="N983">
        <v>0.47363410762222857</v>
      </c>
      <c r="O983">
        <v>-0.36631116603184533</v>
      </c>
      <c r="P983">
        <v>91663599.263196275</v>
      </c>
      <c r="R983" t="s">
        <v>503</v>
      </c>
      <c r="S983" t="s">
        <v>530</v>
      </c>
      <c r="T983" t="s">
        <v>429</v>
      </c>
      <c r="U983">
        <v>382</v>
      </c>
      <c r="V983">
        <v>147</v>
      </c>
      <c r="W983">
        <v>235</v>
      </c>
    </row>
    <row r="984" spans="1:23" x14ac:dyDescent="0.3">
      <c r="A984" t="s">
        <v>1998</v>
      </c>
      <c r="B984">
        <v>2022</v>
      </c>
      <c r="C984">
        <v>0.67342873562057648</v>
      </c>
      <c r="D984">
        <v>1270</v>
      </c>
      <c r="E984">
        <v>0</v>
      </c>
      <c r="F984">
        <v>0</v>
      </c>
      <c r="G984">
        <v>60</v>
      </c>
      <c r="H984">
        <v>5.3219587572879998E-4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0.4517148967065876</v>
      </c>
      <c r="O984">
        <v>-0.31385778127196229</v>
      </c>
      <c r="P984">
        <v>54348475.498921439</v>
      </c>
      <c r="R984" t="s">
        <v>503</v>
      </c>
      <c r="S984" t="s">
        <v>530</v>
      </c>
      <c r="T984" t="s">
        <v>531</v>
      </c>
      <c r="U984">
        <v>1211</v>
      </c>
      <c r="V984">
        <v>389</v>
      </c>
      <c r="W984">
        <v>822</v>
      </c>
    </row>
    <row r="985" spans="1:23" x14ac:dyDescent="0.3">
      <c r="A985" t="s">
        <v>1999</v>
      </c>
      <c r="B985">
        <v>2022</v>
      </c>
      <c r="C985">
        <v>0.73705649539592366</v>
      </c>
      <c r="D985">
        <v>634</v>
      </c>
      <c r="E985">
        <v>0</v>
      </c>
      <c r="F985">
        <v>0</v>
      </c>
      <c r="G985">
        <v>19</v>
      </c>
      <c r="H985">
        <v>1.364248899015E-3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0.47814572100369379</v>
      </c>
      <c r="O985">
        <v>-0.3103499559205648</v>
      </c>
      <c r="P985">
        <v>21630839.112522651</v>
      </c>
      <c r="R985" t="s">
        <v>503</v>
      </c>
      <c r="S985" t="s">
        <v>530</v>
      </c>
      <c r="T985" t="s">
        <v>532</v>
      </c>
      <c r="U985">
        <v>605</v>
      </c>
      <c r="V985">
        <v>145</v>
      </c>
      <c r="W985">
        <v>460</v>
      </c>
    </row>
    <row r="986" spans="1:23" x14ac:dyDescent="0.3">
      <c r="A986" t="s">
        <v>2000</v>
      </c>
      <c r="B986">
        <v>2022</v>
      </c>
      <c r="C986">
        <v>0.70340191260726803</v>
      </c>
      <c r="D986">
        <v>842</v>
      </c>
      <c r="E986">
        <v>0</v>
      </c>
      <c r="F986">
        <v>0</v>
      </c>
      <c r="G986">
        <v>23</v>
      </c>
      <c r="H986">
        <v>2.6175547536003E-3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0.55423606487611365</v>
      </c>
      <c r="O986">
        <v>-0.2855815140290181</v>
      </c>
      <c r="P986">
        <v>28071947.627938081</v>
      </c>
      <c r="R986" t="s">
        <v>503</v>
      </c>
      <c r="S986" t="s">
        <v>533</v>
      </c>
      <c r="T986" t="s">
        <v>537</v>
      </c>
      <c r="U986">
        <v>802</v>
      </c>
      <c r="V986">
        <v>317</v>
      </c>
      <c r="W986">
        <v>485</v>
      </c>
    </row>
    <row r="987" spans="1:23" x14ac:dyDescent="0.3">
      <c r="A987" t="s">
        <v>2001</v>
      </c>
      <c r="B987">
        <v>2022</v>
      </c>
      <c r="C987">
        <v>0.97245283664411963</v>
      </c>
      <c r="D987">
        <v>4462</v>
      </c>
      <c r="E987">
        <v>0</v>
      </c>
      <c r="F987">
        <v>0</v>
      </c>
      <c r="G987">
        <v>227</v>
      </c>
      <c r="H987">
        <v>1.8600751328490001E-4</v>
      </c>
      <c r="I987">
        <v>6</v>
      </c>
      <c r="J987">
        <v>0</v>
      </c>
      <c r="K987">
        <v>0</v>
      </c>
      <c r="L987">
        <v>0</v>
      </c>
      <c r="M987">
        <v>4</v>
      </c>
      <c r="N987">
        <v>0.42252693273357228</v>
      </c>
      <c r="O987">
        <v>-0.39321218891052401</v>
      </c>
      <c r="P987">
        <v>297409362.25008738</v>
      </c>
      <c r="R987" t="s">
        <v>503</v>
      </c>
      <c r="S987" t="s">
        <v>538</v>
      </c>
      <c r="T987" t="s">
        <v>540</v>
      </c>
      <c r="U987">
        <v>4252</v>
      </c>
      <c r="V987">
        <v>937</v>
      </c>
      <c r="W987">
        <v>3315</v>
      </c>
    </row>
    <row r="988" spans="1:23" x14ac:dyDescent="0.3">
      <c r="A988" t="s">
        <v>2002</v>
      </c>
      <c r="B988">
        <v>2022</v>
      </c>
      <c r="C988">
        <v>0.71708454991668469</v>
      </c>
      <c r="D988">
        <v>1039</v>
      </c>
      <c r="E988">
        <v>0</v>
      </c>
      <c r="F988">
        <v>0</v>
      </c>
      <c r="G988">
        <v>38</v>
      </c>
      <c r="H988">
        <v>5.945296919168E-4</v>
      </c>
      <c r="I988">
        <v>4</v>
      </c>
      <c r="J988">
        <v>0</v>
      </c>
      <c r="K988">
        <v>0</v>
      </c>
      <c r="L988">
        <v>0</v>
      </c>
      <c r="M988">
        <v>1</v>
      </c>
      <c r="N988">
        <v>0.51079316863259783</v>
      </c>
      <c r="O988">
        <v>-0.3516925014322449</v>
      </c>
      <c r="P988">
        <v>48058714.871265627</v>
      </c>
      <c r="R988" t="s">
        <v>503</v>
      </c>
      <c r="S988" t="s">
        <v>546</v>
      </c>
      <c r="T988" t="s">
        <v>548</v>
      </c>
      <c r="U988">
        <v>991</v>
      </c>
      <c r="V988">
        <v>213</v>
      </c>
      <c r="W988">
        <v>778</v>
      </c>
    </row>
    <row r="989" spans="1:23" x14ac:dyDescent="0.3">
      <c r="A989" t="s">
        <v>2003</v>
      </c>
      <c r="B989">
        <v>2022</v>
      </c>
      <c r="C989">
        <v>0.60554074372853706</v>
      </c>
      <c r="D989">
        <v>1663</v>
      </c>
      <c r="E989">
        <v>0</v>
      </c>
      <c r="F989">
        <v>0</v>
      </c>
      <c r="G989">
        <v>69</v>
      </c>
      <c r="H989">
        <v>2.5769713252470002E-4</v>
      </c>
      <c r="I989">
        <v>1</v>
      </c>
      <c r="J989">
        <v>0</v>
      </c>
      <c r="K989">
        <v>0</v>
      </c>
      <c r="L989">
        <v>0</v>
      </c>
      <c r="M989">
        <v>1</v>
      </c>
      <c r="N989">
        <v>0.3824500341475105</v>
      </c>
      <c r="O989">
        <v>-0.2352220131462367</v>
      </c>
      <c r="P989">
        <v>180263509.82799339</v>
      </c>
      <c r="R989" t="s">
        <v>503</v>
      </c>
      <c r="S989" t="s">
        <v>546</v>
      </c>
      <c r="T989" t="s">
        <v>551</v>
      </c>
      <c r="U989">
        <v>1585</v>
      </c>
      <c r="V989">
        <v>475</v>
      </c>
      <c r="W989">
        <v>1110</v>
      </c>
    </row>
    <row r="990" spans="1:23" x14ac:dyDescent="0.3">
      <c r="A990" t="s">
        <v>2004</v>
      </c>
      <c r="B990">
        <v>2022</v>
      </c>
      <c r="C990">
        <v>0.75146369380451705</v>
      </c>
      <c r="D990">
        <v>3444</v>
      </c>
      <c r="E990">
        <v>0</v>
      </c>
      <c r="F990">
        <v>0</v>
      </c>
      <c r="G990">
        <v>169</v>
      </c>
      <c r="H990">
        <v>2.4642073654689998E-4</v>
      </c>
      <c r="I990">
        <v>5</v>
      </c>
      <c r="J990">
        <v>0</v>
      </c>
      <c r="K990">
        <v>0</v>
      </c>
      <c r="L990">
        <v>0</v>
      </c>
      <c r="M990">
        <v>0</v>
      </c>
      <c r="N990">
        <v>0.4567202982789853</v>
      </c>
      <c r="O990">
        <v>-0.32227272424335429</v>
      </c>
      <c r="P990">
        <v>155031213.8102037</v>
      </c>
      <c r="R990" t="s">
        <v>503</v>
      </c>
      <c r="S990" t="s">
        <v>561</v>
      </c>
      <c r="T990" t="s">
        <v>567</v>
      </c>
      <c r="U990">
        <v>3283</v>
      </c>
      <c r="V990">
        <v>617</v>
      </c>
      <c r="W990">
        <v>2666</v>
      </c>
    </row>
    <row r="991" spans="1:23" x14ac:dyDescent="0.3">
      <c r="A991" t="s">
        <v>2005</v>
      </c>
      <c r="B991">
        <v>2022</v>
      </c>
      <c r="C991">
        <v>0.61911976173069005</v>
      </c>
      <c r="D991">
        <v>856</v>
      </c>
      <c r="E991">
        <v>0</v>
      </c>
      <c r="F991">
        <v>0</v>
      </c>
      <c r="G991">
        <v>44</v>
      </c>
      <c r="H991">
        <v>1.3698172773189E-3</v>
      </c>
      <c r="I991">
        <v>4</v>
      </c>
      <c r="J991">
        <v>0</v>
      </c>
      <c r="K991">
        <v>0</v>
      </c>
      <c r="L991">
        <v>0</v>
      </c>
      <c r="M991">
        <v>0</v>
      </c>
      <c r="N991">
        <v>0.4793932653793142</v>
      </c>
      <c r="O991">
        <v>-0.42214431154013687</v>
      </c>
      <c r="P991">
        <v>51529850.842323624</v>
      </c>
      <c r="R991" t="s">
        <v>503</v>
      </c>
      <c r="S991" t="s">
        <v>571</v>
      </c>
      <c r="T991" t="s">
        <v>572</v>
      </c>
      <c r="U991">
        <v>816</v>
      </c>
      <c r="V991">
        <v>248</v>
      </c>
      <c r="W991">
        <v>568</v>
      </c>
    </row>
    <row r="992" spans="1:23" x14ac:dyDescent="0.3">
      <c r="A992" t="s">
        <v>2006</v>
      </c>
      <c r="B992">
        <v>2022</v>
      </c>
      <c r="C992">
        <v>0.65904590088643744</v>
      </c>
      <c r="D992">
        <v>2601</v>
      </c>
      <c r="E992">
        <v>0</v>
      </c>
      <c r="F992">
        <v>0</v>
      </c>
      <c r="G992">
        <v>91</v>
      </c>
      <c r="H992">
        <v>3.055714282936E-4</v>
      </c>
      <c r="I992">
        <v>2</v>
      </c>
      <c r="J992">
        <v>0</v>
      </c>
      <c r="K992">
        <v>0</v>
      </c>
      <c r="L992">
        <v>0</v>
      </c>
      <c r="M992">
        <v>1</v>
      </c>
      <c r="N992">
        <v>0.44996868761234671</v>
      </c>
      <c r="O992">
        <v>-0.39789167718767487</v>
      </c>
      <c r="P992">
        <v>76510059.24702844</v>
      </c>
      <c r="R992" t="s">
        <v>503</v>
      </c>
      <c r="S992" t="s">
        <v>571</v>
      </c>
      <c r="T992" t="s">
        <v>573</v>
      </c>
      <c r="U992">
        <v>2483</v>
      </c>
      <c r="V992">
        <v>386</v>
      </c>
      <c r="W992">
        <v>2097</v>
      </c>
    </row>
    <row r="993" spans="1:23" x14ac:dyDescent="0.3">
      <c r="A993" t="s">
        <v>2007</v>
      </c>
      <c r="B993">
        <v>2022</v>
      </c>
      <c r="C993">
        <v>0.55831963402209561</v>
      </c>
      <c r="D993">
        <v>1267</v>
      </c>
      <c r="E993">
        <v>0</v>
      </c>
      <c r="F993">
        <v>0</v>
      </c>
      <c r="G993">
        <v>57</v>
      </c>
      <c r="H993">
        <v>5.8038207786859997E-4</v>
      </c>
      <c r="I993">
        <v>7</v>
      </c>
      <c r="J993">
        <v>0.25</v>
      </c>
      <c r="K993">
        <v>1</v>
      </c>
      <c r="L993">
        <v>0</v>
      </c>
      <c r="M993">
        <v>0</v>
      </c>
      <c r="N993">
        <v>0.3970547093855179</v>
      </c>
      <c r="O993">
        <v>-0.36690986707118101</v>
      </c>
      <c r="P993">
        <v>131383168.5524154</v>
      </c>
      <c r="R993" t="s">
        <v>503</v>
      </c>
      <c r="S993" t="s">
        <v>574</v>
      </c>
      <c r="T993" t="s">
        <v>579</v>
      </c>
      <c r="U993">
        <v>1207</v>
      </c>
      <c r="V993">
        <v>188</v>
      </c>
      <c r="W993">
        <v>1019</v>
      </c>
    </row>
    <row r="994" spans="1:23" x14ac:dyDescent="0.3">
      <c r="A994" t="s">
        <v>2008</v>
      </c>
      <c r="B994">
        <v>2022</v>
      </c>
      <c r="C994">
        <v>0.50330775911661352</v>
      </c>
      <c r="D994">
        <v>496</v>
      </c>
      <c r="E994">
        <v>0</v>
      </c>
      <c r="F994">
        <v>0</v>
      </c>
      <c r="G994">
        <v>35</v>
      </c>
      <c r="H994">
        <v>1.3359934921326E-3</v>
      </c>
      <c r="I994">
        <v>3</v>
      </c>
      <c r="J994">
        <v>0</v>
      </c>
      <c r="K994">
        <v>0</v>
      </c>
      <c r="L994">
        <v>0</v>
      </c>
      <c r="M994">
        <v>3</v>
      </c>
      <c r="N994">
        <v>0.34942318032791392</v>
      </c>
      <c r="O994">
        <v>-0.37507321929335918</v>
      </c>
      <c r="P994">
        <v>119534287.1799134</v>
      </c>
      <c r="R994" t="s">
        <v>503</v>
      </c>
      <c r="S994" t="s">
        <v>574</v>
      </c>
      <c r="T994" t="s">
        <v>580</v>
      </c>
      <c r="U994">
        <v>473</v>
      </c>
      <c r="V994">
        <v>44</v>
      </c>
      <c r="W994">
        <v>429</v>
      </c>
    </row>
    <row r="995" spans="1:23" x14ac:dyDescent="0.3">
      <c r="A995" t="s">
        <v>2009</v>
      </c>
      <c r="B995">
        <v>2022</v>
      </c>
      <c r="C995">
        <v>0.99899774936975916</v>
      </c>
      <c r="D995">
        <v>1044</v>
      </c>
      <c r="E995">
        <v>0</v>
      </c>
      <c r="F995">
        <v>0</v>
      </c>
      <c r="G995">
        <v>26</v>
      </c>
      <c r="H995">
        <v>2.2778691499301001E-3</v>
      </c>
      <c r="I995">
        <v>5</v>
      </c>
      <c r="J995">
        <v>0</v>
      </c>
      <c r="K995">
        <v>0</v>
      </c>
      <c r="L995">
        <v>0</v>
      </c>
      <c r="M995">
        <v>0</v>
      </c>
      <c r="N995">
        <v>0.43136029367639062</v>
      </c>
      <c r="O995">
        <v>-0.32797198815315981</v>
      </c>
      <c r="P995">
        <v>17250199.643547349</v>
      </c>
      <c r="R995" t="s">
        <v>503</v>
      </c>
      <c r="S995" t="s">
        <v>581</v>
      </c>
      <c r="T995" t="s">
        <v>582</v>
      </c>
      <c r="U995">
        <v>995</v>
      </c>
      <c r="V995">
        <v>45</v>
      </c>
      <c r="W995">
        <v>950</v>
      </c>
    </row>
    <row r="996" spans="1:23" x14ac:dyDescent="0.3">
      <c r="A996" t="s">
        <v>2010</v>
      </c>
      <c r="B996">
        <v>2022</v>
      </c>
      <c r="C996">
        <v>0.65740784381501216</v>
      </c>
      <c r="D996">
        <v>307</v>
      </c>
      <c r="E996">
        <v>0</v>
      </c>
      <c r="F996">
        <v>0</v>
      </c>
      <c r="G996">
        <v>24</v>
      </c>
      <c r="H996">
        <v>1.6834993038425999E-3</v>
      </c>
      <c r="I996">
        <v>2</v>
      </c>
      <c r="J996">
        <v>0</v>
      </c>
      <c r="K996">
        <v>0</v>
      </c>
      <c r="L996">
        <v>0</v>
      </c>
      <c r="M996">
        <v>1</v>
      </c>
      <c r="N996">
        <v>0.52091019753718848</v>
      </c>
      <c r="O996">
        <v>-0.40770550994316601</v>
      </c>
      <c r="P996">
        <v>36291725.363845542</v>
      </c>
      <c r="R996" t="s">
        <v>503</v>
      </c>
      <c r="S996" t="s">
        <v>585</v>
      </c>
      <c r="T996" t="s">
        <v>586</v>
      </c>
      <c r="U996">
        <v>293</v>
      </c>
      <c r="V996">
        <v>108</v>
      </c>
      <c r="W996">
        <v>185</v>
      </c>
    </row>
    <row r="997" spans="1:23" x14ac:dyDescent="0.3">
      <c r="A997" t="s">
        <v>2011</v>
      </c>
      <c r="B997">
        <v>2022</v>
      </c>
      <c r="C997">
        <v>0.75283791145314483</v>
      </c>
      <c r="D997">
        <v>2598</v>
      </c>
      <c r="E997">
        <v>0</v>
      </c>
      <c r="F997">
        <v>0</v>
      </c>
      <c r="G997">
        <v>38</v>
      </c>
      <c r="H997">
        <v>1.8466351045669E-3</v>
      </c>
      <c r="I997">
        <v>5</v>
      </c>
      <c r="J997">
        <v>0</v>
      </c>
      <c r="K997">
        <v>0</v>
      </c>
      <c r="L997">
        <v>0</v>
      </c>
      <c r="M997">
        <v>1</v>
      </c>
      <c r="P997">
        <v>56790411.747147173</v>
      </c>
      <c r="R997" t="s">
        <v>590</v>
      </c>
      <c r="S997" t="s">
        <v>408</v>
      </c>
      <c r="T997" t="s">
        <v>598</v>
      </c>
      <c r="U997">
        <v>2479</v>
      </c>
      <c r="V997">
        <v>1230</v>
      </c>
      <c r="W997">
        <v>1249</v>
      </c>
    </row>
    <row r="998" spans="1:23" x14ac:dyDescent="0.3">
      <c r="A998" t="s">
        <v>2012</v>
      </c>
      <c r="B998">
        <v>2022</v>
      </c>
      <c r="C998">
        <v>0.96400612979740841</v>
      </c>
      <c r="D998">
        <v>5472</v>
      </c>
      <c r="E998">
        <v>0</v>
      </c>
      <c r="F998">
        <v>0</v>
      </c>
      <c r="G998">
        <v>51</v>
      </c>
      <c r="H998">
        <v>2.8691166989039001E-3</v>
      </c>
      <c r="I998">
        <v>7</v>
      </c>
      <c r="J998">
        <v>0</v>
      </c>
      <c r="K998">
        <v>0</v>
      </c>
      <c r="L998">
        <v>0</v>
      </c>
      <c r="M998">
        <v>1</v>
      </c>
      <c r="P998">
        <v>81590771.157541454</v>
      </c>
      <c r="R998" t="s">
        <v>590</v>
      </c>
      <c r="S998" t="s">
        <v>599</v>
      </c>
      <c r="T998" t="s">
        <v>600</v>
      </c>
      <c r="U998">
        <v>5221</v>
      </c>
      <c r="V998">
        <v>477</v>
      </c>
      <c r="W998">
        <v>4744</v>
      </c>
    </row>
    <row r="999" spans="1:23" x14ac:dyDescent="0.3">
      <c r="A999" t="s">
        <v>2013</v>
      </c>
      <c r="B999">
        <v>2022</v>
      </c>
      <c r="C999">
        <v>1.2208471722720931</v>
      </c>
      <c r="D999">
        <v>2865</v>
      </c>
      <c r="E999">
        <v>0</v>
      </c>
      <c r="F999">
        <v>0</v>
      </c>
      <c r="G999">
        <v>77</v>
      </c>
      <c r="H999">
        <v>6.9905610304350004E-4</v>
      </c>
      <c r="I999">
        <v>8</v>
      </c>
      <c r="J999">
        <v>0.2</v>
      </c>
      <c r="K999">
        <v>1</v>
      </c>
      <c r="L999">
        <v>0</v>
      </c>
      <c r="M999">
        <v>3</v>
      </c>
      <c r="P999">
        <v>53046575.123113327</v>
      </c>
      <c r="R999" t="s">
        <v>590</v>
      </c>
      <c r="S999" t="s">
        <v>603</v>
      </c>
      <c r="T999" t="s">
        <v>606</v>
      </c>
      <c r="U999">
        <v>2728</v>
      </c>
      <c r="V999">
        <v>95</v>
      </c>
      <c r="W999">
        <v>2633</v>
      </c>
    </row>
    <row r="1000" spans="1:23" x14ac:dyDescent="0.3">
      <c r="A1000" t="s">
        <v>2014</v>
      </c>
      <c r="B1000">
        <v>2022</v>
      </c>
      <c r="C1000">
        <v>1.1023192334638621</v>
      </c>
      <c r="D1000">
        <v>1833</v>
      </c>
      <c r="E1000">
        <v>0</v>
      </c>
      <c r="F1000">
        <v>0</v>
      </c>
      <c r="G1000">
        <v>73</v>
      </c>
      <c r="H1000">
        <v>1.3020603486898999E-3</v>
      </c>
      <c r="I1000">
        <v>5</v>
      </c>
      <c r="J1000">
        <v>0</v>
      </c>
      <c r="K1000">
        <v>0</v>
      </c>
      <c r="L1000">
        <v>0</v>
      </c>
      <c r="M1000">
        <v>3</v>
      </c>
      <c r="N1000">
        <v>0.431871730507492</v>
      </c>
      <c r="O1000">
        <v>-0.19882954307800349</v>
      </c>
      <c r="P1000">
        <v>47659225.191705503</v>
      </c>
      <c r="R1000" t="s">
        <v>616</v>
      </c>
      <c r="S1000" t="s">
        <v>639</v>
      </c>
      <c r="T1000" t="s">
        <v>91</v>
      </c>
      <c r="U1000">
        <v>1747</v>
      </c>
      <c r="V1000">
        <v>54</v>
      </c>
      <c r="W1000">
        <v>1693</v>
      </c>
    </row>
    <row r="1001" spans="1:23" x14ac:dyDescent="0.3">
      <c r="A1001" t="s">
        <v>2015</v>
      </c>
      <c r="B1001">
        <v>2022</v>
      </c>
      <c r="C1001">
        <v>1.0668415436015131</v>
      </c>
      <c r="D1001">
        <v>9167</v>
      </c>
      <c r="E1001">
        <v>0</v>
      </c>
      <c r="F1001">
        <v>0</v>
      </c>
      <c r="G1001">
        <v>84</v>
      </c>
      <c r="H1001">
        <v>4.3869206408930002E-4</v>
      </c>
      <c r="I1001">
        <v>9</v>
      </c>
      <c r="J1001">
        <v>0</v>
      </c>
      <c r="K1001">
        <v>0</v>
      </c>
      <c r="L1001">
        <v>0</v>
      </c>
      <c r="M1001">
        <v>0</v>
      </c>
      <c r="N1001">
        <v>0.39928043182481621</v>
      </c>
      <c r="O1001">
        <v>-0.27583804382694332</v>
      </c>
      <c r="P1001">
        <v>239047639.1736562</v>
      </c>
      <c r="R1001" t="s">
        <v>616</v>
      </c>
      <c r="S1001" t="s">
        <v>651</v>
      </c>
      <c r="T1001" t="s">
        <v>652</v>
      </c>
      <c r="U1001">
        <v>8734</v>
      </c>
      <c r="V1001">
        <v>69</v>
      </c>
      <c r="W1001">
        <v>8665</v>
      </c>
    </row>
    <row r="1002" spans="1:23" x14ac:dyDescent="0.3">
      <c r="A1002" t="s">
        <v>2016</v>
      </c>
      <c r="B1002">
        <v>2022</v>
      </c>
      <c r="C1002">
        <v>0.75704118483744443</v>
      </c>
      <c r="D1002">
        <v>9198</v>
      </c>
      <c r="E1002">
        <v>0</v>
      </c>
      <c r="F1002">
        <v>0</v>
      </c>
      <c r="G1002">
        <v>118</v>
      </c>
      <c r="H1002">
        <v>2.842484155526E-4</v>
      </c>
      <c r="I1002">
        <v>3</v>
      </c>
      <c r="J1002">
        <v>0</v>
      </c>
      <c r="K1002">
        <v>0</v>
      </c>
      <c r="L1002">
        <v>0</v>
      </c>
      <c r="M1002">
        <v>1</v>
      </c>
      <c r="N1002">
        <v>0.37774878546021451</v>
      </c>
      <c r="O1002">
        <v>-0.29323427540775288</v>
      </c>
      <c r="P1002">
        <v>465021037.90550733</v>
      </c>
      <c r="R1002" t="s">
        <v>616</v>
      </c>
      <c r="S1002" t="s">
        <v>651</v>
      </c>
      <c r="T1002" t="s">
        <v>653</v>
      </c>
      <c r="U1002">
        <v>8764</v>
      </c>
      <c r="V1002">
        <v>617</v>
      </c>
      <c r="W1002">
        <v>8147</v>
      </c>
    </row>
    <row r="1003" spans="1:23" x14ac:dyDescent="0.3">
      <c r="A1003" t="s">
        <v>2017</v>
      </c>
      <c r="B1003">
        <v>2022</v>
      </c>
      <c r="C1003">
        <v>0.81520529841166789</v>
      </c>
      <c r="D1003">
        <v>3224</v>
      </c>
      <c r="E1003">
        <v>0</v>
      </c>
      <c r="F1003">
        <v>0</v>
      </c>
      <c r="G1003">
        <v>65</v>
      </c>
      <c r="H1003">
        <v>9.0620378535909997E-4</v>
      </c>
      <c r="I1003">
        <v>11</v>
      </c>
      <c r="J1003">
        <v>0</v>
      </c>
      <c r="K1003">
        <v>0</v>
      </c>
      <c r="L1003">
        <v>0</v>
      </c>
      <c r="M1003">
        <v>0</v>
      </c>
      <c r="N1003">
        <v>0.3754572552938768</v>
      </c>
      <c r="O1003">
        <v>-0.28736507424917079</v>
      </c>
      <c r="P1003">
        <v>74684135.842351422</v>
      </c>
      <c r="R1003" t="s">
        <v>616</v>
      </c>
      <c r="S1003" t="s">
        <v>666</v>
      </c>
      <c r="T1003" t="s">
        <v>668</v>
      </c>
      <c r="U1003">
        <v>3064</v>
      </c>
      <c r="V1003">
        <v>2</v>
      </c>
      <c r="W1003">
        <v>3062</v>
      </c>
    </row>
    <row r="1004" spans="1:23" x14ac:dyDescent="0.3">
      <c r="A1004" t="s">
        <v>2018</v>
      </c>
      <c r="B1004">
        <v>2022</v>
      </c>
      <c r="C1004">
        <v>0.66191226208185383</v>
      </c>
      <c r="D1004">
        <v>220</v>
      </c>
      <c r="E1004">
        <v>0</v>
      </c>
      <c r="F1004">
        <v>0</v>
      </c>
      <c r="G1004">
        <v>26</v>
      </c>
      <c r="H1004">
        <v>2.7132659323621001E-3</v>
      </c>
      <c r="I1004">
        <v>1</v>
      </c>
      <c r="L1004">
        <v>0</v>
      </c>
      <c r="M1004">
        <v>0</v>
      </c>
      <c r="N1004">
        <v>0.61357249175279394</v>
      </c>
      <c r="O1004">
        <v>-0.27214655420784972</v>
      </c>
      <c r="P1004">
        <v>104246007.5284629</v>
      </c>
      <c r="R1004" t="s">
        <v>678</v>
      </c>
      <c r="S1004" t="s">
        <v>688</v>
      </c>
      <c r="T1004" t="s">
        <v>690</v>
      </c>
      <c r="U1004">
        <v>209</v>
      </c>
      <c r="V1004">
        <v>106</v>
      </c>
      <c r="W1004">
        <v>103</v>
      </c>
    </row>
    <row r="1005" spans="1:23" x14ac:dyDescent="0.3">
      <c r="A1005" t="s">
        <v>2019</v>
      </c>
      <c r="B1005">
        <v>2022</v>
      </c>
      <c r="C1005">
        <v>0.67993484066270471</v>
      </c>
      <c r="D1005">
        <v>578</v>
      </c>
      <c r="E1005">
        <v>0</v>
      </c>
      <c r="F1005">
        <v>0</v>
      </c>
      <c r="G1005">
        <v>29</v>
      </c>
      <c r="H1005">
        <v>8.0288499922879998E-4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0.541831573951712</v>
      </c>
      <c r="O1005">
        <v>-0.241061952965616</v>
      </c>
      <c r="P1005">
        <v>161475654.64069799</v>
      </c>
      <c r="R1005" t="s">
        <v>678</v>
      </c>
      <c r="S1005" t="s">
        <v>688</v>
      </c>
      <c r="T1005" t="s">
        <v>692</v>
      </c>
      <c r="U1005">
        <v>549</v>
      </c>
      <c r="V1005">
        <v>145</v>
      </c>
      <c r="W1005">
        <v>404</v>
      </c>
    </row>
    <row r="1006" spans="1:23" x14ac:dyDescent="0.3">
      <c r="A1006" t="s">
        <v>2020</v>
      </c>
      <c r="B1006">
        <v>2022</v>
      </c>
      <c r="C1006">
        <v>0.66954303439735918</v>
      </c>
      <c r="D1006">
        <v>764</v>
      </c>
      <c r="E1006">
        <v>0</v>
      </c>
      <c r="F1006">
        <v>0</v>
      </c>
      <c r="G1006">
        <v>30</v>
      </c>
      <c r="H1006">
        <v>1.4835544798374001E-3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0.61834338667938205</v>
      </c>
      <c r="O1006">
        <v>-0.30038263622967099</v>
      </c>
      <c r="P1006">
        <v>98685235.560575783</v>
      </c>
      <c r="R1006" t="s">
        <v>678</v>
      </c>
      <c r="S1006" t="s">
        <v>688</v>
      </c>
      <c r="T1006" t="s">
        <v>695</v>
      </c>
      <c r="U1006">
        <v>729</v>
      </c>
      <c r="V1006">
        <v>314</v>
      </c>
      <c r="W1006">
        <v>415</v>
      </c>
    </row>
    <row r="1007" spans="1:23" x14ac:dyDescent="0.3">
      <c r="A1007" t="s">
        <v>2021</v>
      </c>
      <c r="B1007">
        <v>2022</v>
      </c>
      <c r="C1007">
        <v>0.55890888231275826</v>
      </c>
      <c r="D1007">
        <v>1539</v>
      </c>
      <c r="E1007">
        <v>0</v>
      </c>
      <c r="F1007">
        <v>0</v>
      </c>
      <c r="G1007">
        <v>65</v>
      </c>
      <c r="H1007">
        <v>9.2463932204549996E-4</v>
      </c>
      <c r="I1007">
        <v>12</v>
      </c>
      <c r="J1007">
        <v>0</v>
      </c>
      <c r="K1007">
        <v>0</v>
      </c>
      <c r="L1007">
        <v>0</v>
      </c>
      <c r="M1007">
        <v>2</v>
      </c>
      <c r="N1007">
        <v>0.60704035469869477</v>
      </c>
      <c r="O1007">
        <v>-0.22090901813686839</v>
      </c>
      <c r="P1007">
        <v>802324157.91760099</v>
      </c>
      <c r="R1007" t="s">
        <v>678</v>
      </c>
      <c r="S1007" t="s">
        <v>696</v>
      </c>
      <c r="T1007" t="s">
        <v>149</v>
      </c>
      <c r="U1007">
        <v>1468</v>
      </c>
      <c r="V1007">
        <v>36</v>
      </c>
      <c r="W1007">
        <v>1432</v>
      </c>
    </row>
    <row r="1008" spans="1:23" x14ac:dyDescent="0.3">
      <c r="A1008" t="s">
        <v>2022</v>
      </c>
      <c r="B1008">
        <v>2022</v>
      </c>
      <c r="C1008">
        <v>0.66122502979709341</v>
      </c>
      <c r="D1008">
        <v>444</v>
      </c>
      <c r="E1008">
        <v>0</v>
      </c>
      <c r="F1008">
        <v>0</v>
      </c>
      <c r="G1008">
        <v>28</v>
      </c>
      <c r="H1008">
        <v>2.4569583394432998E-3</v>
      </c>
      <c r="I1008">
        <v>2</v>
      </c>
      <c r="J1008">
        <v>0</v>
      </c>
      <c r="K1008">
        <v>0</v>
      </c>
      <c r="L1008">
        <v>0</v>
      </c>
      <c r="M1008">
        <v>1</v>
      </c>
      <c r="N1008">
        <v>0.61234640722497125</v>
      </c>
      <c r="O1008">
        <v>-0.2537721731303012</v>
      </c>
      <c r="P1008">
        <v>129381556.9942342</v>
      </c>
      <c r="R1008" t="s">
        <v>678</v>
      </c>
      <c r="S1008" t="s">
        <v>696</v>
      </c>
      <c r="T1008" t="s">
        <v>699</v>
      </c>
      <c r="U1008">
        <v>424</v>
      </c>
      <c r="V1008">
        <v>94</v>
      </c>
      <c r="W1008">
        <v>330</v>
      </c>
    </row>
    <row r="1009" spans="1:23" x14ac:dyDescent="0.3">
      <c r="A1009" t="s">
        <v>2023</v>
      </c>
      <c r="B1009">
        <v>2022</v>
      </c>
      <c r="C1009">
        <v>0.77026642638005083</v>
      </c>
      <c r="D1009">
        <v>228</v>
      </c>
      <c r="E1009">
        <v>0</v>
      </c>
      <c r="F1009">
        <v>0</v>
      </c>
      <c r="G1009">
        <v>30</v>
      </c>
      <c r="H1009">
        <v>1.5185854937291999E-3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0.50083129625066158</v>
      </c>
      <c r="O1009">
        <v>-0.24252416065580021</v>
      </c>
      <c r="P1009">
        <v>150039130.51966521</v>
      </c>
      <c r="R1009" t="s">
        <v>678</v>
      </c>
      <c r="S1009" t="s">
        <v>718</v>
      </c>
      <c r="T1009" t="s">
        <v>719</v>
      </c>
      <c r="U1009">
        <v>218</v>
      </c>
      <c r="V1009">
        <v>69</v>
      </c>
      <c r="W1009">
        <v>149</v>
      </c>
    </row>
    <row r="1010" spans="1:23" x14ac:dyDescent="0.3">
      <c r="A1010" t="s">
        <v>2024</v>
      </c>
      <c r="B1010">
        <v>2022</v>
      </c>
      <c r="C1010">
        <v>0.5279413128937539</v>
      </c>
      <c r="D1010">
        <v>956</v>
      </c>
      <c r="E1010">
        <v>0</v>
      </c>
      <c r="F1010">
        <v>0</v>
      </c>
      <c r="G1010">
        <v>8</v>
      </c>
      <c r="H1010">
        <v>2.26890756302521E-2</v>
      </c>
      <c r="I1010">
        <v>4</v>
      </c>
      <c r="J1010">
        <v>0</v>
      </c>
      <c r="K1010">
        <v>0</v>
      </c>
      <c r="L1010">
        <v>0</v>
      </c>
      <c r="M1010">
        <v>2</v>
      </c>
      <c r="N1010">
        <v>0.50815442178271752</v>
      </c>
      <c r="O1010">
        <v>-0.1569812292309096</v>
      </c>
      <c r="P1010">
        <v>679423752.17609477</v>
      </c>
      <c r="R1010" t="s">
        <v>678</v>
      </c>
      <c r="S1010" t="s">
        <v>718</v>
      </c>
      <c r="T1010" t="s">
        <v>720</v>
      </c>
      <c r="U1010">
        <v>911</v>
      </c>
      <c r="V1010">
        <v>27</v>
      </c>
      <c r="W1010">
        <v>884</v>
      </c>
    </row>
    <row r="1011" spans="1:23" x14ac:dyDescent="0.3">
      <c r="A1011" t="s">
        <v>2025</v>
      </c>
      <c r="B1011">
        <v>2022</v>
      </c>
      <c r="C1011">
        <v>0.71087003868920906</v>
      </c>
      <c r="D1011">
        <v>230</v>
      </c>
      <c r="E1011">
        <v>0</v>
      </c>
      <c r="F1011">
        <v>0</v>
      </c>
      <c r="G1011">
        <v>22</v>
      </c>
      <c r="H1011">
        <v>5.0238357169049997E-3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0.66556680919494748</v>
      </c>
      <c r="O1011">
        <v>-0.281917534360555</v>
      </c>
      <c r="P1011">
        <v>44493730.206956677</v>
      </c>
      <c r="R1011" t="s">
        <v>678</v>
      </c>
      <c r="S1011" t="s">
        <v>718</v>
      </c>
      <c r="T1011" t="s">
        <v>721</v>
      </c>
      <c r="U1011">
        <v>219</v>
      </c>
      <c r="V1011">
        <v>57</v>
      </c>
      <c r="W1011">
        <v>162</v>
      </c>
    </row>
    <row r="1012" spans="1:23" x14ac:dyDescent="0.3">
      <c r="A1012" t="s">
        <v>2026</v>
      </c>
      <c r="B1012">
        <v>2022</v>
      </c>
      <c r="C1012">
        <v>0.75639352658646508</v>
      </c>
      <c r="D1012">
        <v>500</v>
      </c>
      <c r="E1012">
        <v>0</v>
      </c>
      <c r="F1012">
        <v>0</v>
      </c>
      <c r="G1012">
        <v>32</v>
      </c>
      <c r="H1012">
        <v>1.3476906711859999E-3</v>
      </c>
      <c r="I1012">
        <v>4</v>
      </c>
      <c r="J1012">
        <v>0</v>
      </c>
      <c r="K1012">
        <v>0</v>
      </c>
      <c r="L1012">
        <v>0</v>
      </c>
      <c r="M1012">
        <v>0</v>
      </c>
      <c r="N1012">
        <v>0.64716187137270242</v>
      </c>
      <c r="O1012">
        <v>-0.2908028127764607</v>
      </c>
      <c r="P1012">
        <v>87579453.392705366</v>
      </c>
      <c r="R1012" t="s">
        <v>678</v>
      </c>
      <c r="S1012" t="s">
        <v>718</v>
      </c>
      <c r="T1012" t="s">
        <v>722</v>
      </c>
      <c r="U1012">
        <v>477</v>
      </c>
      <c r="V1012">
        <v>160</v>
      </c>
      <c r="W1012">
        <v>317</v>
      </c>
    </row>
    <row r="1013" spans="1:23" x14ac:dyDescent="0.3">
      <c r="A1013" t="s">
        <v>2027</v>
      </c>
      <c r="B1013">
        <v>2022</v>
      </c>
      <c r="C1013">
        <v>0.50425307501383709</v>
      </c>
      <c r="D1013">
        <v>2313</v>
      </c>
      <c r="E1013">
        <v>0</v>
      </c>
      <c r="F1013">
        <v>0</v>
      </c>
      <c r="G1013">
        <v>50</v>
      </c>
      <c r="H1013">
        <v>1.7918951686360001E-3</v>
      </c>
      <c r="I1013">
        <v>2</v>
      </c>
      <c r="J1013">
        <v>0</v>
      </c>
      <c r="K1013">
        <v>0</v>
      </c>
      <c r="L1013">
        <v>0</v>
      </c>
      <c r="M1013">
        <v>5</v>
      </c>
      <c r="N1013">
        <v>0.61118178842525739</v>
      </c>
      <c r="O1013">
        <v>-0.22424753981780249</v>
      </c>
      <c r="P1013">
        <v>858786918.96142697</v>
      </c>
      <c r="R1013" t="s">
        <v>678</v>
      </c>
      <c r="S1013" t="s">
        <v>728</v>
      </c>
      <c r="T1013" t="s">
        <v>729</v>
      </c>
      <c r="U1013">
        <v>2198</v>
      </c>
      <c r="V1013">
        <v>22</v>
      </c>
      <c r="W1013">
        <v>2176</v>
      </c>
    </row>
    <row r="1014" spans="1:23" x14ac:dyDescent="0.3">
      <c r="A1014" t="s">
        <v>2028</v>
      </c>
      <c r="B1014">
        <v>2022</v>
      </c>
      <c r="C1014">
        <v>1.1206380379859771</v>
      </c>
      <c r="D1014">
        <v>5935</v>
      </c>
      <c r="E1014">
        <v>0</v>
      </c>
      <c r="F1014">
        <v>0</v>
      </c>
      <c r="G1014">
        <v>83</v>
      </c>
      <c r="H1014">
        <v>2.0956779549905001E-3</v>
      </c>
      <c r="I1014">
        <v>7</v>
      </c>
      <c r="J1014">
        <v>0</v>
      </c>
      <c r="K1014">
        <v>0</v>
      </c>
      <c r="L1014">
        <v>0</v>
      </c>
      <c r="M1014">
        <v>0</v>
      </c>
      <c r="N1014">
        <v>0.68440058201737453</v>
      </c>
      <c r="O1014">
        <v>-0.31169390962584781</v>
      </c>
      <c r="P1014">
        <v>153242842.22034651</v>
      </c>
      <c r="R1014" t="s">
        <v>734</v>
      </c>
      <c r="S1014" t="s">
        <v>743</v>
      </c>
      <c r="T1014" t="s">
        <v>745</v>
      </c>
      <c r="U1014">
        <v>5657</v>
      </c>
      <c r="V1014">
        <v>312</v>
      </c>
      <c r="W1014">
        <v>5345</v>
      </c>
    </row>
    <row r="1015" spans="1:23" x14ac:dyDescent="0.3">
      <c r="A1015" t="s">
        <v>2029</v>
      </c>
      <c r="B1015">
        <v>2022</v>
      </c>
      <c r="C1015">
        <v>0.55847213904832216</v>
      </c>
      <c r="D1015">
        <v>529</v>
      </c>
      <c r="E1015">
        <v>0</v>
      </c>
      <c r="F1015">
        <v>0</v>
      </c>
      <c r="G1015">
        <v>60</v>
      </c>
      <c r="H1015">
        <v>1.1890306845499E-3</v>
      </c>
      <c r="I1015">
        <v>3</v>
      </c>
      <c r="J1015">
        <v>3.5273148003376999E-3</v>
      </c>
      <c r="K1015">
        <v>2</v>
      </c>
      <c r="L1015">
        <v>0</v>
      </c>
      <c r="M1015">
        <v>0</v>
      </c>
      <c r="N1015">
        <v>0.47797797873979109</v>
      </c>
      <c r="O1015">
        <v>-0.22754031849280651</v>
      </c>
      <c r="P1015">
        <v>258464753.273972</v>
      </c>
      <c r="R1015" t="s">
        <v>734</v>
      </c>
      <c r="S1015" t="s">
        <v>752</v>
      </c>
      <c r="T1015" t="s">
        <v>755</v>
      </c>
      <c r="U1015">
        <v>504</v>
      </c>
      <c r="V1015">
        <v>257</v>
      </c>
      <c r="W1015">
        <v>247</v>
      </c>
    </row>
    <row r="1016" spans="1:23" x14ac:dyDescent="0.3">
      <c r="A1016" t="s">
        <v>2030</v>
      </c>
      <c r="B1016">
        <v>2022</v>
      </c>
      <c r="C1016">
        <v>0.5056902927361584</v>
      </c>
      <c r="D1016">
        <v>1106</v>
      </c>
      <c r="E1016">
        <v>0</v>
      </c>
      <c r="F1016">
        <v>0</v>
      </c>
      <c r="G1016">
        <v>0</v>
      </c>
      <c r="J1016">
        <v>0</v>
      </c>
      <c r="K1016">
        <v>0</v>
      </c>
      <c r="L1016">
        <v>0</v>
      </c>
      <c r="M1016">
        <v>0</v>
      </c>
      <c r="N1016">
        <v>0.57294438803056458</v>
      </c>
      <c r="O1016">
        <v>-0.22569097604547131</v>
      </c>
      <c r="P1016">
        <v>5643071876.774394</v>
      </c>
      <c r="R1016" t="s">
        <v>760</v>
      </c>
      <c r="S1016" t="s">
        <v>760</v>
      </c>
      <c r="T1016" t="s">
        <v>766</v>
      </c>
      <c r="U1016">
        <v>1055</v>
      </c>
      <c r="V1016">
        <v>0</v>
      </c>
      <c r="W1016">
        <v>1055</v>
      </c>
    </row>
    <row r="1017" spans="1:23" x14ac:dyDescent="0.3">
      <c r="A1017" t="s">
        <v>2031</v>
      </c>
      <c r="B1017">
        <v>2022</v>
      </c>
      <c r="C1017">
        <v>0.94695879655972237</v>
      </c>
      <c r="D1017">
        <v>921</v>
      </c>
      <c r="E1017">
        <v>0</v>
      </c>
      <c r="F1017">
        <v>0</v>
      </c>
      <c r="G1017">
        <v>39</v>
      </c>
      <c r="H1017">
        <v>2.1505376344086E-3</v>
      </c>
      <c r="I1017">
        <v>5</v>
      </c>
      <c r="J1017">
        <v>0</v>
      </c>
      <c r="K1017">
        <v>0</v>
      </c>
      <c r="L1017">
        <v>0</v>
      </c>
      <c r="M1017">
        <v>0</v>
      </c>
      <c r="N1017">
        <v>0.68484120915316526</v>
      </c>
      <c r="O1017">
        <v>-0.3015635119974161</v>
      </c>
      <c r="P1017">
        <v>69332113.78079547</v>
      </c>
      <c r="R1017" t="s">
        <v>760</v>
      </c>
      <c r="S1017" t="s">
        <v>773</v>
      </c>
      <c r="T1017" t="s">
        <v>303</v>
      </c>
      <c r="U1017">
        <v>879</v>
      </c>
      <c r="V1017">
        <v>405</v>
      </c>
      <c r="W1017">
        <v>474</v>
      </c>
    </row>
    <row r="1018" spans="1:23" x14ac:dyDescent="0.3">
      <c r="A1018" t="s">
        <v>2032</v>
      </c>
      <c r="B1018">
        <v>2022</v>
      </c>
      <c r="C1018">
        <v>12.467808106321099</v>
      </c>
      <c r="D1018">
        <v>608</v>
      </c>
      <c r="E1018">
        <v>0</v>
      </c>
      <c r="F1018">
        <v>0</v>
      </c>
      <c r="G1018">
        <v>55</v>
      </c>
      <c r="H1018">
        <v>1.7602840630075E-3</v>
      </c>
      <c r="I1018">
        <v>2</v>
      </c>
      <c r="J1018">
        <v>0</v>
      </c>
      <c r="K1018">
        <v>0</v>
      </c>
      <c r="L1018">
        <v>0</v>
      </c>
      <c r="M1018">
        <v>3</v>
      </c>
      <c r="P1018">
        <v>11494679.08478865</v>
      </c>
      <c r="R1018" t="s">
        <v>656</v>
      </c>
      <c r="S1018" t="s">
        <v>776</v>
      </c>
      <c r="T1018" t="s">
        <v>783</v>
      </c>
      <c r="U1018">
        <v>579</v>
      </c>
      <c r="V1018">
        <v>356</v>
      </c>
      <c r="W1018">
        <v>223</v>
      </c>
    </row>
    <row r="1019" spans="1:23" x14ac:dyDescent="0.3">
      <c r="A1019" t="s">
        <v>2033</v>
      </c>
      <c r="B1019">
        <v>2022</v>
      </c>
      <c r="C1019">
        <v>0.86415474114867641</v>
      </c>
      <c r="D1019">
        <v>1424</v>
      </c>
      <c r="E1019">
        <v>0</v>
      </c>
      <c r="F1019">
        <v>0</v>
      </c>
      <c r="G1019">
        <v>59</v>
      </c>
      <c r="H1019">
        <v>9.3498485186269999E-4</v>
      </c>
      <c r="I1019">
        <v>4</v>
      </c>
      <c r="J1019">
        <v>0</v>
      </c>
      <c r="K1019">
        <v>0</v>
      </c>
      <c r="L1019">
        <v>0</v>
      </c>
      <c r="M1019">
        <v>5</v>
      </c>
      <c r="N1019">
        <v>0.47107252748233119</v>
      </c>
      <c r="O1019">
        <v>-0.22094507410321809</v>
      </c>
      <c r="P1019">
        <v>140421427.73627421</v>
      </c>
      <c r="R1019" t="s">
        <v>834</v>
      </c>
      <c r="S1019" t="s">
        <v>858</v>
      </c>
      <c r="T1019" t="s">
        <v>430</v>
      </c>
      <c r="U1019">
        <v>1360</v>
      </c>
      <c r="V1019">
        <v>568</v>
      </c>
      <c r="W1019">
        <v>792</v>
      </c>
    </row>
    <row r="1020" spans="1:23" x14ac:dyDescent="0.3">
      <c r="A1020" t="s">
        <v>2034</v>
      </c>
      <c r="B1020">
        <v>2022</v>
      </c>
      <c r="C1020">
        <v>0.54910312364586755</v>
      </c>
      <c r="D1020">
        <v>916</v>
      </c>
      <c r="E1020">
        <v>0</v>
      </c>
      <c r="F1020">
        <v>0</v>
      </c>
      <c r="G1020">
        <v>50</v>
      </c>
      <c r="H1020">
        <v>5.3691228821310005E-4</v>
      </c>
      <c r="I1020">
        <v>4</v>
      </c>
      <c r="J1020">
        <v>0</v>
      </c>
      <c r="K1020">
        <v>0</v>
      </c>
      <c r="L1020">
        <v>0</v>
      </c>
      <c r="M1020">
        <v>0</v>
      </c>
      <c r="N1020">
        <v>0.57207371350398983</v>
      </c>
      <c r="O1020">
        <v>-0.2607430921881958</v>
      </c>
      <c r="P1020">
        <v>339999724.56737202</v>
      </c>
      <c r="R1020" t="s">
        <v>878</v>
      </c>
      <c r="S1020" t="s">
        <v>879</v>
      </c>
      <c r="T1020" t="s">
        <v>882</v>
      </c>
      <c r="U1020">
        <v>874</v>
      </c>
      <c r="V1020">
        <v>102</v>
      </c>
      <c r="W1020">
        <v>772</v>
      </c>
    </row>
    <row r="1021" spans="1:23" x14ac:dyDescent="0.3">
      <c r="A1021" t="s">
        <v>2035</v>
      </c>
      <c r="B1021">
        <v>2022</v>
      </c>
      <c r="C1021">
        <v>0.84190274551092703</v>
      </c>
      <c r="D1021">
        <v>3309</v>
      </c>
      <c r="E1021">
        <v>0</v>
      </c>
      <c r="F1021">
        <v>0</v>
      </c>
      <c r="G1021">
        <v>64</v>
      </c>
      <c r="H1021">
        <v>1.2258382277685E-3</v>
      </c>
      <c r="I1021">
        <v>1</v>
      </c>
      <c r="J1021">
        <v>0</v>
      </c>
      <c r="K1021">
        <v>0</v>
      </c>
      <c r="L1021">
        <v>0</v>
      </c>
      <c r="M1021">
        <v>1</v>
      </c>
      <c r="N1021">
        <v>0.61389510520480128</v>
      </c>
      <c r="O1021">
        <v>-0.2691051447498401</v>
      </c>
      <c r="P1021">
        <v>117143683.7883061</v>
      </c>
      <c r="R1021" t="s">
        <v>878</v>
      </c>
      <c r="S1021" t="s">
        <v>891</v>
      </c>
      <c r="T1021" t="s">
        <v>892</v>
      </c>
      <c r="U1021">
        <v>3158</v>
      </c>
      <c r="V1021">
        <v>1888</v>
      </c>
      <c r="W1021">
        <v>1270</v>
      </c>
    </row>
    <row r="1022" spans="1:23" x14ac:dyDescent="0.3">
      <c r="A1022" t="s">
        <v>2036</v>
      </c>
      <c r="B1022">
        <v>2022</v>
      </c>
      <c r="C1022">
        <v>0.49891884079771898</v>
      </c>
      <c r="D1022">
        <v>2009</v>
      </c>
      <c r="E1022">
        <v>0</v>
      </c>
      <c r="F1022">
        <v>0</v>
      </c>
      <c r="G1022">
        <v>130</v>
      </c>
      <c r="H1022">
        <v>4.3923993087520002E-4</v>
      </c>
      <c r="I1022">
        <v>4</v>
      </c>
      <c r="J1022">
        <v>0</v>
      </c>
      <c r="K1022">
        <v>0</v>
      </c>
      <c r="L1022">
        <v>0</v>
      </c>
      <c r="M1022">
        <v>1</v>
      </c>
      <c r="N1022">
        <v>0.62587685240746938</v>
      </c>
      <c r="O1022">
        <v>-0.24641430675729489</v>
      </c>
      <c r="P1022">
        <v>905259010.52016103</v>
      </c>
      <c r="R1022" t="s">
        <v>878</v>
      </c>
      <c r="S1022" t="s">
        <v>891</v>
      </c>
      <c r="T1022" t="s">
        <v>893</v>
      </c>
      <c r="U1022">
        <v>1905</v>
      </c>
      <c r="V1022">
        <v>829</v>
      </c>
      <c r="W1022">
        <v>1076</v>
      </c>
    </row>
    <row r="1023" spans="1:23" x14ac:dyDescent="0.3">
      <c r="A1023" t="s">
        <v>2037</v>
      </c>
      <c r="B1023">
        <v>2022</v>
      </c>
      <c r="C1023">
        <v>0.48508955297931539</v>
      </c>
      <c r="D1023">
        <v>840</v>
      </c>
      <c r="E1023">
        <v>0</v>
      </c>
      <c r="F1023">
        <v>0</v>
      </c>
      <c r="G1023">
        <v>47</v>
      </c>
      <c r="H1023">
        <v>1.5809574781631001E-3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0.59189441749067306</v>
      </c>
      <c r="O1023">
        <v>-0.21705846753225169</v>
      </c>
      <c r="P1023">
        <v>920741065.44035602</v>
      </c>
      <c r="R1023" t="s">
        <v>878</v>
      </c>
      <c r="S1023" t="s">
        <v>891</v>
      </c>
      <c r="T1023" t="s">
        <v>894</v>
      </c>
      <c r="U1023">
        <v>801</v>
      </c>
      <c r="V1023">
        <v>38</v>
      </c>
      <c r="W1023">
        <v>763</v>
      </c>
    </row>
    <row r="1024" spans="1:23" x14ac:dyDescent="0.3">
      <c r="A1024" t="s">
        <v>2038</v>
      </c>
      <c r="B1024">
        <v>2022</v>
      </c>
      <c r="C1024">
        <v>0.61640458322918756</v>
      </c>
      <c r="D1024">
        <v>582</v>
      </c>
      <c r="E1024">
        <v>0</v>
      </c>
      <c r="F1024">
        <v>0</v>
      </c>
      <c r="G1024">
        <v>30</v>
      </c>
      <c r="H1024">
        <v>2.4095693505075998E-3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0.60455402901896349</v>
      </c>
      <c r="O1024">
        <v>-0.23200168133174931</v>
      </c>
      <c r="P1024">
        <v>78361951.657047004</v>
      </c>
      <c r="R1024" t="s">
        <v>878</v>
      </c>
      <c r="S1024" t="s">
        <v>891</v>
      </c>
      <c r="T1024" t="s">
        <v>895</v>
      </c>
      <c r="U1024">
        <v>555</v>
      </c>
      <c r="V1024">
        <v>37</v>
      </c>
      <c r="W1024">
        <v>518</v>
      </c>
    </row>
    <row r="1025" spans="1:23" x14ac:dyDescent="0.3">
      <c r="A1025" t="s">
        <v>2039</v>
      </c>
      <c r="B1025">
        <v>2022</v>
      </c>
      <c r="C1025">
        <v>0.98243042122216184</v>
      </c>
      <c r="D1025">
        <v>1034</v>
      </c>
      <c r="E1025">
        <v>0</v>
      </c>
      <c r="F1025">
        <v>0</v>
      </c>
      <c r="G1025">
        <v>42</v>
      </c>
      <c r="H1025">
        <v>1.9928847195752998E-3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0.64294220258442492</v>
      </c>
      <c r="O1025">
        <v>-0.30092825289682518</v>
      </c>
      <c r="P1025">
        <v>50497188.159643158</v>
      </c>
      <c r="R1025" t="s">
        <v>878</v>
      </c>
      <c r="S1025" t="s">
        <v>906</v>
      </c>
      <c r="T1025" t="s">
        <v>908</v>
      </c>
      <c r="U1025">
        <v>986</v>
      </c>
      <c r="V1025">
        <v>241</v>
      </c>
      <c r="W1025">
        <v>745</v>
      </c>
    </row>
    <row r="1026" spans="1:23" x14ac:dyDescent="0.3">
      <c r="A1026" t="s">
        <v>2040</v>
      </c>
      <c r="B1026">
        <v>2022</v>
      </c>
      <c r="C1026">
        <v>1.570521017194171</v>
      </c>
      <c r="D1026">
        <v>1787</v>
      </c>
      <c r="E1026">
        <v>0</v>
      </c>
      <c r="F1026">
        <v>0</v>
      </c>
      <c r="G1026">
        <v>95</v>
      </c>
      <c r="H1026">
        <v>3.4803386837047E-3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0.63588264613482259</v>
      </c>
      <c r="O1026">
        <v>-0.28188038737000581</v>
      </c>
      <c r="P1026">
        <v>44785282.317155421</v>
      </c>
      <c r="R1026" t="s">
        <v>878</v>
      </c>
      <c r="S1026" t="s">
        <v>906</v>
      </c>
      <c r="T1026" t="s">
        <v>909</v>
      </c>
      <c r="U1026">
        <v>1704</v>
      </c>
      <c r="V1026">
        <v>923</v>
      </c>
      <c r="W1026">
        <v>781</v>
      </c>
    </row>
    <row r="1027" spans="1:23" x14ac:dyDescent="0.3">
      <c r="A1027" t="s">
        <v>2041</v>
      </c>
      <c r="B1027">
        <v>2022</v>
      </c>
      <c r="C1027">
        <v>0.48714858952549001</v>
      </c>
      <c r="D1027">
        <v>478</v>
      </c>
      <c r="E1027">
        <v>0</v>
      </c>
      <c r="F1027">
        <v>0</v>
      </c>
      <c r="G1027">
        <v>22</v>
      </c>
      <c r="H1027">
        <v>1.9979979979979001E-3</v>
      </c>
      <c r="I1027">
        <v>5</v>
      </c>
      <c r="J1027">
        <v>0</v>
      </c>
      <c r="K1027">
        <v>0</v>
      </c>
      <c r="L1027">
        <v>0</v>
      </c>
      <c r="M1027">
        <v>1</v>
      </c>
      <c r="N1027">
        <v>0.50090871441079698</v>
      </c>
      <c r="O1027">
        <v>-0.17384821223450531</v>
      </c>
      <c r="P1027">
        <v>242501814.24606881</v>
      </c>
      <c r="R1027" t="s">
        <v>878</v>
      </c>
      <c r="S1027" t="s">
        <v>910</v>
      </c>
      <c r="T1027" t="s">
        <v>914</v>
      </c>
      <c r="U1027">
        <v>455</v>
      </c>
      <c r="V1027">
        <v>94</v>
      </c>
      <c r="W1027">
        <v>361</v>
      </c>
    </row>
    <row r="1028" spans="1:23" x14ac:dyDescent="0.3">
      <c r="A1028" t="s">
        <v>2042</v>
      </c>
      <c r="B1028">
        <v>2022</v>
      </c>
      <c r="C1028">
        <v>0.56479923094161533</v>
      </c>
      <c r="D1028">
        <v>461</v>
      </c>
      <c r="E1028">
        <v>0</v>
      </c>
      <c r="F1028">
        <v>0</v>
      </c>
      <c r="G1028">
        <v>27</v>
      </c>
      <c r="H1028">
        <v>3.1892239885107998E-3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0.57232574107680634</v>
      </c>
      <c r="O1028">
        <v>-0.22288024022146269</v>
      </c>
      <c r="P1028">
        <v>57421181.533481538</v>
      </c>
      <c r="R1028" t="s">
        <v>878</v>
      </c>
      <c r="S1028" t="s">
        <v>915</v>
      </c>
      <c r="T1028" t="s">
        <v>335</v>
      </c>
      <c r="U1028">
        <v>440</v>
      </c>
      <c r="V1028">
        <v>127</v>
      </c>
      <c r="W1028">
        <v>313</v>
      </c>
    </row>
    <row r="1029" spans="1:23" x14ac:dyDescent="0.3">
      <c r="A1029" t="s">
        <v>2043</v>
      </c>
      <c r="B1029">
        <v>2022</v>
      </c>
      <c r="C1029">
        <v>0.67462782453668158</v>
      </c>
      <c r="D1029">
        <v>2145</v>
      </c>
      <c r="E1029">
        <v>0</v>
      </c>
      <c r="F1029">
        <v>0</v>
      </c>
      <c r="G1029">
        <v>60</v>
      </c>
      <c r="H1029">
        <v>1.798177009718E-3</v>
      </c>
      <c r="I1029">
        <v>1</v>
      </c>
      <c r="J1029">
        <v>0</v>
      </c>
      <c r="K1029">
        <v>0</v>
      </c>
      <c r="L1029">
        <v>0</v>
      </c>
      <c r="M1029">
        <v>1</v>
      </c>
      <c r="N1029">
        <v>0.49222602651659519</v>
      </c>
      <c r="O1029">
        <v>-0.17378544470770729</v>
      </c>
      <c r="P1029">
        <v>115688797.53532019</v>
      </c>
      <c r="R1029" t="s">
        <v>878</v>
      </c>
      <c r="S1029" t="s">
        <v>915</v>
      </c>
      <c r="T1029" t="s">
        <v>916</v>
      </c>
      <c r="U1029">
        <v>2024</v>
      </c>
      <c r="V1029">
        <v>422</v>
      </c>
      <c r="W1029">
        <v>1602</v>
      </c>
    </row>
    <row r="1030" spans="1:23" x14ac:dyDescent="0.3">
      <c r="A1030" t="s">
        <v>2044</v>
      </c>
      <c r="B1030">
        <v>2022</v>
      </c>
      <c r="C1030">
        <v>0.81216324753040448</v>
      </c>
      <c r="D1030">
        <v>2022</v>
      </c>
      <c r="E1030">
        <v>0</v>
      </c>
      <c r="F1030">
        <v>0</v>
      </c>
      <c r="G1030">
        <v>112</v>
      </c>
      <c r="H1030">
        <v>1.4388489208633001E-3</v>
      </c>
      <c r="I1030">
        <v>17</v>
      </c>
      <c r="J1030">
        <v>0</v>
      </c>
      <c r="K1030">
        <v>0</v>
      </c>
      <c r="L1030">
        <v>0</v>
      </c>
      <c r="M1030">
        <v>4</v>
      </c>
      <c r="N1030">
        <v>0.65685385589335166</v>
      </c>
      <c r="O1030">
        <v>-0.31240068029308299</v>
      </c>
      <c r="P1030">
        <v>154606898.84418669</v>
      </c>
      <c r="R1030" t="s">
        <v>926</v>
      </c>
      <c r="S1030" t="s">
        <v>927</v>
      </c>
      <c r="T1030" t="s">
        <v>934</v>
      </c>
      <c r="U1030">
        <v>1930</v>
      </c>
      <c r="V1030">
        <v>420</v>
      </c>
      <c r="W1030">
        <v>1510</v>
      </c>
    </row>
    <row r="1031" spans="1:23" x14ac:dyDescent="0.3">
      <c r="A1031" t="s">
        <v>2045</v>
      </c>
      <c r="B1031">
        <v>2022</v>
      </c>
      <c r="C1031">
        <v>0.42624471617539911</v>
      </c>
      <c r="D1031">
        <v>309</v>
      </c>
      <c r="E1031">
        <v>0</v>
      </c>
      <c r="F1031">
        <v>0</v>
      </c>
      <c r="G1031">
        <v>0</v>
      </c>
      <c r="J1031">
        <v>0</v>
      </c>
      <c r="K1031">
        <v>0</v>
      </c>
      <c r="L1031">
        <v>0</v>
      </c>
      <c r="M1031">
        <v>0</v>
      </c>
      <c r="N1031">
        <v>0.54996778800739143</v>
      </c>
      <c r="O1031">
        <v>-0.15954005271843849</v>
      </c>
      <c r="P1031">
        <v>382434141.3960281</v>
      </c>
      <c r="R1031" t="s">
        <v>926</v>
      </c>
      <c r="S1031" t="s">
        <v>939</v>
      </c>
      <c r="T1031" t="s">
        <v>943</v>
      </c>
      <c r="U1031">
        <v>295</v>
      </c>
      <c r="V1031">
        <v>22</v>
      </c>
      <c r="W1031">
        <v>273</v>
      </c>
    </row>
    <row r="1032" spans="1:23" x14ac:dyDescent="0.3">
      <c r="A1032" t="s">
        <v>2046</v>
      </c>
      <c r="B1032">
        <v>2022</v>
      </c>
      <c r="C1032">
        <v>10.828448572531091</v>
      </c>
      <c r="D1032">
        <v>4561</v>
      </c>
      <c r="E1032">
        <v>0</v>
      </c>
      <c r="F1032">
        <v>0</v>
      </c>
      <c r="G1032">
        <v>103</v>
      </c>
      <c r="H1032">
        <v>1.9678662682429998E-3</v>
      </c>
      <c r="I1032">
        <v>4</v>
      </c>
      <c r="J1032">
        <v>4.7560975609756098E-2</v>
      </c>
      <c r="K1032">
        <v>2</v>
      </c>
      <c r="L1032">
        <v>0</v>
      </c>
      <c r="M1032">
        <v>0</v>
      </c>
      <c r="N1032">
        <v>0.59780859733174685</v>
      </c>
      <c r="O1032">
        <v>-0.31108359544524478</v>
      </c>
      <c r="P1032">
        <v>120426925.41734339</v>
      </c>
      <c r="R1032" t="s">
        <v>926</v>
      </c>
      <c r="S1032" t="s">
        <v>946</v>
      </c>
      <c r="T1032" t="s">
        <v>950</v>
      </c>
      <c r="U1032">
        <v>4346</v>
      </c>
      <c r="V1032">
        <v>1939</v>
      </c>
      <c r="W1032">
        <v>2407</v>
      </c>
    </row>
    <row r="1033" spans="1:23" x14ac:dyDescent="0.3">
      <c r="A1033" t="s">
        <v>2047</v>
      </c>
      <c r="B1033">
        <v>2022</v>
      </c>
      <c r="C1033">
        <v>0.54495494235717146</v>
      </c>
      <c r="D1033">
        <v>128</v>
      </c>
      <c r="E1033">
        <v>0</v>
      </c>
      <c r="F1033">
        <v>0</v>
      </c>
      <c r="G1033">
        <v>10</v>
      </c>
      <c r="H1033">
        <v>3.9061597133941001E-3</v>
      </c>
      <c r="I1033">
        <v>4</v>
      </c>
      <c r="J1033">
        <v>0</v>
      </c>
      <c r="K1033">
        <v>0</v>
      </c>
      <c r="L1033">
        <v>0</v>
      </c>
      <c r="M1033">
        <v>0</v>
      </c>
      <c r="N1033">
        <v>0.5251212220390471</v>
      </c>
      <c r="O1033">
        <v>-0.20731813746216929</v>
      </c>
      <c r="P1033">
        <v>649049123.73094893</v>
      </c>
      <c r="R1033" t="s">
        <v>926</v>
      </c>
      <c r="S1033" t="s">
        <v>926</v>
      </c>
      <c r="T1033" t="s">
        <v>953</v>
      </c>
      <c r="U1033">
        <v>122</v>
      </c>
      <c r="V1033">
        <v>52</v>
      </c>
      <c r="W1033">
        <v>70</v>
      </c>
    </row>
    <row r="1034" spans="1:23" x14ac:dyDescent="0.3">
      <c r="A1034" t="s">
        <v>2048</v>
      </c>
      <c r="B1034">
        <v>2022</v>
      </c>
      <c r="C1034">
        <v>0.52089196865952991</v>
      </c>
      <c r="D1034">
        <v>283</v>
      </c>
      <c r="E1034">
        <v>0</v>
      </c>
      <c r="F1034">
        <v>0</v>
      </c>
      <c r="G1034">
        <v>21</v>
      </c>
      <c r="H1034">
        <v>1.6286427353716E-3</v>
      </c>
      <c r="I1034">
        <v>5</v>
      </c>
      <c r="J1034">
        <v>0</v>
      </c>
      <c r="K1034">
        <v>0</v>
      </c>
      <c r="L1034">
        <v>0</v>
      </c>
      <c r="M1034">
        <v>0</v>
      </c>
      <c r="N1034">
        <v>0.63061385729118202</v>
      </c>
      <c r="O1034">
        <v>-0.2462296827257022</v>
      </c>
      <c r="P1034">
        <v>355826085.83933079</v>
      </c>
      <c r="R1034" t="s">
        <v>926</v>
      </c>
      <c r="S1034" t="s">
        <v>926</v>
      </c>
      <c r="T1034" t="s">
        <v>954</v>
      </c>
      <c r="U1034">
        <v>270</v>
      </c>
      <c r="V1034">
        <v>105</v>
      </c>
      <c r="W1034">
        <v>165</v>
      </c>
    </row>
    <row r="1035" spans="1:23" x14ac:dyDescent="0.3">
      <c r="A1035" t="s">
        <v>2049</v>
      </c>
      <c r="B1035">
        <v>2022</v>
      </c>
      <c r="C1035">
        <v>0.61467732555951571</v>
      </c>
      <c r="D1035">
        <v>632</v>
      </c>
      <c r="E1035">
        <v>0</v>
      </c>
      <c r="F1035">
        <v>0</v>
      </c>
      <c r="G1035">
        <v>32</v>
      </c>
      <c r="H1035">
        <v>2.5602812488057999E-3</v>
      </c>
      <c r="I1035">
        <v>2</v>
      </c>
      <c r="L1035">
        <v>0</v>
      </c>
      <c r="M1035">
        <v>0</v>
      </c>
      <c r="N1035">
        <v>0.72354876921900069</v>
      </c>
      <c r="O1035">
        <v>-0.33493852896219789</v>
      </c>
      <c r="P1035">
        <v>58647411.438182458</v>
      </c>
      <c r="R1035" t="s">
        <v>926</v>
      </c>
      <c r="S1035" t="s">
        <v>956</v>
      </c>
      <c r="T1035" t="s">
        <v>958</v>
      </c>
      <c r="U1035">
        <v>603</v>
      </c>
      <c r="V1035">
        <v>152</v>
      </c>
      <c r="W1035">
        <v>451</v>
      </c>
    </row>
    <row r="1036" spans="1:23" x14ac:dyDescent="0.3">
      <c r="A1036" t="s">
        <v>2050</v>
      </c>
      <c r="B1036">
        <v>2022</v>
      </c>
      <c r="C1036">
        <v>0.66870750947102631</v>
      </c>
      <c r="D1036">
        <v>5426</v>
      </c>
      <c r="E1036">
        <v>0</v>
      </c>
      <c r="F1036">
        <v>0</v>
      </c>
      <c r="G1036">
        <v>143</v>
      </c>
      <c r="H1036">
        <v>3.3008372221880001E-4</v>
      </c>
      <c r="I1036">
        <v>1</v>
      </c>
      <c r="J1036">
        <v>0</v>
      </c>
      <c r="K1036">
        <v>0</v>
      </c>
      <c r="L1036">
        <v>0</v>
      </c>
      <c r="M1036">
        <v>3</v>
      </c>
      <c r="N1036">
        <v>0.56013936190096092</v>
      </c>
      <c r="O1036">
        <v>-0.23487324636798751</v>
      </c>
      <c r="P1036">
        <v>608047332.80043447</v>
      </c>
      <c r="R1036" t="s">
        <v>963</v>
      </c>
      <c r="S1036" t="s">
        <v>964</v>
      </c>
      <c r="T1036" t="s">
        <v>972</v>
      </c>
      <c r="U1036">
        <v>5167</v>
      </c>
      <c r="V1036">
        <v>110</v>
      </c>
      <c r="W1036">
        <v>5057</v>
      </c>
    </row>
    <row r="1037" spans="1:23" x14ac:dyDescent="0.3">
      <c r="A1037" t="s">
        <v>2051</v>
      </c>
      <c r="B1037">
        <v>2022</v>
      </c>
      <c r="C1037">
        <v>52.606804763188187</v>
      </c>
      <c r="D1037">
        <v>3389</v>
      </c>
      <c r="E1037">
        <v>0</v>
      </c>
      <c r="F1037">
        <v>0</v>
      </c>
      <c r="G1037">
        <v>103</v>
      </c>
      <c r="H1037">
        <v>2.3457741939559998E-3</v>
      </c>
      <c r="I1037">
        <v>3</v>
      </c>
      <c r="J1037">
        <v>5.2552552552552499E-2</v>
      </c>
      <c r="K1037">
        <v>2</v>
      </c>
      <c r="L1037">
        <v>0</v>
      </c>
      <c r="M1037">
        <v>3</v>
      </c>
      <c r="N1037">
        <v>0.56739531675486621</v>
      </c>
      <c r="O1037">
        <v>-0.29668747390952749</v>
      </c>
      <c r="P1037">
        <v>76044469.270960808</v>
      </c>
      <c r="R1037" t="s">
        <v>963</v>
      </c>
      <c r="S1037" t="s">
        <v>981</v>
      </c>
      <c r="T1037" t="s">
        <v>982</v>
      </c>
      <c r="U1037">
        <v>3229</v>
      </c>
      <c r="V1037">
        <v>253</v>
      </c>
      <c r="W1037">
        <v>2976</v>
      </c>
    </row>
    <row r="1038" spans="1:23" x14ac:dyDescent="0.3">
      <c r="A1038" t="s">
        <v>2052</v>
      </c>
      <c r="B1038">
        <v>2022</v>
      </c>
      <c r="C1038">
        <v>2.3823275001236892</v>
      </c>
      <c r="D1038">
        <v>2400</v>
      </c>
      <c r="E1038">
        <v>0</v>
      </c>
      <c r="F1038">
        <v>0</v>
      </c>
      <c r="G1038">
        <v>98</v>
      </c>
      <c r="H1038">
        <v>2.2205358706438002E-3</v>
      </c>
      <c r="I1038">
        <v>3</v>
      </c>
      <c r="J1038">
        <v>0</v>
      </c>
      <c r="K1038">
        <v>0</v>
      </c>
      <c r="L1038">
        <v>0</v>
      </c>
      <c r="M1038">
        <v>0</v>
      </c>
      <c r="N1038">
        <v>0.50633144811418962</v>
      </c>
      <c r="O1038">
        <v>-0.26610631298484982</v>
      </c>
      <c r="P1038">
        <v>76837197.526661396</v>
      </c>
      <c r="R1038" t="s">
        <v>963</v>
      </c>
      <c r="S1038" t="s">
        <v>981</v>
      </c>
      <c r="T1038" t="s">
        <v>985</v>
      </c>
      <c r="U1038">
        <v>2279</v>
      </c>
      <c r="V1038">
        <v>397</v>
      </c>
      <c r="W1038">
        <v>1882</v>
      </c>
    </row>
    <row r="1039" spans="1:23" x14ac:dyDescent="0.3">
      <c r="A1039" t="s">
        <v>2053</v>
      </c>
      <c r="B1039">
        <v>2022</v>
      </c>
      <c r="C1039">
        <v>0.84099035045415371</v>
      </c>
      <c r="D1039">
        <v>2249</v>
      </c>
      <c r="E1039">
        <v>0</v>
      </c>
      <c r="F1039">
        <v>0</v>
      </c>
      <c r="G1039">
        <v>55</v>
      </c>
      <c r="H1039">
        <v>4.2809576660852999E-3</v>
      </c>
      <c r="I1039">
        <v>7</v>
      </c>
      <c r="J1039">
        <v>0</v>
      </c>
      <c r="K1039">
        <v>0</v>
      </c>
      <c r="L1039">
        <v>0</v>
      </c>
      <c r="M1039">
        <v>0</v>
      </c>
      <c r="N1039">
        <v>0.53419779031297432</v>
      </c>
      <c r="O1039">
        <v>-0.2861200754744182</v>
      </c>
      <c r="P1039">
        <v>73186080.961640462</v>
      </c>
      <c r="R1039" t="s">
        <v>963</v>
      </c>
      <c r="S1039" t="s">
        <v>981</v>
      </c>
      <c r="T1039" t="s">
        <v>829</v>
      </c>
      <c r="U1039">
        <v>2144</v>
      </c>
      <c r="V1039">
        <v>471</v>
      </c>
      <c r="W1039">
        <v>1673</v>
      </c>
    </row>
    <row r="1040" spans="1:23" x14ac:dyDescent="0.3">
      <c r="A1040" t="s">
        <v>2054</v>
      </c>
      <c r="B1040">
        <v>2022</v>
      </c>
      <c r="C1040">
        <v>34.610048527583423</v>
      </c>
      <c r="D1040">
        <v>3843</v>
      </c>
      <c r="E1040">
        <v>0</v>
      </c>
      <c r="F1040">
        <v>0</v>
      </c>
      <c r="G1040">
        <v>102</v>
      </c>
      <c r="H1040">
        <v>1.4233587887932E-3</v>
      </c>
      <c r="I1040">
        <v>5</v>
      </c>
      <c r="J1040">
        <v>0</v>
      </c>
      <c r="K1040">
        <v>0</v>
      </c>
      <c r="L1040">
        <v>0</v>
      </c>
      <c r="M1040">
        <v>2</v>
      </c>
      <c r="N1040">
        <v>0.55984943145425137</v>
      </c>
      <c r="O1040">
        <v>-0.25341533222069518</v>
      </c>
      <c r="P1040">
        <v>145742806.02229819</v>
      </c>
      <c r="R1040" t="s">
        <v>963</v>
      </c>
      <c r="S1040" t="s">
        <v>981</v>
      </c>
      <c r="T1040" t="s">
        <v>987</v>
      </c>
      <c r="U1040">
        <v>3663</v>
      </c>
      <c r="V1040">
        <v>666</v>
      </c>
      <c r="W1040">
        <v>2997</v>
      </c>
    </row>
    <row r="1041" spans="1:23" x14ac:dyDescent="0.3">
      <c r="A1041" t="s">
        <v>2055</v>
      </c>
      <c r="B1041">
        <v>2022</v>
      </c>
      <c r="C1041">
        <v>0.52692437467753239</v>
      </c>
      <c r="D1041">
        <v>1268</v>
      </c>
      <c r="E1041">
        <v>0</v>
      </c>
      <c r="F1041">
        <v>0</v>
      </c>
      <c r="G1041">
        <v>24</v>
      </c>
      <c r="H1041">
        <v>4.7566078711796002E-3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0.6379815509523874</v>
      </c>
      <c r="O1041">
        <v>-0.25893286069703259</v>
      </c>
      <c r="P1041">
        <v>191994325.19024649</v>
      </c>
      <c r="R1041" t="s">
        <v>963</v>
      </c>
      <c r="S1041" t="s">
        <v>988</v>
      </c>
      <c r="T1041" t="s">
        <v>993</v>
      </c>
      <c r="U1041">
        <v>1204</v>
      </c>
      <c r="V1041">
        <v>366</v>
      </c>
      <c r="W1041">
        <v>838</v>
      </c>
    </row>
    <row r="1042" spans="1:23" x14ac:dyDescent="0.3">
      <c r="A1042" t="s">
        <v>2056</v>
      </c>
      <c r="B1042">
        <v>2022</v>
      </c>
      <c r="C1042">
        <v>0.94849424814582317</v>
      </c>
      <c r="D1042">
        <v>1711</v>
      </c>
      <c r="E1042">
        <v>0</v>
      </c>
      <c r="F1042">
        <v>0</v>
      </c>
      <c r="G1042">
        <v>64</v>
      </c>
      <c r="H1042">
        <v>7.5177017737359999E-4</v>
      </c>
      <c r="I1042">
        <v>3</v>
      </c>
      <c r="J1042">
        <v>0</v>
      </c>
      <c r="K1042">
        <v>0</v>
      </c>
      <c r="L1042">
        <v>0</v>
      </c>
      <c r="M1042">
        <v>0</v>
      </c>
      <c r="N1042">
        <v>0.4875546508371606</v>
      </c>
      <c r="O1042">
        <v>-0.31472431208361251</v>
      </c>
      <c r="P1042">
        <v>125734535.5552583</v>
      </c>
      <c r="R1042" t="s">
        <v>23</v>
      </c>
      <c r="S1042" t="s">
        <v>80</v>
      </c>
      <c r="T1042" t="s">
        <v>1014</v>
      </c>
      <c r="U1042">
        <v>1638</v>
      </c>
      <c r="V1042">
        <v>974</v>
      </c>
      <c r="W1042">
        <v>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3802-C87B-4177-9586-B7899C7FDF99}">
  <dimension ref="A1:J462"/>
  <sheetViews>
    <sheetView workbookViewId="0"/>
  </sheetViews>
  <sheetFormatPr baseColWidth="10" defaultColWidth="8.88671875" defaultRowHeight="14.4" x14ac:dyDescent="0.3"/>
  <sheetData>
    <row r="1" spans="1:10" x14ac:dyDescent="0.3">
      <c r="A1" s="3" t="s">
        <v>0</v>
      </c>
      <c r="B1" s="1" t="s">
        <v>17</v>
      </c>
      <c r="C1" s="1" t="s">
        <v>18</v>
      </c>
      <c r="D1" s="1" t="s">
        <v>19</v>
      </c>
      <c r="E1" s="3" t="s">
        <v>4</v>
      </c>
      <c r="F1" s="3" t="s">
        <v>15</v>
      </c>
      <c r="G1" s="3" t="s">
        <v>20</v>
      </c>
      <c r="H1" s="3" t="s">
        <v>2057</v>
      </c>
      <c r="I1" s="3" t="s">
        <v>2058</v>
      </c>
      <c r="J1" s="3" t="s">
        <v>2059</v>
      </c>
    </row>
    <row r="2" spans="1:10" x14ac:dyDescent="0.3">
      <c r="A2" t="s">
        <v>1355</v>
      </c>
      <c r="B2" t="s">
        <v>291</v>
      </c>
      <c r="C2" t="s">
        <v>334</v>
      </c>
      <c r="D2" t="s">
        <v>335</v>
      </c>
      <c r="E2">
        <v>1944.165196078432</v>
      </c>
      <c r="F2">
        <v>52207767.948683813</v>
      </c>
      <c r="G2">
        <v>5047</v>
      </c>
      <c r="H2">
        <f t="shared" ref="H2:H65" si="0">J2/POWER(G2*E2/F2,1/2)</f>
        <v>8.8820986798668233</v>
      </c>
      <c r="I2">
        <f t="shared" ref="I2:I65" si="1">E2/F2</f>
        <v>3.7239002402657697E-5</v>
      </c>
      <c r="J2">
        <v>3.85062534719453</v>
      </c>
    </row>
    <row r="3" spans="1:10" x14ac:dyDescent="0.3">
      <c r="A3" t="s">
        <v>1367</v>
      </c>
      <c r="B3" t="s">
        <v>23</v>
      </c>
      <c r="C3" t="s">
        <v>59</v>
      </c>
      <c r="D3" t="s">
        <v>61</v>
      </c>
      <c r="E3">
        <v>1944.1741421568629</v>
      </c>
      <c r="F3">
        <v>154489740.52742019</v>
      </c>
      <c r="G3">
        <v>1388</v>
      </c>
      <c r="H3">
        <f t="shared" si="0"/>
        <v>6.587305134020295</v>
      </c>
      <c r="I3">
        <f t="shared" si="1"/>
        <v>1.2584487070271141E-5</v>
      </c>
      <c r="J3">
        <v>0.87060322900523635</v>
      </c>
    </row>
    <row r="4" spans="1:10" x14ac:dyDescent="0.3">
      <c r="A4" t="s">
        <v>1476</v>
      </c>
      <c r="B4" t="s">
        <v>926</v>
      </c>
      <c r="C4" t="s">
        <v>935</v>
      </c>
      <c r="D4" t="s">
        <v>935</v>
      </c>
      <c r="E4">
        <v>973.8287990196078</v>
      </c>
      <c r="F4">
        <v>243119461.47969231</v>
      </c>
      <c r="G4">
        <v>3542</v>
      </c>
      <c r="H4">
        <f t="shared" si="0"/>
        <v>5.7633755460779872</v>
      </c>
      <c r="I4">
        <f t="shared" si="1"/>
        <v>4.0055567460236058E-6</v>
      </c>
      <c r="J4">
        <v>0.68648751345152881</v>
      </c>
    </row>
    <row r="5" spans="1:10" x14ac:dyDescent="0.3">
      <c r="A5" t="s">
        <v>1460</v>
      </c>
      <c r="B5" t="s">
        <v>195</v>
      </c>
      <c r="C5" t="s">
        <v>196</v>
      </c>
      <c r="D5" t="s">
        <v>200</v>
      </c>
      <c r="E5">
        <v>4868.6222426470586</v>
      </c>
      <c r="F5">
        <v>18407692.516123399</v>
      </c>
      <c r="G5">
        <v>2467</v>
      </c>
      <c r="H5">
        <f t="shared" si="0"/>
        <v>5.2807358012611436</v>
      </c>
      <c r="I5">
        <f t="shared" si="1"/>
        <v>2.6448845983181244E-4</v>
      </c>
      <c r="J5">
        <v>4.2656221073792544</v>
      </c>
    </row>
    <row r="6" spans="1:10" x14ac:dyDescent="0.3">
      <c r="A6" t="s">
        <v>1127</v>
      </c>
      <c r="B6" t="s">
        <v>926</v>
      </c>
      <c r="C6" t="s">
        <v>939</v>
      </c>
      <c r="D6" t="s">
        <v>945</v>
      </c>
      <c r="E6">
        <v>248325.625</v>
      </c>
      <c r="F6">
        <v>498796479.2906372</v>
      </c>
      <c r="G6">
        <v>2667</v>
      </c>
      <c r="H6">
        <f t="shared" si="0"/>
        <v>5.1376344814232642</v>
      </c>
      <c r="I6">
        <f t="shared" si="1"/>
        <v>4.9784959459448473E-4</v>
      </c>
      <c r="J6">
        <v>5.9200283946735563</v>
      </c>
    </row>
    <row r="7" spans="1:10" x14ac:dyDescent="0.3">
      <c r="A7" t="s">
        <v>1382</v>
      </c>
      <c r="B7" t="s">
        <v>23</v>
      </c>
      <c r="C7" t="s">
        <v>86</v>
      </c>
      <c r="D7" t="s">
        <v>88</v>
      </c>
      <c r="E7">
        <v>4860.4129901960787</v>
      </c>
      <c r="F7">
        <v>72153206.242964998</v>
      </c>
      <c r="G7">
        <v>966</v>
      </c>
      <c r="H7">
        <f t="shared" si="0"/>
        <v>4.5798780279600519</v>
      </c>
      <c r="I7">
        <f t="shared" si="1"/>
        <v>6.7362397920743444E-5</v>
      </c>
      <c r="J7">
        <v>1.1682915738395609</v>
      </c>
    </row>
    <row r="8" spans="1:10" x14ac:dyDescent="0.3">
      <c r="A8" t="s">
        <v>1420</v>
      </c>
      <c r="B8" t="s">
        <v>656</v>
      </c>
      <c r="C8" t="s">
        <v>813</v>
      </c>
      <c r="D8" t="s">
        <v>820</v>
      </c>
      <c r="E8">
        <v>18502.357169117651</v>
      </c>
      <c r="F8">
        <v>21076878.140606541</v>
      </c>
      <c r="G8">
        <v>6192</v>
      </c>
      <c r="H8">
        <f t="shared" si="0"/>
        <v>3.9985015986758907</v>
      </c>
      <c r="I8">
        <f t="shared" si="1"/>
        <v>8.7785093435973141E-4</v>
      </c>
      <c r="J8">
        <v>9.3223013068664127</v>
      </c>
    </row>
    <row r="9" spans="1:10" x14ac:dyDescent="0.3">
      <c r="A9" t="s">
        <v>1414</v>
      </c>
      <c r="B9" t="s">
        <v>834</v>
      </c>
      <c r="C9" t="s">
        <v>861</v>
      </c>
      <c r="D9" t="s">
        <v>865</v>
      </c>
      <c r="E9">
        <v>12656.756188725491</v>
      </c>
      <c r="F9">
        <v>15998355.58944915</v>
      </c>
      <c r="G9">
        <v>2844</v>
      </c>
      <c r="H9">
        <f t="shared" si="0"/>
        <v>3.5851066850370232</v>
      </c>
      <c r="I9">
        <f t="shared" si="1"/>
        <v>7.9112857055587446E-4</v>
      </c>
      <c r="J9">
        <v>5.3776237636739159</v>
      </c>
    </row>
    <row r="10" spans="1:10" x14ac:dyDescent="0.3">
      <c r="A10" t="s">
        <v>1456</v>
      </c>
      <c r="B10" t="s">
        <v>236</v>
      </c>
      <c r="C10" t="s">
        <v>248</v>
      </c>
      <c r="D10" t="s">
        <v>257</v>
      </c>
      <c r="E10">
        <v>1946.39068627451</v>
      </c>
      <c r="F10">
        <v>180906927.25762519</v>
      </c>
      <c r="G10">
        <v>8530</v>
      </c>
      <c r="H10">
        <f t="shared" si="0"/>
        <v>3.1007643128731166</v>
      </c>
      <c r="I10">
        <f t="shared" si="1"/>
        <v>1.0759072169208325E-5</v>
      </c>
      <c r="J10">
        <v>0.93935701496553159</v>
      </c>
    </row>
    <row r="11" spans="1:10" x14ac:dyDescent="0.3">
      <c r="A11" t="s">
        <v>1103</v>
      </c>
      <c r="B11" t="s">
        <v>734</v>
      </c>
      <c r="C11" t="s">
        <v>747</v>
      </c>
      <c r="D11" t="s">
        <v>749</v>
      </c>
      <c r="E11">
        <v>87643.080882352951</v>
      </c>
      <c r="F11">
        <v>243934452.9997668</v>
      </c>
      <c r="G11">
        <v>174</v>
      </c>
      <c r="H11">
        <f t="shared" si="0"/>
        <v>2.3600199091835292</v>
      </c>
      <c r="I11">
        <f t="shared" si="1"/>
        <v>3.5928947225194441E-4</v>
      </c>
      <c r="J11">
        <v>0.5900822306610588</v>
      </c>
    </row>
    <row r="12" spans="1:10" x14ac:dyDescent="0.3">
      <c r="A12" t="s">
        <v>1050</v>
      </c>
      <c r="B12" t="s">
        <v>926</v>
      </c>
      <c r="C12" t="s">
        <v>946</v>
      </c>
      <c r="D12" t="s">
        <v>949</v>
      </c>
      <c r="E12">
        <v>744975.734375</v>
      </c>
      <c r="F12">
        <v>74835040.547736287</v>
      </c>
      <c r="G12">
        <v>3636</v>
      </c>
      <c r="H12">
        <f t="shared" si="0"/>
        <v>2.111256734817553</v>
      </c>
      <c r="I12">
        <f t="shared" si="1"/>
        <v>9.9549052011241954E-3</v>
      </c>
      <c r="J12">
        <v>12.701983655635059</v>
      </c>
    </row>
    <row r="13" spans="1:10" x14ac:dyDescent="0.3">
      <c r="A13" t="s">
        <v>1139</v>
      </c>
      <c r="B13" t="s">
        <v>160</v>
      </c>
      <c r="C13" t="s">
        <v>161</v>
      </c>
      <c r="D13" t="s">
        <v>168</v>
      </c>
      <c r="E13">
        <v>67187.868933823527</v>
      </c>
      <c r="F13">
        <v>39918328.212049998</v>
      </c>
      <c r="G13">
        <v>1769</v>
      </c>
      <c r="H13">
        <f t="shared" si="0"/>
        <v>2.0152435764355956</v>
      </c>
      <c r="I13">
        <f t="shared" si="1"/>
        <v>1.6831333360684622E-3</v>
      </c>
      <c r="J13">
        <v>3.477368556894048</v>
      </c>
    </row>
    <row r="14" spans="1:10" x14ac:dyDescent="0.3">
      <c r="A14" t="s">
        <v>1376</v>
      </c>
      <c r="B14" t="s">
        <v>656</v>
      </c>
      <c r="C14" t="s">
        <v>826</v>
      </c>
      <c r="D14" t="s">
        <v>828</v>
      </c>
      <c r="E14">
        <v>25319.07720588236</v>
      </c>
      <c r="F14">
        <v>35987760.846254677</v>
      </c>
      <c r="G14">
        <v>4384</v>
      </c>
      <c r="H14">
        <f t="shared" si="0"/>
        <v>1.9951274573948179</v>
      </c>
      <c r="I14">
        <f t="shared" si="1"/>
        <v>7.0354688956752282E-4</v>
      </c>
      <c r="J14">
        <v>3.5039059611286971</v>
      </c>
    </row>
    <row r="15" spans="1:10" x14ac:dyDescent="0.3">
      <c r="A15" t="s">
        <v>1390</v>
      </c>
      <c r="B15" t="s">
        <v>23</v>
      </c>
      <c r="C15" t="s">
        <v>75</v>
      </c>
      <c r="D15" t="s">
        <v>76</v>
      </c>
      <c r="E15">
        <v>56395.636029411769</v>
      </c>
      <c r="F15">
        <v>62429820.4129299</v>
      </c>
      <c r="G15">
        <v>4194</v>
      </c>
      <c r="H15">
        <f t="shared" si="0"/>
        <v>1.7777636378294517</v>
      </c>
      <c r="I15">
        <f t="shared" si="1"/>
        <v>9.0334451799466673E-4</v>
      </c>
      <c r="J15">
        <v>3.4603094491336139</v>
      </c>
    </row>
    <row r="16" spans="1:10" x14ac:dyDescent="0.3">
      <c r="A16" t="s">
        <v>1475</v>
      </c>
      <c r="B16" t="s">
        <v>195</v>
      </c>
      <c r="C16" t="s">
        <v>196</v>
      </c>
      <c r="D16" t="s">
        <v>204</v>
      </c>
      <c r="E16">
        <v>8763.7433823529409</v>
      </c>
      <c r="F16">
        <v>139670837.62026519</v>
      </c>
      <c r="G16">
        <v>14881</v>
      </c>
      <c r="H16">
        <f t="shared" si="0"/>
        <v>1.7317698325397939</v>
      </c>
      <c r="I16">
        <f t="shared" si="1"/>
        <v>6.2745692169325026E-5</v>
      </c>
      <c r="J16">
        <v>1.673393915534173</v>
      </c>
    </row>
    <row r="17" spans="1:10" x14ac:dyDescent="0.3">
      <c r="A17" t="s">
        <v>1132</v>
      </c>
      <c r="B17" t="s">
        <v>678</v>
      </c>
      <c r="C17" t="s">
        <v>125</v>
      </c>
      <c r="D17" t="s">
        <v>708</v>
      </c>
      <c r="E17">
        <v>52529.12205882353</v>
      </c>
      <c r="F17">
        <v>101112437.51520351</v>
      </c>
      <c r="G17">
        <v>663</v>
      </c>
      <c r="H17">
        <f t="shared" si="0"/>
        <v>1.6690065629107511</v>
      </c>
      <c r="I17">
        <f t="shared" si="1"/>
        <v>5.1951197448805574E-4</v>
      </c>
      <c r="J17">
        <v>0.97951838026564297</v>
      </c>
    </row>
    <row r="18" spans="1:10" x14ac:dyDescent="0.3">
      <c r="A18" t="s">
        <v>1399</v>
      </c>
      <c r="B18" t="s">
        <v>734</v>
      </c>
      <c r="C18" t="s">
        <v>747</v>
      </c>
      <c r="D18" t="s">
        <v>748</v>
      </c>
      <c r="E18">
        <v>417770.14632352942</v>
      </c>
      <c r="F18">
        <v>1929913701.823293</v>
      </c>
      <c r="G18">
        <v>519</v>
      </c>
      <c r="H18">
        <f t="shared" si="0"/>
        <v>1.6509786303103835</v>
      </c>
      <c r="I18">
        <f t="shared" si="1"/>
        <v>2.1647089500884914E-4</v>
      </c>
      <c r="J18">
        <v>0.55338181985514523</v>
      </c>
    </row>
    <row r="19" spans="1:10" x14ac:dyDescent="0.3">
      <c r="A19" t="s">
        <v>1445</v>
      </c>
      <c r="B19" t="s">
        <v>352</v>
      </c>
      <c r="C19" t="s">
        <v>352</v>
      </c>
      <c r="D19" t="s">
        <v>360</v>
      </c>
      <c r="E19">
        <v>235638.03541666671</v>
      </c>
      <c r="F19">
        <v>77228122.569014952</v>
      </c>
      <c r="G19">
        <v>8930</v>
      </c>
      <c r="H19">
        <f t="shared" si="0"/>
        <v>1.6072019156115265</v>
      </c>
      <c r="I19">
        <f t="shared" si="1"/>
        <v>3.0511946630074902E-3</v>
      </c>
      <c r="J19">
        <v>8.389404387650659</v>
      </c>
    </row>
    <row r="20" spans="1:10" x14ac:dyDescent="0.3">
      <c r="A20" t="s">
        <v>1251</v>
      </c>
      <c r="B20" t="s">
        <v>656</v>
      </c>
      <c r="C20" t="s">
        <v>776</v>
      </c>
      <c r="D20" t="s">
        <v>786</v>
      </c>
      <c r="E20">
        <v>85696.276470588229</v>
      </c>
      <c r="F20">
        <v>10160370.493792349</v>
      </c>
      <c r="G20">
        <v>4336</v>
      </c>
      <c r="H20">
        <f t="shared" si="0"/>
        <v>1.4722586139200282</v>
      </c>
      <c r="I20">
        <f t="shared" si="1"/>
        <v>8.4343653140351357E-3</v>
      </c>
      <c r="J20">
        <v>8.9033807144219992</v>
      </c>
    </row>
    <row r="21" spans="1:10" x14ac:dyDescent="0.3">
      <c r="A21" t="s">
        <v>1218</v>
      </c>
      <c r="B21" t="s">
        <v>291</v>
      </c>
      <c r="C21" t="s">
        <v>340</v>
      </c>
      <c r="D21" t="s">
        <v>346</v>
      </c>
      <c r="E21">
        <v>96218.330514705885</v>
      </c>
      <c r="F21">
        <v>10263463.69740502</v>
      </c>
      <c r="G21">
        <v>963</v>
      </c>
      <c r="H21">
        <f t="shared" si="0"/>
        <v>1.3440334964784457</v>
      </c>
      <c r="I21">
        <f t="shared" si="1"/>
        <v>9.3748400492743404E-3</v>
      </c>
      <c r="J21">
        <v>4.0383612816169494</v>
      </c>
    </row>
    <row r="22" spans="1:10" x14ac:dyDescent="0.3">
      <c r="A22" t="s">
        <v>1216</v>
      </c>
      <c r="B22" t="s">
        <v>23</v>
      </c>
      <c r="C22" t="s">
        <v>24</v>
      </c>
      <c r="D22" t="s">
        <v>41</v>
      </c>
      <c r="E22">
        <v>102130.48995098039</v>
      </c>
      <c r="F22">
        <v>16169106.21656906</v>
      </c>
      <c r="G22">
        <v>5039</v>
      </c>
      <c r="H22">
        <f t="shared" si="0"/>
        <v>1.3114753724377137</v>
      </c>
      <c r="I22">
        <f t="shared" si="1"/>
        <v>6.3163967496436902E-3</v>
      </c>
      <c r="J22">
        <v>7.3988976459034141</v>
      </c>
    </row>
    <row r="23" spans="1:10" x14ac:dyDescent="0.3">
      <c r="A23" t="s">
        <v>1359</v>
      </c>
      <c r="B23" t="s">
        <v>834</v>
      </c>
      <c r="C23" t="s">
        <v>868</v>
      </c>
      <c r="D23" t="s">
        <v>873</v>
      </c>
      <c r="E23">
        <v>152860.6020833333</v>
      </c>
      <c r="F23">
        <v>12578332.529853599</v>
      </c>
      <c r="G23">
        <v>3264</v>
      </c>
      <c r="H23">
        <f t="shared" si="0"/>
        <v>1.2901644925893687</v>
      </c>
      <c r="I23">
        <f t="shared" si="1"/>
        <v>1.2152692077469864E-2</v>
      </c>
      <c r="J23">
        <v>8.1256181078399443</v>
      </c>
    </row>
    <row r="24" spans="1:10" x14ac:dyDescent="0.3">
      <c r="A24" t="s">
        <v>1240</v>
      </c>
      <c r="B24" t="s">
        <v>678</v>
      </c>
      <c r="C24" t="s">
        <v>702</v>
      </c>
      <c r="D24" t="s">
        <v>703</v>
      </c>
      <c r="E24">
        <v>36987.842524509811</v>
      </c>
      <c r="F24">
        <v>213729903.17201859</v>
      </c>
      <c r="G24">
        <v>974</v>
      </c>
      <c r="H24">
        <f t="shared" si="0"/>
        <v>1.2783737761974046</v>
      </c>
      <c r="I24">
        <f t="shared" si="1"/>
        <v>1.7305880915849422E-4</v>
      </c>
      <c r="J24">
        <v>0.52484877405899777</v>
      </c>
    </row>
    <row r="25" spans="1:10" x14ac:dyDescent="0.3">
      <c r="A25" t="s">
        <v>1461</v>
      </c>
      <c r="B25" t="s">
        <v>656</v>
      </c>
      <c r="C25" t="s">
        <v>833</v>
      </c>
      <c r="D25" t="s">
        <v>833</v>
      </c>
      <c r="E25">
        <v>18502.46078431372</v>
      </c>
      <c r="F25">
        <v>695708834.03387284</v>
      </c>
      <c r="G25">
        <v>25043</v>
      </c>
      <c r="H25">
        <f t="shared" si="0"/>
        <v>1.2309868380928486</v>
      </c>
      <c r="I25">
        <f t="shared" si="1"/>
        <v>2.6595121233451045E-5</v>
      </c>
      <c r="J25">
        <v>1.0046101769521381</v>
      </c>
    </row>
    <row r="26" spans="1:10" x14ac:dyDescent="0.3">
      <c r="A26" t="s">
        <v>1173</v>
      </c>
      <c r="B26" t="s">
        <v>352</v>
      </c>
      <c r="C26" t="s">
        <v>106</v>
      </c>
      <c r="D26" t="s">
        <v>182</v>
      </c>
      <c r="E26">
        <v>75945.425367647069</v>
      </c>
      <c r="F26">
        <v>218723675.1961152</v>
      </c>
      <c r="G26">
        <v>1976</v>
      </c>
      <c r="H26">
        <f t="shared" si="0"/>
        <v>1.1179442841939973</v>
      </c>
      <c r="I26">
        <f t="shared" si="1"/>
        <v>3.4722087263553786E-4</v>
      </c>
      <c r="J26">
        <v>0.92601184524596925</v>
      </c>
    </row>
    <row r="27" spans="1:10" x14ac:dyDescent="0.3">
      <c r="A27" t="s">
        <v>1222</v>
      </c>
      <c r="B27" t="s">
        <v>101</v>
      </c>
      <c r="C27" t="s">
        <v>113</v>
      </c>
      <c r="D27" t="s">
        <v>115</v>
      </c>
      <c r="E27">
        <v>40883.757352941167</v>
      </c>
      <c r="F27">
        <v>34892792.724922404</v>
      </c>
      <c r="G27">
        <v>2745</v>
      </c>
      <c r="H27">
        <f t="shared" si="0"/>
        <v>1.0814538871271677</v>
      </c>
      <c r="I27">
        <f t="shared" si="1"/>
        <v>1.1716963349780736E-3</v>
      </c>
      <c r="J27">
        <v>1.939486299550194</v>
      </c>
    </row>
    <row r="28" spans="1:10" x14ac:dyDescent="0.3">
      <c r="A28" t="s">
        <v>1100</v>
      </c>
      <c r="B28" t="s">
        <v>410</v>
      </c>
      <c r="C28" t="s">
        <v>302</v>
      </c>
      <c r="D28" t="s">
        <v>431</v>
      </c>
      <c r="E28">
        <v>308496.38909313717</v>
      </c>
      <c r="F28">
        <v>39127489.416809529</v>
      </c>
      <c r="G28">
        <v>3761</v>
      </c>
      <c r="H28">
        <f t="shared" si="0"/>
        <v>1.0742568301697588</v>
      </c>
      <c r="I28">
        <f t="shared" si="1"/>
        <v>7.8843900718200514E-3</v>
      </c>
      <c r="J28">
        <v>5.8498380301395549</v>
      </c>
    </row>
    <row r="29" spans="1:10" x14ac:dyDescent="0.3">
      <c r="A29" t="s">
        <v>1257</v>
      </c>
      <c r="B29" t="s">
        <v>128</v>
      </c>
      <c r="C29" t="s">
        <v>137</v>
      </c>
      <c r="D29" t="s">
        <v>138</v>
      </c>
      <c r="E29">
        <v>47666.002022058827</v>
      </c>
      <c r="F29">
        <v>50841437.593450531</v>
      </c>
      <c r="G29">
        <v>2232</v>
      </c>
      <c r="H29">
        <f t="shared" si="0"/>
        <v>1.0331809649152202</v>
      </c>
      <c r="I29">
        <f t="shared" si="1"/>
        <v>9.3754237248789424E-4</v>
      </c>
      <c r="J29">
        <v>1.4945792341256059</v>
      </c>
    </row>
    <row r="30" spans="1:10" x14ac:dyDescent="0.3">
      <c r="A30" t="s">
        <v>1118</v>
      </c>
      <c r="B30" t="s">
        <v>963</v>
      </c>
      <c r="C30" t="s">
        <v>975</v>
      </c>
      <c r="D30" t="s">
        <v>980</v>
      </c>
      <c r="E30">
        <v>496629.59375</v>
      </c>
      <c r="F30">
        <v>849485573.50067782</v>
      </c>
      <c r="G30">
        <v>422</v>
      </c>
      <c r="H30">
        <f t="shared" si="0"/>
        <v>1.0125075120289639</v>
      </c>
      <c r="I30">
        <f t="shared" si="1"/>
        <v>5.846239291662364E-4</v>
      </c>
      <c r="J30">
        <v>0.50291289718250587</v>
      </c>
    </row>
    <row r="31" spans="1:10" x14ac:dyDescent="0.3">
      <c r="A31" t="s">
        <v>1137</v>
      </c>
      <c r="B31" t="s">
        <v>656</v>
      </c>
      <c r="C31" t="s">
        <v>776</v>
      </c>
      <c r="D31" t="s">
        <v>803</v>
      </c>
      <c r="E31">
        <v>2742297.7333333329</v>
      </c>
      <c r="F31">
        <v>25376239.79687769</v>
      </c>
      <c r="G31">
        <v>3846</v>
      </c>
      <c r="H31">
        <f t="shared" si="0"/>
        <v>1.0039007309598589</v>
      </c>
      <c r="I31">
        <f t="shared" si="1"/>
        <v>0.10806556665935775</v>
      </c>
      <c r="J31">
        <v>20.46628784731033</v>
      </c>
    </row>
    <row r="32" spans="1:10" x14ac:dyDescent="0.3">
      <c r="A32" t="s">
        <v>1244</v>
      </c>
      <c r="B32" t="s">
        <v>926</v>
      </c>
      <c r="C32" t="s">
        <v>946</v>
      </c>
      <c r="D32" t="s">
        <v>946</v>
      </c>
      <c r="E32">
        <v>6953101.75</v>
      </c>
      <c r="F32">
        <v>487434041.32720202</v>
      </c>
      <c r="G32">
        <v>30729</v>
      </c>
      <c r="H32">
        <f t="shared" si="0"/>
        <v>0.98918863883129371</v>
      </c>
      <c r="I32">
        <f t="shared" si="1"/>
        <v>1.4264702832547061E-2</v>
      </c>
      <c r="J32">
        <v>20.710219305651201</v>
      </c>
    </row>
    <row r="33" spans="1:10" x14ac:dyDescent="0.3">
      <c r="A33" t="s">
        <v>1436</v>
      </c>
      <c r="B33" t="s">
        <v>734</v>
      </c>
      <c r="C33" t="s">
        <v>747</v>
      </c>
      <c r="D33" t="s">
        <v>334</v>
      </c>
      <c r="E33">
        <v>77905.843137254895</v>
      </c>
      <c r="F33">
        <v>307949316.47968978</v>
      </c>
      <c r="G33">
        <v>1646</v>
      </c>
      <c r="H33">
        <f t="shared" si="0"/>
        <v>0.95805285378868887</v>
      </c>
      <c r="I33">
        <f t="shared" si="1"/>
        <v>2.5298267918835607E-4</v>
      </c>
      <c r="J33">
        <v>0.61822957644374565</v>
      </c>
    </row>
    <row r="34" spans="1:10" x14ac:dyDescent="0.3">
      <c r="A34" t="s">
        <v>1128</v>
      </c>
      <c r="B34" t="s">
        <v>963</v>
      </c>
      <c r="C34" t="s">
        <v>981</v>
      </c>
      <c r="D34" t="s">
        <v>981</v>
      </c>
      <c r="E34">
        <v>5711429.796875</v>
      </c>
      <c r="F34">
        <v>191325549.84620291</v>
      </c>
      <c r="G34">
        <v>25968</v>
      </c>
      <c r="H34">
        <f t="shared" si="0"/>
        <v>0.93475430679950389</v>
      </c>
      <c r="I34">
        <f t="shared" si="1"/>
        <v>2.9851892763230706E-2</v>
      </c>
      <c r="J34">
        <v>26.025714569778401</v>
      </c>
    </row>
    <row r="35" spans="1:10" x14ac:dyDescent="0.3">
      <c r="A35" t="s">
        <v>1425</v>
      </c>
      <c r="B35" t="s">
        <v>734</v>
      </c>
      <c r="C35" t="s">
        <v>735</v>
      </c>
      <c r="D35" t="s">
        <v>740</v>
      </c>
      <c r="E35">
        <v>67183.710294117642</v>
      </c>
      <c r="F35">
        <v>223725852.82066491</v>
      </c>
      <c r="G35">
        <v>7144</v>
      </c>
      <c r="H35">
        <f t="shared" si="0"/>
        <v>0.93085044888092261</v>
      </c>
      <c r="I35">
        <f t="shared" si="1"/>
        <v>3.0029480029726845E-4</v>
      </c>
      <c r="J35">
        <v>1.36340393030343</v>
      </c>
    </row>
    <row r="36" spans="1:10" x14ac:dyDescent="0.3">
      <c r="A36" t="s">
        <v>1065</v>
      </c>
      <c r="B36" t="s">
        <v>834</v>
      </c>
      <c r="C36" t="s">
        <v>859</v>
      </c>
      <c r="D36" t="s">
        <v>860</v>
      </c>
      <c r="E36">
        <v>279404.68216911767</v>
      </c>
      <c r="F36">
        <v>39464465.314002693</v>
      </c>
      <c r="G36">
        <v>1646</v>
      </c>
      <c r="H36">
        <f t="shared" si="0"/>
        <v>0.93077512655451999</v>
      </c>
      <c r="I36">
        <f t="shared" si="1"/>
        <v>7.0799054274778162E-3</v>
      </c>
      <c r="J36">
        <v>3.1774111311421258</v>
      </c>
    </row>
    <row r="37" spans="1:10" x14ac:dyDescent="0.3">
      <c r="A37" t="s">
        <v>1289</v>
      </c>
      <c r="B37" t="s">
        <v>926</v>
      </c>
      <c r="C37" t="s">
        <v>960</v>
      </c>
      <c r="D37" t="s">
        <v>962</v>
      </c>
      <c r="E37">
        <v>496652.3125</v>
      </c>
      <c r="F37">
        <v>488736709.69895238</v>
      </c>
      <c r="G37">
        <v>1678</v>
      </c>
      <c r="H37">
        <f t="shared" si="0"/>
        <v>0.89159879231548056</v>
      </c>
      <c r="I37">
        <f t="shared" si="1"/>
        <v>1.0161960471639698E-3</v>
      </c>
      <c r="J37">
        <v>1.164271322655702</v>
      </c>
    </row>
    <row r="38" spans="1:10" x14ac:dyDescent="0.3">
      <c r="A38" t="s">
        <v>1052</v>
      </c>
      <c r="B38" t="s">
        <v>678</v>
      </c>
      <c r="C38" t="s">
        <v>702</v>
      </c>
      <c r="D38" t="s">
        <v>290</v>
      </c>
      <c r="E38">
        <v>1123442.8039828429</v>
      </c>
      <c r="F38">
        <v>822209105.50553429</v>
      </c>
      <c r="G38">
        <v>315</v>
      </c>
      <c r="H38">
        <f t="shared" si="0"/>
        <v>0.87886911226381537</v>
      </c>
      <c r="I38">
        <f t="shared" si="1"/>
        <v>1.3663711535912698E-3</v>
      </c>
      <c r="J38">
        <v>0.57658563841726085</v>
      </c>
    </row>
    <row r="39" spans="1:10" x14ac:dyDescent="0.3">
      <c r="A39" t="s">
        <v>1410</v>
      </c>
      <c r="B39" t="s">
        <v>963</v>
      </c>
      <c r="C39" t="s">
        <v>975</v>
      </c>
      <c r="D39" t="s">
        <v>976</v>
      </c>
      <c r="E39">
        <v>248303.796875</v>
      </c>
      <c r="F39">
        <v>1741295690.6669919</v>
      </c>
      <c r="G39">
        <v>3659</v>
      </c>
      <c r="H39">
        <f t="shared" si="0"/>
        <v>0.86518510999788389</v>
      </c>
      <c r="I39">
        <f t="shared" si="1"/>
        <v>1.4259714659943187E-4</v>
      </c>
      <c r="J39">
        <v>0.62495055620893825</v>
      </c>
    </row>
    <row r="40" spans="1:10" x14ac:dyDescent="0.3">
      <c r="A40" t="s">
        <v>1024</v>
      </c>
      <c r="B40" t="s">
        <v>195</v>
      </c>
      <c r="C40" t="s">
        <v>222</v>
      </c>
      <c r="D40" t="s">
        <v>223</v>
      </c>
      <c r="E40">
        <v>124628.5568627451</v>
      </c>
      <c r="F40">
        <v>7213677.0436995039</v>
      </c>
      <c r="G40">
        <v>3431</v>
      </c>
      <c r="H40">
        <f t="shared" si="0"/>
        <v>0.84201612841656948</v>
      </c>
      <c r="I40">
        <f t="shared" si="1"/>
        <v>1.7276703144285744E-2</v>
      </c>
      <c r="J40">
        <v>6.4827788243447033</v>
      </c>
    </row>
    <row r="41" spans="1:10" x14ac:dyDescent="0.3">
      <c r="A41" t="s">
        <v>1326</v>
      </c>
      <c r="B41" t="s">
        <v>23</v>
      </c>
      <c r="C41" t="s">
        <v>86</v>
      </c>
      <c r="D41" t="s">
        <v>87</v>
      </c>
      <c r="E41">
        <v>197334.59136029409</v>
      </c>
      <c r="F41">
        <v>217743036.29094949</v>
      </c>
      <c r="G41">
        <v>2453</v>
      </c>
      <c r="H41">
        <f t="shared" si="0"/>
        <v>0.79979220870522927</v>
      </c>
      <c r="I41">
        <f t="shared" si="1"/>
        <v>9.0627280082847044E-4</v>
      </c>
      <c r="J41">
        <v>1.1924918408113261</v>
      </c>
    </row>
    <row r="42" spans="1:10" x14ac:dyDescent="0.3">
      <c r="A42" t="s">
        <v>1048</v>
      </c>
      <c r="B42" t="s">
        <v>464</v>
      </c>
      <c r="C42" t="s">
        <v>472</v>
      </c>
      <c r="D42" t="s">
        <v>474</v>
      </c>
      <c r="E42">
        <v>766388.08167892147</v>
      </c>
      <c r="F42">
        <v>11556744.26737513</v>
      </c>
      <c r="G42">
        <v>1610</v>
      </c>
      <c r="H42">
        <f t="shared" si="0"/>
        <v>0.75777231116374966</v>
      </c>
      <c r="I42">
        <f t="shared" si="1"/>
        <v>6.6315223729787556E-2</v>
      </c>
      <c r="J42">
        <v>7.8299373980205296</v>
      </c>
    </row>
    <row r="43" spans="1:10" x14ac:dyDescent="0.3">
      <c r="A43" t="s">
        <v>1358</v>
      </c>
      <c r="B43" t="s">
        <v>834</v>
      </c>
      <c r="C43" t="s">
        <v>868</v>
      </c>
      <c r="D43" t="s">
        <v>872</v>
      </c>
      <c r="E43">
        <v>147991.75888480389</v>
      </c>
      <c r="F43">
        <v>126340622.855841</v>
      </c>
      <c r="G43">
        <v>2266</v>
      </c>
      <c r="H43">
        <f t="shared" si="0"/>
        <v>0.73232432398126879</v>
      </c>
      <c r="I43">
        <f t="shared" si="1"/>
        <v>1.1713711357404623E-3</v>
      </c>
      <c r="J43">
        <v>1.193110509562834</v>
      </c>
    </row>
    <row r="44" spans="1:10" x14ac:dyDescent="0.3">
      <c r="A44" t="s">
        <v>1413</v>
      </c>
      <c r="B44" t="s">
        <v>410</v>
      </c>
      <c r="C44" t="s">
        <v>377</v>
      </c>
      <c r="D44" t="s">
        <v>425</v>
      </c>
      <c r="E44">
        <v>343558.91348039208</v>
      </c>
      <c r="F44">
        <v>121734914.8096883</v>
      </c>
      <c r="G44">
        <v>9695</v>
      </c>
      <c r="H44">
        <f t="shared" si="0"/>
        <v>0.71937947806465974</v>
      </c>
      <c r="I44">
        <f t="shared" si="1"/>
        <v>2.8221888027562809E-3</v>
      </c>
      <c r="J44">
        <v>3.7629199832373179</v>
      </c>
    </row>
    <row r="45" spans="1:10" x14ac:dyDescent="0.3">
      <c r="A45" t="s">
        <v>1107</v>
      </c>
      <c r="B45" t="s">
        <v>128</v>
      </c>
      <c r="C45" t="s">
        <v>137</v>
      </c>
      <c r="D45" t="s">
        <v>140</v>
      </c>
      <c r="E45">
        <v>293773.09754901961</v>
      </c>
      <c r="F45">
        <v>6535497.8823005669</v>
      </c>
      <c r="G45">
        <v>1078</v>
      </c>
      <c r="H45">
        <f t="shared" si="0"/>
        <v>0.69944973392504906</v>
      </c>
      <c r="I45">
        <f t="shared" si="1"/>
        <v>4.4950377590147465E-2</v>
      </c>
      <c r="J45">
        <v>4.868919136958076</v>
      </c>
    </row>
    <row r="46" spans="1:10" x14ac:dyDescent="0.3">
      <c r="A46" t="s">
        <v>1019</v>
      </c>
      <c r="B46" t="s">
        <v>23</v>
      </c>
      <c r="C46" t="s">
        <v>63</v>
      </c>
      <c r="D46" t="s">
        <v>67</v>
      </c>
      <c r="E46">
        <v>248062.21875</v>
      </c>
      <c r="F46">
        <v>36106582.500434749</v>
      </c>
      <c r="G46">
        <v>701</v>
      </c>
      <c r="H46">
        <f t="shared" si="0"/>
        <v>0.67271939891366273</v>
      </c>
      <c r="I46">
        <f t="shared" si="1"/>
        <v>6.8702768739471029E-3</v>
      </c>
      <c r="J46">
        <v>1.47631856185423</v>
      </c>
    </row>
    <row r="47" spans="1:10" x14ac:dyDescent="0.3">
      <c r="A47" t="s">
        <v>1161</v>
      </c>
      <c r="B47" t="s">
        <v>101</v>
      </c>
      <c r="C47" t="s">
        <v>113</v>
      </c>
      <c r="D47" t="s">
        <v>117</v>
      </c>
      <c r="E47">
        <v>141145.16035539209</v>
      </c>
      <c r="F47">
        <v>10569541.37448634</v>
      </c>
      <c r="G47">
        <v>1176</v>
      </c>
      <c r="H47">
        <f t="shared" si="0"/>
        <v>0.65470084965800079</v>
      </c>
      <c r="I47">
        <f t="shared" si="1"/>
        <v>1.335395315222478E-2</v>
      </c>
      <c r="J47">
        <v>2.594486943992083</v>
      </c>
    </row>
    <row r="48" spans="1:10" x14ac:dyDescent="0.3">
      <c r="A48" t="s">
        <v>1017</v>
      </c>
      <c r="B48" t="s">
        <v>23</v>
      </c>
      <c r="C48" t="s">
        <v>50</v>
      </c>
      <c r="D48" t="s">
        <v>58</v>
      </c>
      <c r="E48">
        <v>340400.48651960777</v>
      </c>
      <c r="F48">
        <v>11936682.84136726</v>
      </c>
      <c r="G48">
        <v>732</v>
      </c>
      <c r="H48">
        <f t="shared" si="0"/>
        <v>0.60664934044552765</v>
      </c>
      <c r="I48">
        <f t="shared" si="1"/>
        <v>2.8517176090155496E-2</v>
      </c>
      <c r="J48">
        <v>2.7717019602038788</v>
      </c>
    </row>
    <row r="49" spans="1:10" x14ac:dyDescent="0.3">
      <c r="A49" t="s">
        <v>1211</v>
      </c>
      <c r="B49" t="s">
        <v>160</v>
      </c>
      <c r="C49" t="s">
        <v>101</v>
      </c>
      <c r="D49" t="s">
        <v>172</v>
      </c>
      <c r="E49">
        <v>217157.7006127451</v>
      </c>
      <c r="F49">
        <v>58494595.385748439</v>
      </c>
      <c r="G49">
        <v>2535</v>
      </c>
      <c r="H49">
        <f t="shared" si="0"/>
        <v>0.59668373258917196</v>
      </c>
      <c r="I49">
        <f t="shared" si="1"/>
        <v>3.7124404260030692E-3</v>
      </c>
      <c r="J49">
        <v>1.8304713096813721</v>
      </c>
    </row>
    <row r="50" spans="1:10" x14ac:dyDescent="0.3">
      <c r="A50" t="s">
        <v>1182</v>
      </c>
      <c r="B50" t="s">
        <v>656</v>
      </c>
      <c r="C50" t="s">
        <v>776</v>
      </c>
      <c r="D50" t="s">
        <v>801</v>
      </c>
      <c r="E50">
        <v>1867797.3920955879</v>
      </c>
      <c r="F50">
        <v>31743816.08391498</v>
      </c>
      <c r="G50">
        <v>17779</v>
      </c>
      <c r="H50">
        <f t="shared" si="0"/>
        <v>0.58379604620783243</v>
      </c>
      <c r="I50">
        <f t="shared" si="1"/>
        <v>5.8839724472887996E-2</v>
      </c>
      <c r="J50">
        <v>18.882092878835369</v>
      </c>
    </row>
    <row r="51" spans="1:10" x14ac:dyDescent="0.3">
      <c r="A51" t="s">
        <v>1192</v>
      </c>
      <c r="B51" t="s">
        <v>834</v>
      </c>
      <c r="C51" t="s">
        <v>876</v>
      </c>
      <c r="D51" t="s">
        <v>877</v>
      </c>
      <c r="E51">
        <v>744767.65625</v>
      </c>
      <c r="F51">
        <v>11259654.65620539</v>
      </c>
      <c r="G51">
        <v>1234</v>
      </c>
      <c r="H51">
        <f t="shared" si="0"/>
        <v>0.57226492895773329</v>
      </c>
      <c r="I51">
        <f t="shared" si="1"/>
        <v>6.6144804524670364E-2</v>
      </c>
      <c r="J51">
        <v>5.1701432897421844</v>
      </c>
    </row>
    <row r="52" spans="1:10" x14ac:dyDescent="0.3">
      <c r="A52" t="s">
        <v>1021</v>
      </c>
      <c r="B52" t="s">
        <v>128</v>
      </c>
      <c r="C52" t="s">
        <v>128</v>
      </c>
      <c r="D52" t="s">
        <v>143</v>
      </c>
      <c r="E52">
        <v>170253.07138480389</v>
      </c>
      <c r="F52">
        <v>34332959.712454639</v>
      </c>
      <c r="G52">
        <v>2726</v>
      </c>
      <c r="H52">
        <f t="shared" si="0"/>
        <v>0.57066827877024995</v>
      </c>
      <c r="I52">
        <f t="shared" si="1"/>
        <v>4.958881285234573E-3</v>
      </c>
      <c r="J52">
        <v>2.0981595687049621</v>
      </c>
    </row>
    <row r="53" spans="1:10" x14ac:dyDescent="0.3">
      <c r="A53" t="s">
        <v>1408</v>
      </c>
      <c r="B53" t="s">
        <v>926</v>
      </c>
      <c r="C53" t="s">
        <v>935</v>
      </c>
      <c r="D53" t="s">
        <v>937</v>
      </c>
      <c r="E53">
        <v>993305.28125</v>
      </c>
      <c r="F53">
        <v>985553361.84256399</v>
      </c>
      <c r="G53">
        <v>1063</v>
      </c>
      <c r="H53">
        <f t="shared" si="0"/>
        <v>0.56647684950676402</v>
      </c>
      <c r="I53">
        <f t="shared" si="1"/>
        <v>1.0078655501645727E-3</v>
      </c>
      <c r="J53">
        <v>0.58634077770451076</v>
      </c>
    </row>
    <row r="54" spans="1:10" x14ac:dyDescent="0.3">
      <c r="A54" t="s">
        <v>1031</v>
      </c>
      <c r="B54" t="s">
        <v>410</v>
      </c>
      <c r="C54" t="s">
        <v>446</v>
      </c>
      <c r="D54" t="s">
        <v>449</v>
      </c>
      <c r="E54">
        <v>100256.8814338235</v>
      </c>
      <c r="F54">
        <v>94404874.497788161</v>
      </c>
      <c r="G54">
        <v>12678</v>
      </c>
      <c r="H54">
        <f t="shared" si="0"/>
        <v>0.56343452522775583</v>
      </c>
      <c r="I54">
        <f t="shared" si="1"/>
        <v>1.0619883980267613E-3</v>
      </c>
      <c r="J54">
        <v>2.0674200095377291</v>
      </c>
    </row>
    <row r="55" spans="1:10" x14ac:dyDescent="0.3">
      <c r="A55" t="s">
        <v>1113</v>
      </c>
      <c r="B55" t="s">
        <v>656</v>
      </c>
      <c r="C55" t="s">
        <v>776</v>
      </c>
      <c r="D55" t="s">
        <v>800</v>
      </c>
      <c r="E55">
        <v>2161899.6732230391</v>
      </c>
      <c r="F55">
        <v>72666203.249821156</v>
      </c>
      <c r="G55">
        <v>5152</v>
      </c>
      <c r="H55">
        <f t="shared" si="0"/>
        <v>0.55950291010435427</v>
      </c>
      <c r="I55">
        <f t="shared" si="1"/>
        <v>2.9751102665851199E-2</v>
      </c>
      <c r="J55">
        <v>6.9269461305052458</v>
      </c>
    </row>
    <row r="56" spans="1:10" x14ac:dyDescent="0.3">
      <c r="A56" t="s">
        <v>1334</v>
      </c>
      <c r="B56" t="s">
        <v>656</v>
      </c>
      <c r="C56" t="s">
        <v>776</v>
      </c>
      <c r="D56" t="s">
        <v>788</v>
      </c>
      <c r="E56">
        <v>496646.140625</v>
      </c>
      <c r="F56">
        <v>31572431.173402559</v>
      </c>
      <c r="G56">
        <v>11436</v>
      </c>
      <c r="H56">
        <f t="shared" si="0"/>
        <v>0.53815917135196378</v>
      </c>
      <c r="I56">
        <f t="shared" si="1"/>
        <v>1.5730373688909574E-2</v>
      </c>
      <c r="J56">
        <v>7.2180076697126747</v>
      </c>
    </row>
    <row r="57" spans="1:10" x14ac:dyDescent="0.3">
      <c r="A57" t="s">
        <v>1061</v>
      </c>
      <c r="B57" t="s">
        <v>678</v>
      </c>
      <c r="C57" t="s">
        <v>731</v>
      </c>
      <c r="D57" t="s">
        <v>731</v>
      </c>
      <c r="E57">
        <v>1737329.15625</v>
      </c>
      <c r="F57">
        <v>1388963067.4562731</v>
      </c>
      <c r="G57">
        <v>2263</v>
      </c>
      <c r="H57">
        <f t="shared" si="0"/>
        <v>0.53661370845093714</v>
      </c>
      <c r="I57">
        <f t="shared" si="1"/>
        <v>1.2508101885183452E-3</v>
      </c>
      <c r="J57">
        <v>0.9028170350969712</v>
      </c>
    </row>
    <row r="58" spans="1:10" x14ac:dyDescent="0.3">
      <c r="A58" t="s">
        <v>1393</v>
      </c>
      <c r="B58" t="s">
        <v>464</v>
      </c>
      <c r="C58" t="s">
        <v>477</v>
      </c>
      <c r="D58" t="s">
        <v>479</v>
      </c>
      <c r="E58">
        <v>169443.51360294121</v>
      </c>
      <c r="F58">
        <v>229476508.38396201</v>
      </c>
      <c r="G58">
        <v>5476</v>
      </c>
      <c r="H58">
        <f t="shared" si="0"/>
        <v>0.53548617604843018</v>
      </c>
      <c r="I58">
        <f t="shared" si="1"/>
        <v>7.383915451573235E-4</v>
      </c>
      <c r="J58">
        <v>1.076770976649071</v>
      </c>
    </row>
    <row r="59" spans="1:10" x14ac:dyDescent="0.3">
      <c r="A59" t="s">
        <v>1055</v>
      </c>
      <c r="B59" t="s">
        <v>656</v>
      </c>
      <c r="C59" t="s">
        <v>807</v>
      </c>
      <c r="D59" t="s">
        <v>810</v>
      </c>
      <c r="E59">
        <v>11740482.456188731</v>
      </c>
      <c r="F59">
        <v>24382182.091236729</v>
      </c>
      <c r="G59">
        <v>3166</v>
      </c>
      <c r="H59">
        <f t="shared" si="0"/>
        <v>0.52688545927290253</v>
      </c>
      <c r="I59">
        <f t="shared" si="1"/>
        <v>0.48151893920964572</v>
      </c>
      <c r="J59">
        <v>20.572087143930201</v>
      </c>
    </row>
    <row r="60" spans="1:10" x14ac:dyDescent="0.3">
      <c r="A60" t="s">
        <v>1319</v>
      </c>
      <c r="B60" t="s">
        <v>656</v>
      </c>
      <c r="C60" t="s">
        <v>813</v>
      </c>
      <c r="D60" t="s">
        <v>817</v>
      </c>
      <c r="E60">
        <v>496642.9375</v>
      </c>
      <c r="F60">
        <v>32455613.836844601</v>
      </c>
      <c r="G60">
        <v>25418</v>
      </c>
      <c r="H60">
        <f t="shared" si="0"/>
        <v>0.52677081761701317</v>
      </c>
      <c r="I60">
        <f t="shared" si="1"/>
        <v>1.530221982540955E-2</v>
      </c>
      <c r="J60">
        <v>10.38890114063296</v>
      </c>
    </row>
    <row r="61" spans="1:10" x14ac:dyDescent="0.3">
      <c r="A61" t="s">
        <v>1369</v>
      </c>
      <c r="B61" t="s">
        <v>926</v>
      </c>
      <c r="C61" t="s">
        <v>960</v>
      </c>
      <c r="D61" t="s">
        <v>961</v>
      </c>
      <c r="E61">
        <v>496651.59375</v>
      </c>
      <c r="F61">
        <v>1108590008.749454</v>
      </c>
      <c r="G61">
        <v>6739</v>
      </c>
      <c r="H61">
        <f t="shared" si="0"/>
        <v>0.51990591483345239</v>
      </c>
      <c r="I61">
        <f t="shared" si="1"/>
        <v>4.4800294953970248E-4</v>
      </c>
      <c r="J61">
        <v>0.90336429884032021</v>
      </c>
    </row>
    <row r="62" spans="1:10" x14ac:dyDescent="0.3">
      <c r="A62" t="s">
        <v>1095</v>
      </c>
      <c r="B62" t="s">
        <v>503</v>
      </c>
      <c r="C62" t="s">
        <v>561</v>
      </c>
      <c r="D62" t="s">
        <v>563</v>
      </c>
      <c r="E62">
        <v>545341.08719362749</v>
      </c>
      <c r="F62">
        <v>96702544.099731818</v>
      </c>
      <c r="G62">
        <v>972</v>
      </c>
      <c r="H62">
        <f t="shared" si="0"/>
        <v>0.51194112220378263</v>
      </c>
      <c r="I62">
        <f t="shared" si="1"/>
        <v>5.6393664951689708E-3</v>
      </c>
      <c r="J62">
        <v>1.198583537667026</v>
      </c>
    </row>
    <row r="63" spans="1:10" x14ac:dyDescent="0.3">
      <c r="A63" t="s">
        <v>1169</v>
      </c>
      <c r="B63" t="s">
        <v>195</v>
      </c>
      <c r="C63" t="s">
        <v>228</v>
      </c>
      <c r="D63" t="s">
        <v>229</v>
      </c>
      <c r="E63">
        <v>852984.04301470588</v>
      </c>
      <c r="F63">
        <v>4710646.1177028902</v>
      </c>
      <c r="G63">
        <v>2125</v>
      </c>
      <c r="H63">
        <f t="shared" si="0"/>
        <v>0.50563391358081322</v>
      </c>
      <c r="I63">
        <f t="shared" si="1"/>
        <v>0.18107580609996168</v>
      </c>
      <c r="J63">
        <v>9.9184972171023364</v>
      </c>
    </row>
    <row r="64" spans="1:10" x14ac:dyDescent="0.3">
      <c r="A64" t="s">
        <v>1220</v>
      </c>
      <c r="B64" t="s">
        <v>23</v>
      </c>
      <c r="C64" t="s">
        <v>50</v>
      </c>
      <c r="D64" t="s">
        <v>56</v>
      </c>
      <c r="E64">
        <v>250925.4317401961</v>
      </c>
      <c r="F64">
        <v>41905784.037630983</v>
      </c>
      <c r="G64">
        <v>3045</v>
      </c>
      <c r="H64">
        <f t="shared" si="0"/>
        <v>0.50424500350251256</v>
      </c>
      <c r="I64">
        <f t="shared" si="1"/>
        <v>5.9878472030225598E-3</v>
      </c>
      <c r="J64">
        <v>2.153131758478279</v>
      </c>
    </row>
    <row r="65" spans="1:10" x14ac:dyDescent="0.3">
      <c r="A65" t="s">
        <v>1291</v>
      </c>
      <c r="B65" t="s">
        <v>160</v>
      </c>
      <c r="C65" t="s">
        <v>181</v>
      </c>
      <c r="D65" t="s">
        <v>184</v>
      </c>
      <c r="E65">
        <v>342769.78829656867</v>
      </c>
      <c r="F65">
        <v>52984851.918050207</v>
      </c>
      <c r="G65">
        <v>1380</v>
      </c>
      <c r="H65">
        <f t="shared" si="0"/>
        <v>0.50421364968998494</v>
      </c>
      <c r="I65">
        <f t="shared" si="1"/>
        <v>6.4692034777547088E-3</v>
      </c>
      <c r="J65">
        <v>1.506536115458937</v>
      </c>
    </row>
    <row r="66" spans="1:10" x14ac:dyDescent="0.3">
      <c r="A66" t="s">
        <v>1351</v>
      </c>
      <c r="B66" t="s">
        <v>678</v>
      </c>
      <c r="C66" t="s">
        <v>679</v>
      </c>
      <c r="D66" t="s">
        <v>680</v>
      </c>
      <c r="E66">
        <v>496260.453125</v>
      </c>
      <c r="F66">
        <v>49300232.450722598</v>
      </c>
      <c r="G66">
        <v>22193</v>
      </c>
      <c r="H66">
        <f t="shared" ref="H66:H129" si="2">J66/POWER(G66*E66/F66,1/2)</f>
        <v>0.50241651196722759</v>
      </c>
      <c r="I66">
        <f t="shared" ref="I66:I129" si="3">E66/F66</f>
        <v>1.0066087489973412E-2</v>
      </c>
      <c r="J66">
        <v>7.5093485201931287</v>
      </c>
    </row>
    <row r="67" spans="1:10" x14ac:dyDescent="0.3">
      <c r="A67" t="s">
        <v>1394</v>
      </c>
      <c r="B67" t="s">
        <v>23</v>
      </c>
      <c r="C67" t="s">
        <v>24</v>
      </c>
      <c r="D67" t="s">
        <v>40</v>
      </c>
      <c r="E67">
        <v>213006.96838235299</v>
      </c>
      <c r="F67">
        <v>279737882.7429893</v>
      </c>
      <c r="G67">
        <v>10351</v>
      </c>
      <c r="H67">
        <f t="shared" si="2"/>
        <v>0.50106280113939472</v>
      </c>
      <c r="I67">
        <f t="shared" si="3"/>
        <v>7.6145199317910863E-4</v>
      </c>
      <c r="J67">
        <v>1.4067100174317291</v>
      </c>
    </row>
    <row r="68" spans="1:10" x14ac:dyDescent="0.3">
      <c r="A68" t="s">
        <v>1022</v>
      </c>
      <c r="B68" t="s">
        <v>128</v>
      </c>
      <c r="C68" t="s">
        <v>128</v>
      </c>
      <c r="D68" t="s">
        <v>146</v>
      </c>
      <c r="E68">
        <v>761773.25508578424</v>
      </c>
      <c r="F68">
        <v>77040096.41074051</v>
      </c>
      <c r="G68">
        <v>5906</v>
      </c>
      <c r="H68">
        <f t="shared" si="2"/>
        <v>0.494976005130084</v>
      </c>
      <c r="I68">
        <f t="shared" si="3"/>
        <v>9.8880101476558121E-3</v>
      </c>
      <c r="J68">
        <v>3.7825555895213938</v>
      </c>
    </row>
    <row r="69" spans="1:10" x14ac:dyDescent="0.3">
      <c r="A69" t="s">
        <v>1134</v>
      </c>
      <c r="B69" t="s">
        <v>23</v>
      </c>
      <c r="C69" t="s">
        <v>47</v>
      </c>
      <c r="D69" t="s">
        <v>48</v>
      </c>
      <c r="E69">
        <v>437553.3703431373</v>
      </c>
      <c r="F69">
        <v>53500496.612351149</v>
      </c>
      <c r="G69">
        <v>2681</v>
      </c>
      <c r="H69">
        <f t="shared" si="2"/>
        <v>0.4943405131057973</v>
      </c>
      <c r="I69">
        <f t="shared" si="3"/>
        <v>8.1784917533293238E-3</v>
      </c>
      <c r="J69">
        <v>2.314787993473375</v>
      </c>
    </row>
    <row r="70" spans="1:10" x14ac:dyDescent="0.3">
      <c r="A70" t="s">
        <v>1336</v>
      </c>
      <c r="B70" t="s">
        <v>464</v>
      </c>
      <c r="C70" t="s">
        <v>496</v>
      </c>
      <c r="D70" t="s">
        <v>497</v>
      </c>
      <c r="E70">
        <v>496639.671875</v>
      </c>
      <c r="F70">
        <v>60042916.894151293</v>
      </c>
      <c r="G70">
        <v>6548</v>
      </c>
      <c r="H70">
        <f t="shared" si="2"/>
        <v>0.47665466193942296</v>
      </c>
      <c r="I70">
        <f t="shared" si="3"/>
        <v>8.2714114764030899E-3</v>
      </c>
      <c r="J70">
        <v>3.5079063733303739</v>
      </c>
    </row>
    <row r="71" spans="1:10" x14ac:dyDescent="0.3">
      <c r="A71" t="s">
        <v>1114</v>
      </c>
      <c r="B71" t="s">
        <v>464</v>
      </c>
      <c r="C71" t="s">
        <v>485</v>
      </c>
      <c r="D71" t="s">
        <v>486</v>
      </c>
      <c r="E71">
        <v>817035.22187500005</v>
      </c>
      <c r="F71">
        <v>10131644.96673909</v>
      </c>
      <c r="G71">
        <v>6913</v>
      </c>
      <c r="H71">
        <f t="shared" si="2"/>
        <v>0.47654942032086656</v>
      </c>
      <c r="I71">
        <f t="shared" si="3"/>
        <v>8.0641912005130795E-2</v>
      </c>
      <c r="J71">
        <v>11.251790366598501</v>
      </c>
    </row>
    <row r="72" spans="1:10" x14ac:dyDescent="0.3">
      <c r="A72" t="s">
        <v>1313</v>
      </c>
      <c r="B72" t="s">
        <v>464</v>
      </c>
      <c r="C72" t="s">
        <v>465</v>
      </c>
      <c r="D72" t="s">
        <v>470</v>
      </c>
      <c r="E72">
        <v>498594.34950980393</v>
      </c>
      <c r="F72">
        <v>34975892.397380337</v>
      </c>
      <c r="G72">
        <v>8589</v>
      </c>
      <c r="H72">
        <f t="shared" si="2"/>
        <v>0.46716908626888803</v>
      </c>
      <c r="I72">
        <f t="shared" si="3"/>
        <v>1.4255371781368707E-2</v>
      </c>
      <c r="J72">
        <v>5.1693349353218441</v>
      </c>
    </row>
    <row r="73" spans="1:10" x14ac:dyDescent="0.3">
      <c r="A73" t="s">
        <v>1152</v>
      </c>
      <c r="B73" t="s">
        <v>464</v>
      </c>
      <c r="C73" t="s">
        <v>472</v>
      </c>
      <c r="D73" t="s">
        <v>475</v>
      </c>
      <c r="E73">
        <v>931938.80686274497</v>
      </c>
      <c r="F73">
        <v>10608826.07083467</v>
      </c>
      <c r="G73">
        <v>7974</v>
      </c>
      <c r="H73">
        <f t="shared" si="2"/>
        <v>0.46287879787819153</v>
      </c>
      <c r="I73">
        <f t="shared" si="3"/>
        <v>8.7845610875343802E-2</v>
      </c>
      <c r="J73">
        <v>12.250827865651081</v>
      </c>
    </row>
    <row r="74" spans="1:10" x14ac:dyDescent="0.3">
      <c r="A74" t="s">
        <v>1332</v>
      </c>
      <c r="B74" t="s">
        <v>834</v>
      </c>
      <c r="C74" t="s">
        <v>835</v>
      </c>
      <c r="D74" t="s">
        <v>848</v>
      </c>
      <c r="E74">
        <v>744835.6875</v>
      </c>
      <c r="F74">
        <v>20106564.46169718</v>
      </c>
      <c r="G74">
        <v>5546</v>
      </c>
      <c r="H74">
        <f t="shared" si="2"/>
        <v>0.46145449991874521</v>
      </c>
      <c r="I74">
        <f t="shared" si="3"/>
        <v>3.7044403528952205E-2</v>
      </c>
      <c r="J74">
        <v>6.6142426169050399</v>
      </c>
    </row>
    <row r="75" spans="1:10" x14ac:dyDescent="0.3">
      <c r="A75" t="s">
        <v>1154</v>
      </c>
      <c r="B75" t="s">
        <v>160</v>
      </c>
      <c r="C75" t="s">
        <v>176</v>
      </c>
      <c r="D75" t="s">
        <v>180</v>
      </c>
      <c r="E75">
        <v>248312.96875</v>
      </c>
      <c r="F75">
        <v>46420833.582064718</v>
      </c>
      <c r="G75">
        <v>2982</v>
      </c>
      <c r="H75">
        <f t="shared" si="2"/>
        <v>0.45835938183169389</v>
      </c>
      <c r="I75">
        <f t="shared" si="3"/>
        <v>5.3491708267371331E-3</v>
      </c>
      <c r="J75">
        <v>1.8306409724817241</v>
      </c>
    </row>
    <row r="76" spans="1:10" x14ac:dyDescent="0.3">
      <c r="A76" t="s">
        <v>1239</v>
      </c>
      <c r="B76" t="s">
        <v>410</v>
      </c>
      <c r="C76" t="s">
        <v>433</v>
      </c>
      <c r="D76" t="s">
        <v>437</v>
      </c>
      <c r="E76">
        <v>442740.72028186283</v>
      </c>
      <c r="F76">
        <v>757967400.82402956</v>
      </c>
      <c r="G76">
        <v>9450</v>
      </c>
      <c r="H76">
        <f t="shared" si="2"/>
        <v>0.45761357776413336</v>
      </c>
      <c r="I76">
        <f t="shared" si="3"/>
        <v>5.8411578096964872E-4</v>
      </c>
      <c r="J76">
        <v>1.0751381583574739</v>
      </c>
    </row>
    <row r="77" spans="1:10" x14ac:dyDescent="0.3">
      <c r="A77" t="s">
        <v>1124</v>
      </c>
      <c r="B77" t="s">
        <v>23</v>
      </c>
      <c r="C77" t="s">
        <v>50</v>
      </c>
      <c r="D77" t="s">
        <v>54</v>
      </c>
      <c r="E77">
        <v>578704.2323529413</v>
      </c>
      <c r="F77">
        <v>30609471.61896506</v>
      </c>
      <c r="G77">
        <v>1380</v>
      </c>
      <c r="H77">
        <f t="shared" si="2"/>
        <v>0.44817952185358251</v>
      </c>
      <c r="I77">
        <f t="shared" si="3"/>
        <v>1.8906051027499177E-2</v>
      </c>
      <c r="J77">
        <v>2.289243369595058</v>
      </c>
    </row>
    <row r="78" spans="1:10" x14ac:dyDescent="0.3">
      <c r="A78" t="s">
        <v>1366</v>
      </c>
      <c r="B78" t="s">
        <v>195</v>
      </c>
      <c r="C78" t="s">
        <v>231</v>
      </c>
      <c r="D78" t="s">
        <v>233</v>
      </c>
      <c r="E78">
        <v>150928.25723039219</v>
      </c>
      <c r="F78">
        <v>84817419.47465466</v>
      </c>
      <c r="G78">
        <v>1941</v>
      </c>
      <c r="H78">
        <f t="shared" si="2"/>
        <v>0.44813825206817737</v>
      </c>
      <c r="I78">
        <f t="shared" si="3"/>
        <v>1.7794488227208202E-3</v>
      </c>
      <c r="J78">
        <v>0.83285142787500288</v>
      </c>
    </row>
    <row r="79" spans="1:10" x14ac:dyDescent="0.3">
      <c r="A79" t="s">
        <v>1075</v>
      </c>
      <c r="B79" t="s">
        <v>834</v>
      </c>
      <c r="C79" t="s">
        <v>856</v>
      </c>
      <c r="D79" t="s">
        <v>857</v>
      </c>
      <c r="E79">
        <v>1658933.4121936271</v>
      </c>
      <c r="F79">
        <v>5888177.7672750279</v>
      </c>
      <c r="G79">
        <v>1440</v>
      </c>
      <c r="H79">
        <f t="shared" si="2"/>
        <v>0.44137212062380943</v>
      </c>
      <c r="I79">
        <f t="shared" si="3"/>
        <v>0.28173969566842066</v>
      </c>
      <c r="J79">
        <v>8.8901720114801286</v>
      </c>
    </row>
    <row r="80" spans="1:10" x14ac:dyDescent="0.3">
      <c r="A80" t="s">
        <v>1320</v>
      </c>
      <c r="B80" t="s">
        <v>128</v>
      </c>
      <c r="C80" t="s">
        <v>157</v>
      </c>
      <c r="D80" t="s">
        <v>157</v>
      </c>
      <c r="E80">
        <v>496085.65625</v>
      </c>
      <c r="F80">
        <v>56643774.2824618</v>
      </c>
      <c r="G80">
        <v>4273</v>
      </c>
      <c r="H80">
        <f t="shared" si="2"/>
        <v>0.43925252834651968</v>
      </c>
      <c r="I80">
        <f t="shared" si="3"/>
        <v>8.7579908389614387E-3</v>
      </c>
      <c r="J80">
        <v>2.6870946216819269</v>
      </c>
    </row>
    <row r="81" spans="1:10" x14ac:dyDescent="0.3">
      <c r="A81" t="s">
        <v>1186</v>
      </c>
      <c r="B81" t="s">
        <v>410</v>
      </c>
      <c r="C81" t="s">
        <v>427</v>
      </c>
      <c r="D81" t="s">
        <v>429</v>
      </c>
      <c r="E81">
        <v>170392.29932598039</v>
      </c>
      <c r="F81">
        <v>137385853.31914711</v>
      </c>
      <c r="G81">
        <v>10080</v>
      </c>
      <c r="H81">
        <f t="shared" si="2"/>
        <v>0.42929526410174818</v>
      </c>
      <c r="I81">
        <f t="shared" si="3"/>
        <v>1.2402463223790542E-3</v>
      </c>
      <c r="J81">
        <v>1.5178901316596469</v>
      </c>
    </row>
    <row r="82" spans="1:10" x14ac:dyDescent="0.3">
      <c r="A82" t="s">
        <v>1371</v>
      </c>
      <c r="B82" t="s">
        <v>352</v>
      </c>
      <c r="C82" t="s">
        <v>352</v>
      </c>
      <c r="D82" t="s">
        <v>359</v>
      </c>
      <c r="E82">
        <v>1986337.265625</v>
      </c>
      <c r="F82">
        <v>73037283.394602761</v>
      </c>
      <c r="G82">
        <v>6395</v>
      </c>
      <c r="H82">
        <f t="shared" si="2"/>
        <v>0.41765603560150016</v>
      </c>
      <c r="I82">
        <f t="shared" si="3"/>
        <v>2.7196209570026046E-2</v>
      </c>
      <c r="J82">
        <v>5.5079910488289752</v>
      </c>
    </row>
    <row r="83" spans="1:10" x14ac:dyDescent="0.3">
      <c r="A83" t="s">
        <v>1026</v>
      </c>
      <c r="B83" t="s">
        <v>291</v>
      </c>
      <c r="C83" t="s">
        <v>340</v>
      </c>
      <c r="D83" t="s">
        <v>342</v>
      </c>
      <c r="E83">
        <v>399453.06011029409</v>
      </c>
      <c r="F83">
        <v>14315432.111426011</v>
      </c>
      <c r="G83">
        <v>970</v>
      </c>
      <c r="H83">
        <f t="shared" si="2"/>
        <v>0.41714077540447819</v>
      </c>
      <c r="I83">
        <f t="shared" si="3"/>
        <v>2.7903667664454675E-2</v>
      </c>
      <c r="J83">
        <v>2.170196989163879</v>
      </c>
    </row>
    <row r="84" spans="1:10" x14ac:dyDescent="0.3">
      <c r="A84" t="s">
        <v>1042</v>
      </c>
      <c r="B84" t="s">
        <v>926</v>
      </c>
      <c r="C84" t="s">
        <v>926</v>
      </c>
      <c r="D84" t="s">
        <v>952</v>
      </c>
      <c r="E84">
        <v>626134.67984068627</v>
      </c>
      <c r="F84">
        <v>294132840.59988868</v>
      </c>
      <c r="G84">
        <v>1248</v>
      </c>
      <c r="H84">
        <f t="shared" si="2"/>
        <v>0.41477654404734082</v>
      </c>
      <c r="I84">
        <f t="shared" si="3"/>
        <v>2.1287479445126715E-3</v>
      </c>
      <c r="J84">
        <v>0.67605744876715823</v>
      </c>
    </row>
    <row r="85" spans="1:10" x14ac:dyDescent="0.3">
      <c r="A85" t="s">
        <v>1063</v>
      </c>
      <c r="B85" t="s">
        <v>128</v>
      </c>
      <c r="C85" t="s">
        <v>129</v>
      </c>
      <c r="D85" t="s">
        <v>133</v>
      </c>
      <c r="E85">
        <v>2301502.4291053922</v>
      </c>
      <c r="F85">
        <v>24297462.962555841</v>
      </c>
      <c r="G85">
        <v>3931</v>
      </c>
      <c r="H85">
        <f t="shared" si="2"/>
        <v>0.41423776205272589</v>
      </c>
      <c r="I85">
        <f t="shared" si="3"/>
        <v>9.4721923546181544E-2</v>
      </c>
      <c r="J85">
        <v>7.9933064444161666</v>
      </c>
    </row>
    <row r="86" spans="1:10" x14ac:dyDescent="0.3">
      <c r="A86" t="s">
        <v>1344</v>
      </c>
      <c r="B86" t="s">
        <v>23</v>
      </c>
      <c r="C86" t="s">
        <v>24</v>
      </c>
      <c r="D86" t="s">
        <v>32</v>
      </c>
      <c r="E86">
        <v>496077.375</v>
      </c>
      <c r="F86">
        <v>983900796.22209716</v>
      </c>
      <c r="G86">
        <v>6882</v>
      </c>
      <c r="H86">
        <f t="shared" si="2"/>
        <v>0.41358726087306313</v>
      </c>
      <c r="I86">
        <f t="shared" si="3"/>
        <v>5.0419450508099788E-4</v>
      </c>
      <c r="J86">
        <v>0.77041289200961049</v>
      </c>
    </row>
    <row r="87" spans="1:10" x14ac:dyDescent="0.3">
      <c r="A87" t="s">
        <v>1184</v>
      </c>
      <c r="B87" t="s">
        <v>352</v>
      </c>
      <c r="C87" t="s">
        <v>404</v>
      </c>
      <c r="D87" t="s">
        <v>409</v>
      </c>
      <c r="E87">
        <v>248284.515625</v>
      </c>
      <c r="F87">
        <v>154629055.6650863</v>
      </c>
      <c r="G87">
        <v>6173</v>
      </c>
      <c r="H87">
        <f t="shared" si="2"/>
        <v>0.41082408014071836</v>
      </c>
      <c r="I87">
        <f t="shared" si="3"/>
        <v>1.6056782766801839E-3</v>
      </c>
      <c r="J87">
        <v>1.293401308282895</v>
      </c>
    </row>
    <row r="88" spans="1:10" x14ac:dyDescent="0.3">
      <c r="A88" t="s">
        <v>1072</v>
      </c>
      <c r="B88" t="s">
        <v>291</v>
      </c>
      <c r="C88" t="s">
        <v>292</v>
      </c>
      <c r="D88" t="s">
        <v>293</v>
      </c>
      <c r="E88">
        <v>801035.21911764704</v>
      </c>
      <c r="F88">
        <v>126541460.7839538</v>
      </c>
      <c r="G88">
        <v>4483</v>
      </c>
      <c r="H88">
        <f t="shared" si="2"/>
        <v>0.40978447049246586</v>
      </c>
      <c r="I88">
        <f t="shared" si="3"/>
        <v>6.3302194723772543E-3</v>
      </c>
      <c r="J88">
        <v>2.1829774485445701</v>
      </c>
    </row>
    <row r="89" spans="1:10" x14ac:dyDescent="0.3">
      <c r="A89" t="s">
        <v>1345</v>
      </c>
      <c r="B89" t="s">
        <v>23</v>
      </c>
      <c r="C89" t="s">
        <v>24</v>
      </c>
      <c r="D89" t="s">
        <v>35</v>
      </c>
      <c r="E89">
        <v>2152399.911458333</v>
      </c>
      <c r="F89">
        <v>25331206.106013741</v>
      </c>
      <c r="G89">
        <v>8497</v>
      </c>
      <c r="H89">
        <f t="shared" si="2"/>
        <v>0.40257577495387403</v>
      </c>
      <c r="I89">
        <f t="shared" si="3"/>
        <v>8.4970289312333358E-2</v>
      </c>
      <c r="J89">
        <v>10.8171784735146</v>
      </c>
    </row>
    <row r="90" spans="1:10" x14ac:dyDescent="0.3">
      <c r="A90" t="s">
        <v>1306</v>
      </c>
      <c r="B90" t="s">
        <v>834</v>
      </c>
      <c r="C90" t="s">
        <v>856</v>
      </c>
      <c r="D90" t="s">
        <v>856</v>
      </c>
      <c r="E90">
        <v>1006647.741727941</v>
      </c>
      <c r="F90">
        <v>79323846.301362291</v>
      </c>
      <c r="G90">
        <v>5817</v>
      </c>
      <c r="H90">
        <f t="shared" si="2"/>
        <v>0.40039922725711219</v>
      </c>
      <c r="I90">
        <f t="shared" si="3"/>
        <v>1.2690354649515439E-2</v>
      </c>
      <c r="J90">
        <v>3.4401679237728748</v>
      </c>
    </row>
    <row r="91" spans="1:10" x14ac:dyDescent="0.3">
      <c r="A91" t="s">
        <v>1027</v>
      </c>
      <c r="B91" t="s">
        <v>291</v>
      </c>
      <c r="C91" t="s">
        <v>340</v>
      </c>
      <c r="D91" t="s">
        <v>347</v>
      </c>
      <c r="E91">
        <v>732824.97616421571</v>
      </c>
      <c r="F91">
        <v>7390906.0837158328</v>
      </c>
      <c r="G91">
        <v>817</v>
      </c>
      <c r="H91">
        <f t="shared" si="2"/>
        <v>0.40029913758971891</v>
      </c>
      <c r="I91">
        <f t="shared" si="3"/>
        <v>9.9152251139928232E-2</v>
      </c>
      <c r="J91">
        <v>3.6028565613883421</v>
      </c>
    </row>
    <row r="92" spans="1:10" x14ac:dyDescent="0.3">
      <c r="A92" t="s">
        <v>1069</v>
      </c>
      <c r="B92" t="s">
        <v>926</v>
      </c>
      <c r="C92" t="s">
        <v>927</v>
      </c>
      <c r="D92" t="s">
        <v>930</v>
      </c>
      <c r="E92">
        <v>1628229.6936887249</v>
      </c>
      <c r="F92">
        <v>524983708.36451191</v>
      </c>
      <c r="G92">
        <v>6666</v>
      </c>
      <c r="H92">
        <f t="shared" si="2"/>
        <v>0.39830479163820426</v>
      </c>
      <c r="I92">
        <f t="shared" si="3"/>
        <v>3.1014861370863649E-3</v>
      </c>
      <c r="J92">
        <v>1.8110611227100379</v>
      </c>
    </row>
    <row r="93" spans="1:10" x14ac:dyDescent="0.3">
      <c r="A93" t="s">
        <v>1089</v>
      </c>
      <c r="B93" t="s">
        <v>128</v>
      </c>
      <c r="C93" t="s">
        <v>129</v>
      </c>
      <c r="D93" t="s">
        <v>120</v>
      </c>
      <c r="E93">
        <v>1885100.8011642159</v>
      </c>
      <c r="F93">
        <v>26775142.877814028</v>
      </c>
      <c r="G93">
        <v>3614</v>
      </c>
      <c r="H93">
        <f t="shared" si="2"/>
        <v>0.39253468586843382</v>
      </c>
      <c r="I93">
        <f t="shared" si="3"/>
        <v>7.0404882982948211E-2</v>
      </c>
      <c r="J93">
        <v>6.2614296192203218</v>
      </c>
    </row>
    <row r="94" spans="1:10" x14ac:dyDescent="0.3">
      <c r="A94" t="s">
        <v>1421</v>
      </c>
      <c r="B94" t="s">
        <v>464</v>
      </c>
      <c r="C94" t="s">
        <v>477</v>
      </c>
      <c r="D94" t="s">
        <v>171</v>
      </c>
      <c r="E94">
        <v>228846.22549019611</v>
      </c>
      <c r="F94">
        <v>886281770.00175893</v>
      </c>
      <c r="G94">
        <v>11546</v>
      </c>
      <c r="H94">
        <f t="shared" si="2"/>
        <v>0.39099994140661853</v>
      </c>
      <c r="I94">
        <f t="shared" si="3"/>
        <v>2.5820933391165426E-4</v>
      </c>
      <c r="J94">
        <v>0.67511605727884627</v>
      </c>
    </row>
    <row r="95" spans="1:10" x14ac:dyDescent="0.3">
      <c r="A95" t="s">
        <v>1020</v>
      </c>
      <c r="B95" t="s">
        <v>23</v>
      </c>
      <c r="C95" t="s">
        <v>89</v>
      </c>
      <c r="D95" t="s">
        <v>91</v>
      </c>
      <c r="E95">
        <v>441559.67769607838</v>
      </c>
      <c r="F95">
        <v>13675593.638266331</v>
      </c>
      <c r="G95">
        <v>1875</v>
      </c>
      <c r="H95">
        <f t="shared" si="2"/>
        <v>0.38551246811178819</v>
      </c>
      <c r="I95">
        <f t="shared" si="3"/>
        <v>3.228815431167311E-2</v>
      </c>
      <c r="J95">
        <v>2.9995815559962939</v>
      </c>
    </row>
    <row r="96" spans="1:10" x14ac:dyDescent="0.3">
      <c r="A96" t="s">
        <v>1023</v>
      </c>
      <c r="B96" t="s">
        <v>128</v>
      </c>
      <c r="C96" t="s">
        <v>159</v>
      </c>
      <c r="D96" t="s">
        <v>159</v>
      </c>
      <c r="E96">
        <v>744321.21875</v>
      </c>
      <c r="F96">
        <v>53309444.550349377</v>
      </c>
      <c r="G96">
        <v>4622</v>
      </c>
      <c r="H96">
        <f t="shared" si="2"/>
        <v>0.38530067967736381</v>
      </c>
      <c r="I96">
        <f t="shared" si="3"/>
        <v>1.3962276760302915E-2</v>
      </c>
      <c r="J96">
        <v>3.0952295780760859</v>
      </c>
    </row>
    <row r="97" spans="1:10" x14ac:dyDescent="0.3">
      <c r="A97" t="s">
        <v>1213</v>
      </c>
      <c r="B97" t="s">
        <v>760</v>
      </c>
      <c r="C97" t="s">
        <v>770</v>
      </c>
      <c r="D97" t="s">
        <v>770</v>
      </c>
      <c r="E97">
        <v>859620.42941176472</v>
      </c>
      <c r="F97">
        <v>370631471.37880713</v>
      </c>
      <c r="G97">
        <v>1883</v>
      </c>
      <c r="H97">
        <f t="shared" si="2"/>
        <v>0.3817519844118572</v>
      </c>
      <c r="I97">
        <f t="shared" si="3"/>
        <v>2.3193400879149362E-3</v>
      </c>
      <c r="J97">
        <v>0.79779016942915981</v>
      </c>
    </row>
    <row r="98" spans="1:10" x14ac:dyDescent="0.3">
      <c r="A98" t="s">
        <v>1060</v>
      </c>
      <c r="B98" t="s">
        <v>128</v>
      </c>
      <c r="C98" t="s">
        <v>157</v>
      </c>
      <c r="D98" t="s">
        <v>158</v>
      </c>
      <c r="E98">
        <v>1111779.601776961</v>
      </c>
      <c r="F98">
        <v>16891873.68506011</v>
      </c>
      <c r="G98">
        <v>1773</v>
      </c>
      <c r="H98">
        <f t="shared" si="2"/>
        <v>0.37763923944486133</v>
      </c>
      <c r="I98">
        <f t="shared" si="3"/>
        <v>6.5817423366140021E-2</v>
      </c>
      <c r="J98">
        <v>4.0794528722969474</v>
      </c>
    </row>
    <row r="99" spans="1:10" x14ac:dyDescent="0.3">
      <c r="A99" t="s">
        <v>1409</v>
      </c>
      <c r="B99" t="s">
        <v>963</v>
      </c>
      <c r="C99" t="s">
        <v>988</v>
      </c>
      <c r="D99" t="s">
        <v>989</v>
      </c>
      <c r="E99">
        <v>196699.41850490199</v>
      </c>
      <c r="F99">
        <v>331310206.39121151</v>
      </c>
      <c r="G99">
        <v>5863</v>
      </c>
      <c r="H99">
        <f t="shared" si="2"/>
        <v>0.37713537138609743</v>
      </c>
      <c r="I99">
        <f t="shared" si="3"/>
        <v>5.9370165696808949E-4</v>
      </c>
      <c r="J99">
        <v>0.70362513376039337</v>
      </c>
    </row>
    <row r="100" spans="1:10" x14ac:dyDescent="0.3">
      <c r="A100" t="s">
        <v>1164</v>
      </c>
      <c r="B100" t="s">
        <v>926</v>
      </c>
      <c r="C100" t="s">
        <v>926</v>
      </c>
      <c r="D100" t="s">
        <v>955</v>
      </c>
      <c r="E100">
        <v>552126.33566176472</v>
      </c>
      <c r="F100">
        <v>89025920.345823184</v>
      </c>
      <c r="G100">
        <v>597</v>
      </c>
      <c r="H100">
        <f t="shared" si="2"/>
        <v>0.37693308245966822</v>
      </c>
      <c r="I100">
        <f t="shared" si="3"/>
        <v>6.2018604639751838E-3</v>
      </c>
      <c r="J100">
        <v>0.7252912147539925</v>
      </c>
    </row>
    <row r="101" spans="1:10" x14ac:dyDescent="0.3">
      <c r="A101" t="s">
        <v>1049</v>
      </c>
      <c r="B101" t="s">
        <v>128</v>
      </c>
      <c r="C101" t="s">
        <v>137</v>
      </c>
      <c r="D101" t="s">
        <v>139</v>
      </c>
      <c r="E101">
        <v>1662452.0013480389</v>
      </c>
      <c r="F101">
        <v>3753863.736851105</v>
      </c>
      <c r="G101">
        <v>1471</v>
      </c>
      <c r="H101">
        <f t="shared" si="2"/>
        <v>0.3735727715456606</v>
      </c>
      <c r="I101">
        <f t="shared" si="3"/>
        <v>0.44286423745966119</v>
      </c>
      <c r="J101">
        <v>9.5349156714215919</v>
      </c>
    </row>
    <row r="102" spans="1:10" x14ac:dyDescent="0.3">
      <c r="A102" t="s">
        <v>1205</v>
      </c>
      <c r="B102" t="s">
        <v>23</v>
      </c>
      <c r="C102" t="s">
        <v>50</v>
      </c>
      <c r="D102" t="s">
        <v>57</v>
      </c>
      <c r="E102">
        <v>731412.09785539214</v>
      </c>
      <c r="F102">
        <v>74019422.555458501</v>
      </c>
      <c r="G102">
        <v>2668</v>
      </c>
      <c r="H102">
        <f t="shared" si="2"/>
        <v>0.37102221750858988</v>
      </c>
      <c r="I102">
        <f t="shared" si="3"/>
        <v>9.8813537393835655E-3</v>
      </c>
      <c r="J102">
        <v>1.9050266378261851</v>
      </c>
    </row>
    <row r="103" spans="1:10" x14ac:dyDescent="0.3">
      <c r="A103" t="s">
        <v>1237</v>
      </c>
      <c r="B103" t="s">
        <v>101</v>
      </c>
      <c r="C103" t="s">
        <v>102</v>
      </c>
      <c r="D103" t="s">
        <v>108</v>
      </c>
      <c r="E103">
        <v>525669.01629901957</v>
      </c>
      <c r="F103">
        <v>26005119.154226061</v>
      </c>
      <c r="G103">
        <v>1896</v>
      </c>
      <c r="H103">
        <f t="shared" si="2"/>
        <v>0.36855271967645542</v>
      </c>
      <c r="I103">
        <f t="shared" si="3"/>
        <v>2.0214059131261227E-2</v>
      </c>
      <c r="J103">
        <v>2.2816317558860431</v>
      </c>
    </row>
    <row r="104" spans="1:10" x14ac:dyDescent="0.3">
      <c r="A104" t="s">
        <v>1177</v>
      </c>
      <c r="B104" t="s">
        <v>834</v>
      </c>
      <c r="C104" t="s">
        <v>861</v>
      </c>
      <c r="D104" t="s">
        <v>863</v>
      </c>
      <c r="E104">
        <v>1439907.361642157</v>
      </c>
      <c r="F104">
        <v>5167582.5092525957</v>
      </c>
      <c r="G104">
        <v>2626</v>
      </c>
      <c r="H104">
        <f t="shared" si="2"/>
        <v>0.36588556342505191</v>
      </c>
      <c r="I104">
        <f t="shared" si="3"/>
        <v>0.27864235531101667</v>
      </c>
      <c r="J104">
        <v>9.8972878462424241</v>
      </c>
    </row>
    <row r="105" spans="1:10" x14ac:dyDescent="0.3">
      <c r="A105" t="s">
        <v>1120</v>
      </c>
      <c r="B105" t="s">
        <v>101</v>
      </c>
      <c r="C105" t="s">
        <v>113</v>
      </c>
      <c r="D105" t="s">
        <v>114</v>
      </c>
      <c r="E105">
        <v>1127218.9616421571</v>
      </c>
      <c r="F105">
        <v>14674615.99576026</v>
      </c>
      <c r="G105">
        <v>6015</v>
      </c>
      <c r="H105">
        <f t="shared" si="2"/>
        <v>0.36501085341112272</v>
      </c>
      <c r="I105">
        <f t="shared" si="3"/>
        <v>7.6814205016869225E-2</v>
      </c>
      <c r="J105">
        <v>7.8459288258120568</v>
      </c>
    </row>
    <row r="106" spans="1:10" x14ac:dyDescent="0.3">
      <c r="A106" t="s">
        <v>1157</v>
      </c>
      <c r="B106" t="s">
        <v>590</v>
      </c>
      <c r="C106" t="s">
        <v>601</v>
      </c>
      <c r="D106" t="s">
        <v>470</v>
      </c>
      <c r="E106">
        <v>744876.390625</v>
      </c>
      <c r="F106">
        <v>39438859.324688137</v>
      </c>
      <c r="G106">
        <v>6868</v>
      </c>
      <c r="H106">
        <f t="shared" si="2"/>
        <v>0.3633881946528848</v>
      </c>
      <c r="I106">
        <f t="shared" si="3"/>
        <v>1.88868644626017E-2</v>
      </c>
      <c r="J106">
        <v>4.138718510443363</v>
      </c>
    </row>
    <row r="107" spans="1:10" x14ac:dyDescent="0.3">
      <c r="A107" t="s">
        <v>1200</v>
      </c>
      <c r="B107" t="s">
        <v>464</v>
      </c>
      <c r="C107" t="s">
        <v>472</v>
      </c>
      <c r="D107" t="s">
        <v>328</v>
      </c>
      <c r="E107">
        <v>1375027.440073529</v>
      </c>
      <c r="F107">
        <v>18309068.804060929</v>
      </c>
      <c r="G107">
        <v>12215</v>
      </c>
      <c r="H107">
        <f t="shared" si="2"/>
        <v>0.36247871793046782</v>
      </c>
      <c r="I107">
        <f t="shared" si="3"/>
        <v>7.510089425020619E-2</v>
      </c>
      <c r="J107">
        <v>10.978722373292779</v>
      </c>
    </row>
    <row r="108" spans="1:10" x14ac:dyDescent="0.3">
      <c r="A108" t="s">
        <v>1082</v>
      </c>
      <c r="B108" t="s">
        <v>23</v>
      </c>
      <c r="C108" t="s">
        <v>63</v>
      </c>
      <c r="D108" t="s">
        <v>70</v>
      </c>
      <c r="E108">
        <v>304464.94485294109</v>
      </c>
      <c r="F108">
        <v>37101794.425209582</v>
      </c>
      <c r="G108">
        <v>1779</v>
      </c>
      <c r="H108">
        <f t="shared" si="2"/>
        <v>0.36104433020651777</v>
      </c>
      <c r="I108">
        <f t="shared" si="3"/>
        <v>8.2062053755024341E-3</v>
      </c>
      <c r="J108">
        <v>1.3794936135199249</v>
      </c>
    </row>
    <row r="109" spans="1:10" x14ac:dyDescent="0.3">
      <c r="A109" t="s">
        <v>1242</v>
      </c>
      <c r="B109" t="s">
        <v>834</v>
      </c>
      <c r="C109" t="s">
        <v>868</v>
      </c>
      <c r="D109" t="s">
        <v>277</v>
      </c>
      <c r="E109">
        <v>786721.13186274515</v>
      </c>
      <c r="F109">
        <v>53161077.592306837</v>
      </c>
      <c r="G109">
        <v>12231</v>
      </c>
      <c r="H109">
        <f t="shared" si="2"/>
        <v>0.35804749552929088</v>
      </c>
      <c r="I109">
        <f t="shared" si="3"/>
        <v>1.4798818374151897E-2</v>
      </c>
      <c r="J109">
        <v>4.8170942469660849</v>
      </c>
    </row>
    <row r="110" spans="1:10" x14ac:dyDescent="0.3">
      <c r="A110" t="s">
        <v>1418</v>
      </c>
      <c r="B110" t="s">
        <v>236</v>
      </c>
      <c r="C110" t="s">
        <v>237</v>
      </c>
      <c r="D110" t="s">
        <v>246</v>
      </c>
      <c r="E110">
        <v>502290.59411764698</v>
      </c>
      <c r="F110">
        <v>135922102.73123449</v>
      </c>
      <c r="G110">
        <v>4479</v>
      </c>
      <c r="H110">
        <f t="shared" si="2"/>
        <v>0.35625711597933801</v>
      </c>
      <c r="I110">
        <f t="shared" si="3"/>
        <v>3.695429838301215E-3</v>
      </c>
      <c r="J110">
        <v>1.4493943352846519</v>
      </c>
    </row>
    <row r="111" spans="1:10" x14ac:dyDescent="0.3">
      <c r="A111" t="s">
        <v>1104</v>
      </c>
      <c r="B111" t="s">
        <v>656</v>
      </c>
      <c r="C111" t="s">
        <v>776</v>
      </c>
      <c r="D111" t="s">
        <v>784</v>
      </c>
      <c r="E111">
        <v>11986847.415073531</v>
      </c>
      <c r="F111">
        <v>75952661.447258249</v>
      </c>
      <c r="G111">
        <v>18463</v>
      </c>
      <c r="H111">
        <f t="shared" si="2"/>
        <v>0.35488117169307642</v>
      </c>
      <c r="I111">
        <f t="shared" si="3"/>
        <v>0.15781997874290729</v>
      </c>
      <c r="J111">
        <v>19.156452340972571</v>
      </c>
    </row>
    <row r="112" spans="1:10" x14ac:dyDescent="0.3">
      <c r="A112" t="s">
        <v>1207</v>
      </c>
      <c r="B112" t="s">
        <v>128</v>
      </c>
      <c r="C112" t="s">
        <v>128</v>
      </c>
      <c r="D112" t="s">
        <v>145</v>
      </c>
      <c r="E112">
        <v>496183.765625</v>
      </c>
      <c r="F112">
        <v>291109803.13582581</v>
      </c>
      <c r="G112">
        <v>3223</v>
      </c>
      <c r="H112">
        <f t="shared" si="2"/>
        <v>0.34990998053922323</v>
      </c>
      <c r="I112">
        <f t="shared" si="3"/>
        <v>1.7044557080528508E-3</v>
      </c>
      <c r="J112">
        <v>0.82012366333892606</v>
      </c>
    </row>
    <row r="113" spans="1:10" x14ac:dyDescent="0.3">
      <c r="A113" t="s">
        <v>1202</v>
      </c>
      <c r="B113" t="s">
        <v>291</v>
      </c>
      <c r="C113" t="s">
        <v>340</v>
      </c>
      <c r="D113" t="s">
        <v>340</v>
      </c>
      <c r="E113">
        <v>1239120.78125</v>
      </c>
      <c r="F113">
        <v>17101117.23067623</v>
      </c>
      <c r="G113">
        <v>11530</v>
      </c>
      <c r="H113">
        <f t="shared" si="2"/>
        <v>0.34695311551103791</v>
      </c>
      <c r="I113">
        <f t="shared" si="3"/>
        <v>7.245846949854523E-2</v>
      </c>
      <c r="J113">
        <v>10.028362483574419</v>
      </c>
    </row>
    <row r="114" spans="1:10" x14ac:dyDescent="0.3">
      <c r="A114" t="s">
        <v>1144</v>
      </c>
      <c r="B114" t="s">
        <v>410</v>
      </c>
      <c r="C114" t="s">
        <v>443</v>
      </c>
      <c r="D114" t="s">
        <v>444</v>
      </c>
      <c r="E114">
        <v>1489090.03125</v>
      </c>
      <c r="F114">
        <v>93161981.380779594</v>
      </c>
      <c r="G114">
        <v>16686</v>
      </c>
      <c r="H114">
        <f t="shared" si="2"/>
        <v>0.34520660222377231</v>
      </c>
      <c r="I114">
        <f t="shared" si="3"/>
        <v>1.5983881076591364E-2</v>
      </c>
      <c r="J114">
        <v>5.6376269247302968</v>
      </c>
    </row>
    <row r="115" spans="1:10" x14ac:dyDescent="0.3">
      <c r="A115" t="s">
        <v>1450</v>
      </c>
      <c r="B115" t="s">
        <v>352</v>
      </c>
      <c r="C115" t="s">
        <v>400</v>
      </c>
      <c r="D115" t="s">
        <v>400</v>
      </c>
      <c r="E115">
        <v>1458631.9277573531</v>
      </c>
      <c r="F115">
        <v>104068120.41231801</v>
      </c>
      <c r="G115">
        <v>21645</v>
      </c>
      <c r="H115">
        <f t="shared" si="2"/>
        <v>0.33950503338612104</v>
      </c>
      <c r="I115">
        <f t="shared" si="3"/>
        <v>1.4016126379320121E-2</v>
      </c>
      <c r="J115">
        <v>5.9134239351128581</v>
      </c>
    </row>
    <row r="116" spans="1:10" x14ac:dyDescent="0.3">
      <c r="A116" t="s">
        <v>1066</v>
      </c>
      <c r="B116" t="s">
        <v>656</v>
      </c>
      <c r="C116" t="s">
        <v>807</v>
      </c>
      <c r="D116" t="s">
        <v>811</v>
      </c>
      <c r="E116">
        <v>8346688.0025122548</v>
      </c>
      <c r="F116">
        <v>21809586.081948452</v>
      </c>
      <c r="G116">
        <v>5992</v>
      </c>
      <c r="H116">
        <f t="shared" si="2"/>
        <v>0.33843602863161359</v>
      </c>
      <c r="I116">
        <f t="shared" si="3"/>
        <v>0.38270730912315271</v>
      </c>
      <c r="J116">
        <v>16.20674768559368</v>
      </c>
    </row>
    <row r="117" spans="1:10" x14ac:dyDescent="0.3">
      <c r="A117" t="s">
        <v>1282</v>
      </c>
      <c r="B117" t="s">
        <v>734</v>
      </c>
      <c r="C117" t="s">
        <v>759</v>
      </c>
      <c r="D117" t="s">
        <v>759</v>
      </c>
      <c r="E117">
        <v>496551.640625</v>
      </c>
      <c r="F117">
        <v>500609345.83800173</v>
      </c>
      <c r="G117">
        <v>4646</v>
      </c>
      <c r="H117">
        <f t="shared" si="2"/>
        <v>0.3365094729719702</v>
      </c>
      <c r="I117">
        <f t="shared" si="3"/>
        <v>9.9189446771871738E-4</v>
      </c>
      <c r="J117">
        <v>0.72238651644642071</v>
      </c>
    </row>
    <row r="118" spans="1:10" x14ac:dyDescent="0.3">
      <c r="A118" t="s">
        <v>1469</v>
      </c>
      <c r="B118" t="s">
        <v>590</v>
      </c>
      <c r="C118" t="s">
        <v>613</v>
      </c>
      <c r="D118" t="s">
        <v>613</v>
      </c>
      <c r="E118">
        <v>252192.4244485294</v>
      </c>
      <c r="F118">
        <v>969553202.89237964</v>
      </c>
      <c r="G118">
        <v>51496</v>
      </c>
      <c r="H118">
        <f t="shared" si="2"/>
        <v>0.33625006263294049</v>
      </c>
      <c r="I118">
        <f t="shared" si="3"/>
        <v>2.6011200179235831E-4</v>
      </c>
      <c r="J118">
        <v>1.23063515622635</v>
      </c>
    </row>
    <row r="119" spans="1:10" x14ac:dyDescent="0.3">
      <c r="A119" t="s">
        <v>1247</v>
      </c>
      <c r="B119" t="s">
        <v>291</v>
      </c>
      <c r="C119" t="s">
        <v>330</v>
      </c>
      <c r="D119" t="s">
        <v>330</v>
      </c>
      <c r="E119">
        <v>991269.6875</v>
      </c>
      <c r="F119">
        <v>36527610.270019338</v>
      </c>
      <c r="G119">
        <v>11376</v>
      </c>
      <c r="H119">
        <f t="shared" si="2"/>
        <v>0.33553856397277582</v>
      </c>
      <c r="I119">
        <f t="shared" si="3"/>
        <v>2.7137545549033675E-2</v>
      </c>
      <c r="J119">
        <v>5.8955254151152756</v>
      </c>
    </row>
    <row r="120" spans="1:10" x14ac:dyDescent="0.3">
      <c r="A120" t="s">
        <v>1225</v>
      </c>
      <c r="B120" t="s">
        <v>834</v>
      </c>
      <c r="C120" t="s">
        <v>835</v>
      </c>
      <c r="D120" t="s">
        <v>849</v>
      </c>
      <c r="E120">
        <v>1650299.4102328429</v>
      </c>
      <c r="F120">
        <v>15439738.97499867</v>
      </c>
      <c r="G120">
        <v>6141</v>
      </c>
      <c r="H120">
        <f t="shared" si="2"/>
        <v>0.33181405420725352</v>
      </c>
      <c r="I120">
        <f t="shared" si="3"/>
        <v>0.10688648382625815</v>
      </c>
      <c r="J120">
        <v>8.5011116666974278</v>
      </c>
    </row>
    <row r="121" spans="1:10" x14ac:dyDescent="0.3">
      <c r="A121" t="s">
        <v>1112</v>
      </c>
      <c r="B121" t="s">
        <v>878</v>
      </c>
      <c r="C121" t="s">
        <v>902</v>
      </c>
      <c r="D121" t="s">
        <v>904</v>
      </c>
      <c r="E121">
        <v>495651.96875</v>
      </c>
      <c r="F121">
        <v>127403104.0982175</v>
      </c>
      <c r="G121">
        <v>1724</v>
      </c>
      <c r="H121">
        <f t="shared" si="2"/>
        <v>0.32754332487965099</v>
      </c>
      <c r="I121">
        <f t="shared" si="3"/>
        <v>3.8904230180129076E-3</v>
      </c>
      <c r="J121">
        <v>0.84827329907151694</v>
      </c>
    </row>
    <row r="122" spans="1:10" x14ac:dyDescent="0.3">
      <c r="A122" t="s">
        <v>1043</v>
      </c>
      <c r="B122" t="s">
        <v>944</v>
      </c>
      <c r="C122" t="s">
        <v>944</v>
      </c>
      <c r="D122" t="s">
        <v>58</v>
      </c>
      <c r="E122">
        <v>992580.78125</v>
      </c>
      <c r="F122">
        <v>572331288.15028799</v>
      </c>
      <c r="G122">
        <v>4381</v>
      </c>
      <c r="H122">
        <f t="shared" si="2"/>
        <v>0.32704667441744967</v>
      </c>
      <c r="I122">
        <f t="shared" si="3"/>
        <v>1.7342766362781115E-3</v>
      </c>
      <c r="J122">
        <v>0.9014788679777368</v>
      </c>
    </row>
    <row r="123" spans="1:10" x14ac:dyDescent="0.3">
      <c r="A123" t="s">
        <v>1138</v>
      </c>
      <c r="B123" t="s">
        <v>101</v>
      </c>
      <c r="C123" t="s">
        <v>102</v>
      </c>
      <c r="D123" t="s">
        <v>104</v>
      </c>
      <c r="E123">
        <v>337792.17126225488</v>
      </c>
      <c r="F123">
        <v>83279343.071894914</v>
      </c>
      <c r="G123">
        <v>2527</v>
      </c>
      <c r="H123">
        <f t="shared" si="2"/>
        <v>0.32620079079599162</v>
      </c>
      <c r="I123">
        <f t="shared" si="3"/>
        <v>4.0561339559395835E-3</v>
      </c>
      <c r="J123">
        <v>1.04434447909058</v>
      </c>
    </row>
    <row r="124" spans="1:10" x14ac:dyDescent="0.3">
      <c r="A124" t="s">
        <v>1235</v>
      </c>
      <c r="B124" t="s">
        <v>878</v>
      </c>
      <c r="C124" t="s">
        <v>899</v>
      </c>
      <c r="D124" t="s">
        <v>901</v>
      </c>
      <c r="E124">
        <v>991225.1875</v>
      </c>
      <c r="F124">
        <v>475489741.38388002</v>
      </c>
      <c r="G124">
        <v>4131</v>
      </c>
      <c r="H124">
        <f t="shared" si="2"/>
        <v>0.32536568375451763</v>
      </c>
      <c r="I124">
        <f t="shared" si="3"/>
        <v>2.0846405321282169E-3</v>
      </c>
      <c r="J124">
        <v>0.95480554471251444</v>
      </c>
    </row>
    <row r="125" spans="1:10" x14ac:dyDescent="0.3">
      <c r="A125" t="s">
        <v>1125</v>
      </c>
      <c r="B125" t="s">
        <v>464</v>
      </c>
      <c r="C125" t="s">
        <v>465</v>
      </c>
      <c r="D125" t="s">
        <v>105</v>
      </c>
      <c r="E125">
        <v>993268.703125</v>
      </c>
      <c r="F125">
        <v>76562607.72302264</v>
      </c>
      <c r="G125">
        <v>2367</v>
      </c>
      <c r="H125">
        <f t="shared" si="2"/>
        <v>0.32502982036011979</v>
      </c>
      <c r="I125">
        <f t="shared" si="3"/>
        <v>1.2973287256859208E-2</v>
      </c>
      <c r="J125">
        <v>1.8011395138739821</v>
      </c>
    </row>
    <row r="126" spans="1:10" x14ac:dyDescent="0.3">
      <c r="A126" t="s">
        <v>1395</v>
      </c>
      <c r="B126" t="s">
        <v>678</v>
      </c>
      <c r="C126" t="s">
        <v>713</v>
      </c>
      <c r="D126" t="s">
        <v>713</v>
      </c>
      <c r="E126">
        <v>496208.46875</v>
      </c>
      <c r="F126">
        <v>718958547.49397612</v>
      </c>
      <c r="G126">
        <v>16277</v>
      </c>
      <c r="H126">
        <f t="shared" si="2"/>
        <v>0.32382168960640773</v>
      </c>
      <c r="I126">
        <f t="shared" si="3"/>
        <v>6.9017674312322932E-4</v>
      </c>
      <c r="J126">
        <v>1.0853586620093709</v>
      </c>
    </row>
    <row r="127" spans="1:10" x14ac:dyDescent="0.3">
      <c r="A127" t="s">
        <v>1101</v>
      </c>
      <c r="B127" t="s">
        <v>23</v>
      </c>
      <c r="C127" t="s">
        <v>63</v>
      </c>
      <c r="D127" t="s">
        <v>65</v>
      </c>
      <c r="E127">
        <v>2828613.645833333</v>
      </c>
      <c r="F127">
        <v>24540674.514061991</v>
      </c>
      <c r="G127">
        <v>3392</v>
      </c>
      <c r="H127">
        <f t="shared" si="2"/>
        <v>0.32362341076662005</v>
      </c>
      <c r="I127">
        <f t="shared" si="3"/>
        <v>0.11526226160623727</v>
      </c>
      <c r="J127">
        <v>6.398989844522907</v>
      </c>
    </row>
    <row r="128" spans="1:10" x14ac:dyDescent="0.3">
      <c r="A128" t="s">
        <v>1255</v>
      </c>
      <c r="B128" t="s">
        <v>834</v>
      </c>
      <c r="C128" t="s">
        <v>855</v>
      </c>
      <c r="D128" t="s">
        <v>855</v>
      </c>
      <c r="E128">
        <v>3613874.9346813732</v>
      </c>
      <c r="F128">
        <v>18781520.742969532</v>
      </c>
      <c r="G128">
        <v>10404</v>
      </c>
      <c r="H128">
        <f t="shared" si="2"/>
        <v>0.32330179640440776</v>
      </c>
      <c r="I128">
        <f t="shared" si="3"/>
        <v>0.19241652388740413</v>
      </c>
      <c r="J128">
        <v>14.465367507216589</v>
      </c>
    </row>
    <row r="129" spans="1:10" x14ac:dyDescent="0.3">
      <c r="A129" t="s">
        <v>1092</v>
      </c>
      <c r="B129" t="s">
        <v>160</v>
      </c>
      <c r="C129" t="s">
        <v>101</v>
      </c>
      <c r="D129" t="s">
        <v>174</v>
      </c>
      <c r="E129">
        <v>631992.45159313723</v>
      </c>
      <c r="F129">
        <v>42468218.748980649</v>
      </c>
      <c r="G129">
        <v>2254</v>
      </c>
      <c r="H129">
        <f t="shared" si="2"/>
        <v>0.31983474385193983</v>
      </c>
      <c r="I129">
        <f t="shared" si="3"/>
        <v>1.488153895336867E-2</v>
      </c>
      <c r="J129">
        <v>1.8523647941962511</v>
      </c>
    </row>
    <row r="130" spans="1:10" x14ac:dyDescent="0.3">
      <c r="A130" t="s">
        <v>1106</v>
      </c>
      <c r="B130" t="s">
        <v>734</v>
      </c>
      <c r="C130" t="s">
        <v>752</v>
      </c>
      <c r="D130" t="s">
        <v>757</v>
      </c>
      <c r="E130">
        <v>1020545.138357843</v>
      </c>
      <c r="F130">
        <v>89609156.909708321</v>
      </c>
      <c r="G130">
        <v>2474</v>
      </c>
      <c r="H130">
        <f t="shared" ref="H130:H193" si="4">J130/POWER(G130*E130/F130,1/2)</f>
        <v>0.31768382177466148</v>
      </c>
      <c r="I130">
        <f t="shared" ref="I130:I193" si="5">E130/F130</f>
        <v>1.1388848791269862E-2</v>
      </c>
      <c r="J130">
        <v>1.686300076827207</v>
      </c>
    </row>
    <row r="131" spans="1:10" x14ac:dyDescent="0.3">
      <c r="A131" t="s">
        <v>1389</v>
      </c>
      <c r="B131" t="s">
        <v>616</v>
      </c>
      <c r="C131" t="s">
        <v>649</v>
      </c>
      <c r="D131" t="s">
        <v>650</v>
      </c>
      <c r="E131">
        <v>993125.140625</v>
      </c>
      <c r="F131">
        <v>106422326.7346554</v>
      </c>
      <c r="G131">
        <v>3079</v>
      </c>
      <c r="H131">
        <f t="shared" si="4"/>
        <v>0.31750368130718937</v>
      </c>
      <c r="I131">
        <f t="shared" si="5"/>
        <v>9.3319247106969944E-3</v>
      </c>
      <c r="J131">
        <v>1.7019203166136421</v>
      </c>
    </row>
    <row r="132" spans="1:10" x14ac:dyDescent="0.3">
      <c r="A132" t="s">
        <v>1084</v>
      </c>
      <c r="B132" t="s">
        <v>656</v>
      </c>
      <c r="C132" t="s">
        <v>776</v>
      </c>
      <c r="D132" t="s">
        <v>806</v>
      </c>
      <c r="E132">
        <v>1778206.684375</v>
      </c>
      <c r="F132">
        <v>7573758.0401183376</v>
      </c>
      <c r="G132">
        <v>6152</v>
      </c>
      <c r="H132">
        <f t="shared" si="4"/>
        <v>0.31516751938597209</v>
      </c>
      <c r="I132">
        <f t="shared" si="5"/>
        <v>0.23478525125252298</v>
      </c>
      <c r="J132">
        <v>11.97801969502507</v>
      </c>
    </row>
    <row r="133" spans="1:10" x14ac:dyDescent="0.3">
      <c r="A133" t="s">
        <v>1466</v>
      </c>
      <c r="B133" t="s">
        <v>678</v>
      </c>
      <c r="C133" t="s">
        <v>723</v>
      </c>
      <c r="D133" t="s">
        <v>723</v>
      </c>
      <c r="E133">
        <v>496233.28125</v>
      </c>
      <c r="F133">
        <v>1326085100.118645</v>
      </c>
      <c r="G133">
        <v>7812</v>
      </c>
      <c r="H133">
        <f t="shared" si="4"/>
        <v>0.31435176676908094</v>
      </c>
      <c r="I133">
        <f t="shared" si="5"/>
        <v>3.7420922775288098E-4</v>
      </c>
      <c r="J133">
        <v>0.53747005077454224</v>
      </c>
    </row>
    <row r="134" spans="1:10" x14ac:dyDescent="0.3">
      <c r="A134" t="s">
        <v>1391</v>
      </c>
      <c r="B134" t="s">
        <v>410</v>
      </c>
      <c r="C134" t="s">
        <v>450</v>
      </c>
      <c r="D134" t="s">
        <v>450</v>
      </c>
      <c r="E134">
        <v>1737150.9375</v>
      </c>
      <c r="F134">
        <v>277261853.80029571</v>
      </c>
      <c r="G134">
        <v>32913</v>
      </c>
      <c r="H134">
        <f t="shared" si="4"/>
        <v>0.30947419481726429</v>
      </c>
      <c r="I134">
        <f t="shared" si="5"/>
        <v>6.2653802306004321E-3</v>
      </c>
      <c r="J134">
        <v>4.444080250514622</v>
      </c>
    </row>
    <row r="135" spans="1:10" x14ac:dyDescent="0.3">
      <c r="A135" t="s">
        <v>1270</v>
      </c>
      <c r="B135" t="s">
        <v>23</v>
      </c>
      <c r="C135" t="s">
        <v>24</v>
      </c>
      <c r="D135" t="s">
        <v>44</v>
      </c>
      <c r="E135">
        <v>5598236.4409313733</v>
      </c>
      <c r="F135">
        <v>25952391.98584478</v>
      </c>
      <c r="G135">
        <v>12690</v>
      </c>
      <c r="H135">
        <f t="shared" si="4"/>
        <v>0.30892218050535913</v>
      </c>
      <c r="I135">
        <f t="shared" si="5"/>
        <v>0.21571177115330337</v>
      </c>
      <c r="J135">
        <v>16.162808412996021</v>
      </c>
    </row>
    <row r="136" spans="1:10" x14ac:dyDescent="0.3">
      <c r="A136" t="s">
        <v>1187</v>
      </c>
      <c r="B136" t="s">
        <v>291</v>
      </c>
      <c r="C136" t="s">
        <v>340</v>
      </c>
      <c r="D136" t="s">
        <v>345</v>
      </c>
      <c r="E136">
        <v>506386.50821078429</v>
      </c>
      <c r="F136">
        <v>47401944.281787887</v>
      </c>
      <c r="G136">
        <v>2308</v>
      </c>
      <c r="H136">
        <f t="shared" si="4"/>
        <v>0.30528302072690872</v>
      </c>
      <c r="I136">
        <f t="shared" si="5"/>
        <v>1.0682821472480002E-2</v>
      </c>
      <c r="J136">
        <v>1.5158755142226441</v>
      </c>
    </row>
    <row r="137" spans="1:10" x14ac:dyDescent="0.3">
      <c r="A137" t="s">
        <v>1136</v>
      </c>
      <c r="B137" t="s">
        <v>23</v>
      </c>
      <c r="C137" t="s">
        <v>24</v>
      </c>
      <c r="D137" t="s">
        <v>34</v>
      </c>
      <c r="E137">
        <v>1228527.481801471</v>
      </c>
      <c r="F137">
        <v>20940358.185414221</v>
      </c>
      <c r="G137">
        <v>2516</v>
      </c>
      <c r="H137">
        <f t="shared" si="4"/>
        <v>0.30080728919797495</v>
      </c>
      <c r="I137">
        <f t="shared" si="5"/>
        <v>5.8667930649686235E-2</v>
      </c>
      <c r="J137">
        <v>3.6546354223391928</v>
      </c>
    </row>
    <row r="138" spans="1:10" x14ac:dyDescent="0.3">
      <c r="A138" t="s">
        <v>1360</v>
      </c>
      <c r="B138" t="s">
        <v>994</v>
      </c>
      <c r="C138" t="s">
        <v>995</v>
      </c>
      <c r="D138" t="s">
        <v>998</v>
      </c>
      <c r="E138">
        <v>496641.5625</v>
      </c>
      <c r="F138">
        <v>244341791.58672729</v>
      </c>
      <c r="G138">
        <v>11628</v>
      </c>
      <c r="H138">
        <f t="shared" si="4"/>
        <v>0.30065406990671095</v>
      </c>
      <c r="I138">
        <f t="shared" si="5"/>
        <v>2.0325690471321638E-3</v>
      </c>
      <c r="J138">
        <v>1.4616461688726139</v>
      </c>
    </row>
    <row r="139" spans="1:10" x14ac:dyDescent="0.3">
      <c r="A139" t="s">
        <v>1189</v>
      </c>
      <c r="B139" t="s">
        <v>128</v>
      </c>
      <c r="C139" t="s">
        <v>156</v>
      </c>
      <c r="D139" t="s">
        <v>156</v>
      </c>
      <c r="E139">
        <v>1481752.5919730391</v>
      </c>
      <c r="F139">
        <v>63104682.145040959</v>
      </c>
      <c r="G139">
        <v>9264</v>
      </c>
      <c r="H139">
        <f t="shared" si="4"/>
        <v>0.29888582087471144</v>
      </c>
      <c r="I139">
        <f t="shared" si="5"/>
        <v>2.3480866103839201E-2</v>
      </c>
      <c r="J139">
        <v>4.4082035689426071</v>
      </c>
    </row>
    <row r="140" spans="1:10" x14ac:dyDescent="0.3">
      <c r="A140" t="s">
        <v>1329</v>
      </c>
      <c r="B140" t="s">
        <v>503</v>
      </c>
      <c r="C140" t="s">
        <v>574</v>
      </c>
      <c r="D140" t="s">
        <v>574</v>
      </c>
      <c r="E140">
        <v>314619.38602941181</v>
      </c>
      <c r="F140">
        <v>194639052.21483409</v>
      </c>
      <c r="G140">
        <v>5835</v>
      </c>
      <c r="H140">
        <f t="shared" si="4"/>
        <v>0.2987061801866836</v>
      </c>
      <c r="I140">
        <f t="shared" si="5"/>
        <v>1.6164247742130836E-3</v>
      </c>
      <c r="J140">
        <v>0.91736546644671924</v>
      </c>
    </row>
    <row r="141" spans="1:10" x14ac:dyDescent="0.3">
      <c r="A141" t="s">
        <v>1307</v>
      </c>
      <c r="B141" t="s">
        <v>236</v>
      </c>
      <c r="C141" t="s">
        <v>258</v>
      </c>
      <c r="D141" t="s">
        <v>261</v>
      </c>
      <c r="E141">
        <v>230670.6584558824</v>
      </c>
      <c r="F141">
        <v>167441700.38252559</v>
      </c>
      <c r="G141">
        <v>9130</v>
      </c>
      <c r="H141">
        <f t="shared" si="4"/>
        <v>0.29825546541074077</v>
      </c>
      <c r="I141">
        <f t="shared" si="5"/>
        <v>1.377617749514657E-3</v>
      </c>
      <c r="J141">
        <v>1.057762495207027</v>
      </c>
    </row>
    <row r="142" spans="1:10" x14ac:dyDescent="0.3">
      <c r="A142" t="s">
        <v>1076</v>
      </c>
      <c r="B142" t="s">
        <v>23</v>
      </c>
      <c r="C142" t="s">
        <v>63</v>
      </c>
      <c r="D142" t="s">
        <v>68</v>
      </c>
      <c r="E142">
        <v>1499862.6087622549</v>
      </c>
      <c r="F142">
        <v>16993698.233887721</v>
      </c>
      <c r="G142">
        <v>2805</v>
      </c>
      <c r="H142">
        <f t="shared" si="4"/>
        <v>0.29648502496392209</v>
      </c>
      <c r="I142">
        <f t="shared" si="5"/>
        <v>8.8259929540900464E-2</v>
      </c>
      <c r="J142">
        <v>4.664992863061129</v>
      </c>
    </row>
    <row r="143" spans="1:10" x14ac:dyDescent="0.3">
      <c r="A143" t="s">
        <v>1121</v>
      </c>
      <c r="B143" t="s">
        <v>23</v>
      </c>
      <c r="C143" t="s">
        <v>73</v>
      </c>
      <c r="D143" t="s">
        <v>73</v>
      </c>
      <c r="E143">
        <v>1058946.872794118</v>
      </c>
      <c r="F143">
        <v>120213890.75005411</v>
      </c>
      <c r="G143">
        <v>2985</v>
      </c>
      <c r="H143">
        <f t="shared" si="4"/>
        <v>0.29516336891653672</v>
      </c>
      <c r="I143">
        <f t="shared" si="5"/>
        <v>8.8088561661801255E-3</v>
      </c>
      <c r="J143">
        <v>1.513541682245368</v>
      </c>
    </row>
    <row r="144" spans="1:10" x14ac:dyDescent="0.3">
      <c r="A144" t="s">
        <v>1040</v>
      </c>
      <c r="B144" t="s">
        <v>678</v>
      </c>
      <c r="C144" t="s">
        <v>696</v>
      </c>
      <c r="D144" t="s">
        <v>697</v>
      </c>
      <c r="E144">
        <v>744006.484375</v>
      </c>
      <c r="F144">
        <v>287172158.87378228</v>
      </c>
      <c r="G144">
        <v>4675</v>
      </c>
      <c r="H144">
        <f t="shared" si="4"/>
        <v>0.2927451680123786</v>
      </c>
      <c r="I144">
        <f t="shared" si="5"/>
        <v>2.5908029778820073E-3</v>
      </c>
      <c r="J144">
        <v>1.0188206451359729</v>
      </c>
    </row>
    <row r="145" spans="1:10" x14ac:dyDescent="0.3">
      <c r="A145" t="s">
        <v>1249</v>
      </c>
      <c r="B145" t="s">
        <v>834</v>
      </c>
      <c r="C145" t="s">
        <v>835</v>
      </c>
      <c r="D145" t="s">
        <v>847</v>
      </c>
      <c r="E145">
        <v>5039269.777144609</v>
      </c>
      <c r="F145">
        <v>7656488.6111119296</v>
      </c>
      <c r="G145">
        <v>9674</v>
      </c>
      <c r="H145">
        <f t="shared" si="4"/>
        <v>0.29231762495602981</v>
      </c>
      <c r="I145">
        <f t="shared" si="5"/>
        <v>0.65816982602587204</v>
      </c>
      <c r="J145">
        <v>23.32528865840391</v>
      </c>
    </row>
    <row r="146" spans="1:10" x14ac:dyDescent="0.3">
      <c r="A146" t="s">
        <v>1349</v>
      </c>
      <c r="B146" t="s">
        <v>678</v>
      </c>
      <c r="C146" t="s">
        <v>718</v>
      </c>
      <c r="D146" t="s">
        <v>718</v>
      </c>
      <c r="E146">
        <v>743906.9375</v>
      </c>
      <c r="F146">
        <v>128951230.37179869</v>
      </c>
      <c r="G146">
        <v>2535</v>
      </c>
      <c r="H146">
        <f t="shared" si="4"/>
        <v>0.29156718893193667</v>
      </c>
      <c r="I146">
        <f t="shared" si="5"/>
        <v>5.7689014316120134E-3</v>
      </c>
      <c r="J146">
        <v>1.114998263110573</v>
      </c>
    </row>
    <row r="147" spans="1:10" x14ac:dyDescent="0.3">
      <c r="A147" t="s">
        <v>1380</v>
      </c>
      <c r="B147" t="s">
        <v>834</v>
      </c>
      <c r="C147" t="s">
        <v>876</v>
      </c>
      <c r="D147" t="s">
        <v>876</v>
      </c>
      <c r="E147">
        <v>2116540.1432598042</v>
      </c>
      <c r="F147">
        <v>48380459.52806621</v>
      </c>
      <c r="G147">
        <v>12674</v>
      </c>
      <c r="H147">
        <f t="shared" si="4"/>
        <v>0.28934547872482375</v>
      </c>
      <c r="I147">
        <f t="shared" si="5"/>
        <v>4.3747830506487201E-2</v>
      </c>
      <c r="J147">
        <v>6.813210583023027</v>
      </c>
    </row>
    <row r="148" spans="1:10" x14ac:dyDescent="0.3">
      <c r="A148" t="s">
        <v>1183</v>
      </c>
      <c r="B148" t="s">
        <v>926</v>
      </c>
      <c r="C148" t="s">
        <v>939</v>
      </c>
      <c r="D148" t="s">
        <v>940</v>
      </c>
      <c r="E148">
        <v>1241629.46875</v>
      </c>
      <c r="F148">
        <v>1076216148.3011069</v>
      </c>
      <c r="G148">
        <v>3066</v>
      </c>
      <c r="H148">
        <f t="shared" si="4"/>
        <v>0.2889881273023765</v>
      </c>
      <c r="I148">
        <f t="shared" si="5"/>
        <v>1.1536989764649149E-3</v>
      </c>
      <c r="J148">
        <v>0.54351599534291506</v>
      </c>
    </row>
    <row r="149" spans="1:10" x14ac:dyDescent="0.3">
      <c r="A149" t="s">
        <v>1472</v>
      </c>
      <c r="B149" t="s">
        <v>616</v>
      </c>
      <c r="C149" t="s">
        <v>95</v>
      </c>
      <c r="D149" t="s">
        <v>95</v>
      </c>
      <c r="E149">
        <v>541420.49595588236</v>
      </c>
      <c r="F149">
        <v>337808720.50793481</v>
      </c>
      <c r="G149">
        <v>16849</v>
      </c>
      <c r="H149">
        <f t="shared" si="4"/>
        <v>0.28874071879588897</v>
      </c>
      <c r="I149">
        <f t="shared" si="5"/>
        <v>1.6027428040987027E-3</v>
      </c>
      <c r="J149">
        <v>1.5004689620968961</v>
      </c>
    </row>
    <row r="150" spans="1:10" x14ac:dyDescent="0.3">
      <c r="A150" s="2" t="s">
        <v>1303</v>
      </c>
      <c r="B150" s="2" t="s">
        <v>656</v>
      </c>
      <c r="C150" s="2" t="s">
        <v>776</v>
      </c>
      <c r="D150" s="2" t="s">
        <v>782</v>
      </c>
      <c r="E150" s="2">
        <v>10110229.077083331</v>
      </c>
      <c r="F150" s="2">
        <v>20972578.280250851</v>
      </c>
      <c r="G150" s="2">
        <v>41752</v>
      </c>
      <c r="H150" s="2">
        <f t="shared" si="4"/>
        <v>0.28603857597049076</v>
      </c>
      <c r="I150" s="2">
        <f t="shared" si="5"/>
        <v>0.4820689636716618</v>
      </c>
      <c r="J150" s="2">
        <v>40.580541240053897</v>
      </c>
    </row>
    <row r="151" spans="1:10" x14ac:dyDescent="0.3">
      <c r="A151" t="s">
        <v>1156</v>
      </c>
      <c r="B151" t="s">
        <v>656</v>
      </c>
      <c r="C151" t="s">
        <v>776</v>
      </c>
      <c r="D151" t="s">
        <v>793</v>
      </c>
      <c r="E151">
        <v>4290670.4570465675</v>
      </c>
      <c r="F151">
        <v>17717212.355703101</v>
      </c>
      <c r="G151">
        <v>22052</v>
      </c>
      <c r="H151">
        <f t="shared" si="4"/>
        <v>0.28185479299084426</v>
      </c>
      <c r="I151">
        <f t="shared" si="5"/>
        <v>0.2421752570835681</v>
      </c>
      <c r="J151">
        <v>20.597490019697421</v>
      </c>
    </row>
    <row r="152" spans="1:10" x14ac:dyDescent="0.3">
      <c r="A152" t="s">
        <v>1193</v>
      </c>
      <c r="B152" t="s">
        <v>464</v>
      </c>
      <c r="C152" t="s">
        <v>485</v>
      </c>
      <c r="D152" t="s">
        <v>487</v>
      </c>
      <c r="E152">
        <v>1337058.510110294</v>
      </c>
      <c r="F152">
        <v>27983090.52790102</v>
      </c>
      <c r="G152">
        <v>8809</v>
      </c>
      <c r="H152">
        <f t="shared" si="4"/>
        <v>0.28146137807556904</v>
      </c>
      <c r="I152">
        <f t="shared" si="5"/>
        <v>4.7780945023822755E-2</v>
      </c>
      <c r="J152">
        <v>5.7744348028492869</v>
      </c>
    </row>
    <row r="153" spans="1:10" x14ac:dyDescent="0.3">
      <c r="A153" t="s">
        <v>1181</v>
      </c>
      <c r="B153" t="s">
        <v>160</v>
      </c>
      <c r="C153" t="s">
        <v>181</v>
      </c>
      <c r="D153" t="s">
        <v>181</v>
      </c>
      <c r="E153">
        <v>2101440.7673406862</v>
      </c>
      <c r="F153">
        <v>100734569.5577791</v>
      </c>
      <c r="G153">
        <v>6701</v>
      </c>
      <c r="H153">
        <f t="shared" si="4"/>
        <v>0.28045745392923166</v>
      </c>
      <c r="I153">
        <f t="shared" si="5"/>
        <v>2.0861167884728457E-2</v>
      </c>
      <c r="J153">
        <v>3.3159357355696901</v>
      </c>
    </row>
    <row r="154" spans="1:10" x14ac:dyDescent="0.3">
      <c r="A154" t="s">
        <v>1064</v>
      </c>
      <c r="B154" t="s">
        <v>23</v>
      </c>
      <c r="C154" t="s">
        <v>73</v>
      </c>
      <c r="D154" t="s">
        <v>74</v>
      </c>
      <c r="E154">
        <v>922821.51691176463</v>
      </c>
      <c r="F154">
        <v>22926055.985119969</v>
      </c>
      <c r="G154">
        <v>753</v>
      </c>
      <c r="H154">
        <f t="shared" si="4"/>
        <v>0.27992580295917813</v>
      </c>
      <c r="I154">
        <f t="shared" si="5"/>
        <v>4.0252083372330459E-2</v>
      </c>
      <c r="J154">
        <v>1.541113420810269</v>
      </c>
    </row>
    <row r="155" spans="1:10" x14ac:dyDescent="0.3">
      <c r="A155" t="s">
        <v>1131</v>
      </c>
      <c r="B155" t="s">
        <v>503</v>
      </c>
      <c r="C155" t="s">
        <v>561</v>
      </c>
      <c r="D155" t="s">
        <v>565</v>
      </c>
      <c r="E155">
        <v>495756.34375</v>
      </c>
      <c r="F155">
        <v>181284461.5066494</v>
      </c>
      <c r="G155">
        <v>2142</v>
      </c>
      <c r="H155">
        <f t="shared" si="4"/>
        <v>0.27861566405711219</v>
      </c>
      <c r="I155">
        <f t="shared" si="5"/>
        <v>2.7346874609648548E-3</v>
      </c>
      <c r="J155">
        <v>0.67432476881311454</v>
      </c>
    </row>
    <row r="156" spans="1:10" x14ac:dyDescent="0.3">
      <c r="A156" t="s">
        <v>1119</v>
      </c>
      <c r="B156" t="s">
        <v>503</v>
      </c>
      <c r="C156" t="s">
        <v>503</v>
      </c>
      <c r="D156" t="s">
        <v>506</v>
      </c>
      <c r="E156">
        <v>495559.765625</v>
      </c>
      <c r="F156">
        <v>108628251.6965344</v>
      </c>
      <c r="G156">
        <v>1622</v>
      </c>
      <c r="H156">
        <f t="shared" si="4"/>
        <v>0.27647665626655549</v>
      </c>
      <c r="I156">
        <f t="shared" si="5"/>
        <v>4.5619786555103877E-3</v>
      </c>
      <c r="J156">
        <v>0.75207390119943873</v>
      </c>
    </row>
    <row r="157" spans="1:10" x14ac:dyDescent="0.3">
      <c r="A157" t="s">
        <v>1224</v>
      </c>
      <c r="B157" t="s">
        <v>834</v>
      </c>
      <c r="C157" t="s">
        <v>861</v>
      </c>
      <c r="D157" t="s">
        <v>867</v>
      </c>
      <c r="E157">
        <v>5324504.5558823533</v>
      </c>
      <c r="F157">
        <v>12502053.017602229</v>
      </c>
      <c r="G157">
        <v>6288</v>
      </c>
      <c r="H157">
        <f t="shared" si="4"/>
        <v>0.27430255999257691</v>
      </c>
      <c r="I157">
        <f t="shared" si="5"/>
        <v>0.42589041562899571</v>
      </c>
      <c r="J157">
        <v>14.19498901039873</v>
      </c>
    </row>
    <row r="158" spans="1:10" x14ac:dyDescent="0.3">
      <c r="A158" t="s">
        <v>1096</v>
      </c>
      <c r="B158" t="s">
        <v>23</v>
      </c>
      <c r="C158" t="s">
        <v>50</v>
      </c>
      <c r="D158" t="s">
        <v>55</v>
      </c>
      <c r="E158">
        <v>397781.24528186268</v>
      </c>
      <c r="F158">
        <v>35774223.717953414</v>
      </c>
      <c r="G158">
        <v>4696</v>
      </c>
      <c r="H158">
        <f t="shared" si="4"/>
        <v>0.27331229174164778</v>
      </c>
      <c r="I158">
        <f t="shared" si="5"/>
        <v>1.1119213890369753E-2</v>
      </c>
      <c r="J158">
        <v>1.974968849809738</v>
      </c>
    </row>
    <row r="159" spans="1:10" x14ac:dyDescent="0.3">
      <c r="A159" t="s">
        <v>1454</v>
      </c>
      <c r="B159" t="s">
        <v>352</v>
      </c>
      <c r="C159" t="s">
        <v>376</v>
      </c>
      <c r="D159" t="s">
        <v>376</v>
      </c>
      <c r="E159">
        <v>496625.328125</v>
      </c>
      <c r="F159">
        <v>142533824.0558745</v>
      </c>
      <c r="G159">
        <v>8747</v>
      </c>
      <c r="H159">
        <f t="shared" si="4"/>
        <v>0.27320345175489191</v>
      </c>
      <c r="I159">
        <f t="shared" si="5"/>
        <v>3.4842629910098993E-3</v>
      </c>
      <c r="J159">
        <v>1.5082426213611519</v>
      </c>
    </row>
    <row r="160" spans="1:10" x14ac:dyDescent="0.3">
      <c r="A160" t="s">
        <v>1209</v>
      </c>
      <c r="B160" t="s">
        <v>236</v>
      </c>
      <c r="C160" t="s">
        <v>258</v>
      </c>
      <c r="D160" t="s">
        <v>263</v>
      </c>
      <c r="E160">
        <v>603493.37665441178</v>
      </c>
      <c r="F160">
        <v>55731379.441941537</v>
      </c>
      <c r="G160">
        <v>3183</v>
      </c>
      <c r="H160">
        <f t="shared" si="4"/>
        <v>0.27233159825740905</v>
      </c>
      <c r="I160">
        <f t="shared" si="5"/>
        <v>1.082861007025861E-2</v>
      </c>
      <c r="J160">
        <v>1.5988315580280781</v>
      </c>
    </row>
    <row r="161" spans="1:10" x14ac:dyDescent="0.3">
      <c r="A161" t="s">
        <v>1212</v>
      </c>
      <c r="B161" t="s">
        <v>616</v>
      </c>
      <c r="C161" t="s">
        <v>639</v>
      </c>
      <c r="D161" t="s">
        <v>643</v>
      </c>
      <c r="E161">
        <v>993078.515625</v>
      </c>
      <c r="F161">
        <v>81597483.161557838</v>
      </c>
      <c r="G161">
        <v>955</v>
      </c>
      <c r="H161">
        <f t="shared" si="4"/>
        <v>0.27137589878843826</v>
      </c>
      <c r="I161">
        <f t="shared" si="5"/>
        <v>1.2170455229100235E-2</v>
      </c>
      <c r="J161">
        <v>0.92518029033714677</v>
      </c>
    </row>
    <row r="162" spans="1:10" x14ac:dyDescent="0.3">
      <c r="A162" t="s">
        <v>1426</v>
      </c>
      <c r="B162" t="s">
        <v>616</v>
      </c>
      <c r="C162" t="s">
        <v>639</v>
      </c>
      <c r="D162" t="s">
        <v>645</v>
      </c>
      <c r="E162">
        <v>993038.28125</v>
      </c>
      <c r="F162">
        <v>182887694.85142329</v>
      </c>
      <c r="G162">
        <v>4455</v>
      </c>
      <c r="H162">
        <f t="shared" si="4"/>
        <v>0.27136480014220604</v>
      </c>
      <c r="I162">
        <f t="shared" si="5"/>
        <v>5.4297708878486188E-3</v>
      </c>
      <c r="J162">
        <v>1.3346522389838511</v>
      </c>
    </row>
    <row r="163" spans="1:10" x14ac:dyDescent="0.3">
      <c r="A163" t="s">
        <v>1464</v>
      </c>
      <c r="B163" t="s">
        <v>616</v>
      </c>
      <c r="C163" t="s">
        <v>669</v>
      </c>
      <c r="D163" t="s">
        <v>671</v>
      </c>
      <c r="E163">
        <v>248325.625</v>
      </c>
      <c r="F163">
        <v>231323090.891729</v>
      </c>
      <c r="G163">
        <v>6135</v>
      </c>
      <c r="H163">
        <f t="shared" si="4"/>
        <v>0.2705577458594135</v>
      </c>
      <c r="I163">
        <f t="shared" si="5"/>
        <v>1.0735012403765133E-3</v>
      </c>
      <c r="J163">
        <v>0.69433415758294281</v>
      </c>
    </row>
    <row r="164" spans="1:10" x14ac:dyDescent="0.3">
      <c r="A164" t="s">
        <v>1032</v>
      </c>
      <c r="B164" t="s">
        <v>464</v>
      </c>
      <c r="C164" t="s">
        <v>472</v>
      </c>
      <c r="D164" t="s">
        <v>476</v>
      </c>
      <c r="E164">
        <v>2484191.3613357842</v>
      </c>
      <c r="F164">
        <v>17026385.911856789</v>
      </c>
      <c r="G164">
        <v>3836</v>
      </c>
      <c r="H164">
        <f t="shared" si="4"/>
        <v>0.27002865870124687</v>
      </c>
      <c r="I164">
        <f t="shared" si="5"/>
        <v>0.14590244660235557</v>
      </c>
      <c r="J164">
        <v>6.3882285545357904</v>
      </c>
    </row>
    <row r="165" spans="1:10" x14ac:dyDescent="0.3">
      <c r="A165" t="s">
        <v>1111</v>
      </c>
      <c r="B165" t="s">
        <v>678</v>
      </c>
      <c r="C165" t="s">
        <v>125</v>
      </c>
      <c r="D165" t="s">
        <v>706</v>
      </c>
      <c r="E165">
        <v>938718.44454656879</v>
      </c>
      <c r="F165">
        <v>287341123.16906089</v>
      </c>
      <c r="G165">
        <v>3358</v>
      </c>
      <c r="H165">
        <f t="shared" si="4"/>
        <v>0.26721736835911569</v>
      </c>
      <c r="I165">
        <f t="shared" si="5"/>
        <v>3.266912978530614E-3</v>
      </c>
      <c r="J165">
        <v>0.88506223812493146</v>
      </c>
    </row>
    <row r="166" spans="1:10" x14ac:dyDescent="0.3">
      <c r="A166" t="s">
        <v>1309</v>
      </c>
      <c r="B166" t="s">
        <v>410</v>
      </c>
      <c r="C166" t="s">
        <v>443</v>
      </c>
      <c r="D166" t="s">
        <v>443</v>
      </c>
      <c r="E166">
        <v>9460471.2720588222</v>
      </c>
      <c r="F166">
        <v>250682479.94449389</v>
      </c>
      <c r="G166">
        <v>81835</v>
      </c>
      <c r="H166">
        <f t="shared" si="4"/>
        <v>0.26699691912799794</v>
      </c>
      <c r="I166">
        <f t="shared" si="5"/>
        <v>3.7738861025124533E-2</v>
      </c>
      <c r="J166">
        <v>14.83782306090151</v>
      </c>
    </row>
    <row r="167" spans="1:10" x14ac:dyDescent="0.3">
      <c r="A167" t="s">
        <v>1340</v>
      </c>
      <c r="B167" t="s">
        <v>410</v>
      </c>
      <c r="C167" t="s">
        <v>463</v>
      </c>
      <c r="D167" t="s">
        <v>463</v>
      </c>
      <c r="E167">
        <v>1489179.984375</v>
      </c>
      <c r="F167">
        <v>491749748.25217068</v>
      </c>
      <c r="G167">
        <v>14305</v>
      </c>
      <c r="H167">
        <f t="shared" si="4"/>
        <v>0.26614936523261751</v>
      </c>
      <c r="I167">
        <f t="shared" si="5"/>
        <v>3.0283289206918806E-3</v>
      </c>
      <c r="J167">
        <v>1.751745005150861</v>
      </c>
    </row>
    <row r="168" spans="1:10" x14ac:dyDescent="0.3">
      <c r="A168" t="s">
        <v>1210</v>
      </c>
      <c r="B168" t="s">
        <v>878</v>
      </c>
      <c r="C168" t="s">
        <v>899</v>
      </c>
      <c r="D168" t="s">
        <v>900</v>
      </c>
      <c r="E168">
        <v>603502.99675245094</v>
      </c>
      <c r="F168">
        <v>265107533.4317365</v>
      </c>
      <c r="G168">
        <v>2863</v>
      </c>
      <c r="H168">
        <f t="shared" si="4"/>
        <v>0.26503422737217935</v>
      </c>
      <c r="I168">
        <f t="shared" si="5"/>
        <v>2.2764460479122867E-3</v>
      </c>
      <c r="J168">
        <v>0.67661452825967716</v>
      </c>
    </row>
    <row r="169" spans="1:10" x14ac:dyDescent="0.3">
      <c r="A169" t="s">
        <v>1041</v>
      </c>
      <c r="B169" t="s">
        <v>926</v>
      </c>
      <c r="C169" t="s">
        <v>926</v>
      </c>
      <c r="D169" t="s">
        <v>951</v>
      </c>
      <c r="E169">
        <v>993272.5625</v>
      </c>
      <c r="F169">
        <v>129102586.5748345</v>
      </c>
      <c r="G169">
        <v>935</v>
      </c>
      <c r="H169">
        <f t="shared" si="4"/>
        <v>0.26464531064583924</v>
      </c>
      <c r="I169">
        <f t="shared" si="5"/>
        <v>7.6936689562315478E-3</v>
      </c>
      <c r="J169">
        <v>0.70980124399615518</v>
      </c>
    </row>
    <row r="170" spans="1:10" x14ac:dyDescent="0.3">
      <c r="A170" t="s">
        <v>1301</v>
      </c>
      <c r="B170" t="s">
        <v>590</v>
      </c>
      <c r="C170" t="s">
        <v>601</v>
      </c>
      <c r="D170" t="s">
        <v>435</v>
      </c>
      <c r="E170">
        <v>744840.53125</v>
      </c>
      <c r="F170">
        <v>83819607.616770893</v>
      </c>
      <c r="G170">
        <v>12037</v>
      </c>
      <c r="H170">
        <f t="shared" si="4"/>
        <v>0.26427908581803145</v>
      </c>
      <c r="I170">
        <f t="shared" si="5"/>
        <v>8.8862326182134257E-3</v>
      </c>
      <c r="J170">
        <v>2.7332588626107972</v>
      </c>
    </row>
    <row r="171" spans="1:10" x14ac:dyDescent="0.3">
      <c r="A171" t="s">
        <v>1151</v>
      </c>
      <c r="B171" t="s">
        <v>944</v>
      </c>
      <c r="C171" t="s">
        <v>944</v>
      </c>
      <c r="D171" t="s">
        <v>1011</v>
      </c>
      <c r="E171">
        <v>1985058.609375</v>
      </c>
      <c r="F171">
        <v>65755370.373904079</v>
      </c>
      <c r="G171">
        <v>7895</v>
      </c>
      <c r="H171">
        <f t="shared" si="4"/>
        <v>0.26105314655554784</v>
      </c>
      <c r="I171">
        <f t="shared" si="5"/>
        <v>3.0188539705386524E-2</v>
      </c>
      <c r="J171">
        <v>4.0301949292020716</v>
      </c>
    </row>
    <row r="172" spans="1:10" x14ac:dyDescent="0.3">
      <c r="A172" t="s">
        <v>1348</v>
      </c>
      <c r="B172" t="s">
        <v>195</v>
      </c>
      <c r="C172" t="s">
        <v>231</v>
      </c>
      <c r="D172" t="s">
        <v>231</v>
      </c>
      <c r="E172">
        <v>744924.421875</v>
      </c>
      <c r="F172">
        <v>775930877.00557804</v>
      </c>
      <c r="G172">
        <v>7540</v>
      </c>
      <c r="H172">
        <f t="shared" si="4"/>
        <v>0.26096893750133615</v>
      </c>
      <c r="I172">
        <f t="shared" si="5"/>
        <v>9.600396684170681E-4</v>
      </c>
      <c r="J172">
        <v>0.70213250571384811</v>
      </c>
    </row>
    <row r="173" spans="1:10" x14ac:dyDescent="0.3">
      <c r="A173" t="s">
        <v>1080</v>
      </c>
      <c r="B173" t="s">
        <v>23</v>
      </c>
      <c r="C173" t="s">
        <v>24</v>
      </c>
      <c r="D173" t="s">
        <v>39</v>
      </c>
      <c r="E173">
        <v>1678672.349142157</v>
      </c>
      <c r="F173">
        <v>44956905.365974657</v>
      </c>
      <c r="G173">
        <v>7027</v>
      </c>
      <c r="H173">
        <f t="shared" si="4"/>
        <v>0.26091548503780199</v>
      </c>
      <c r="I173">
        <f t="shared" si="5"/>
        <v>3.7339588556570207E-2</v>
      </c>
      <c r="J173">
        <v>4.2263902481453641</v>
      </c>
    </row>
    <row r="174" spans="1:10" x14ac:dyDescent="0.3">
      <c r="A174" t="s">
        <v>1458</v>
      </c>
      <c r="B174" t="s">
        <v>616</v>
      </c>
      <c r="C174" t="s">
        <v>617</v>
      </c>
      <c r="D174" t="s">
        <v>76</v>
      </c>
      <c r="E174">
        <v>993148.828125</v>
      </c>
      <c r="F174">
        <v>120865842.4380302</v>
      </c>
      <c r="G174">
        <v>16848</v>
      </c>
      <c r="H174">
        <f t="shared" si="4"/>
        <v>0.2602579404802749</v>
      </c>
      <c r="I174">
        <f t="shared" si="5"/>
        <v>8.2169520196262464E-3</v>
      </c>
      <c r="J174">
        <v>3.062199922562975</v>
      </c>
    </row>
    <row r="175" spans="1:10" x14ac:dyDescent="0.3">
      <c r="A175" t="s">
        <v>1474</v>
      </c>
      <c r="B175" t="s">
        <v>994</v>
      </c>
      <c r="C175" t="s">
        <v>995</v>
      </c>
      <c r="D175" t="s">
        <v>996</v>
      </c>
      <c r="E175">
        <v>727443.44448529417</v>
      </c>
      <c r="F175">
        <v>1072857311.765041</v>
      </c>
      <c r="G175">
        <v>371880</v>
      </c>
      <c r="H175">
        <f t="shared" si="4"/>
        <v>0.25930660717409859</v>
      </c>
      <c r="I175">
        <f t="shared" si="5"/>
        <v>6.780430505604892E-4</v>
      </c>
      <c r="J175">
        <v>4.1175950060035724</v>
      </c>
    </row>
    <row r="176" spans="1:10" x14ac:dyDescent="0.3">
      <c r="A176" t="s">
        <v>1424</v>
      </c>
      <c r="B176" t="s">
        <v>590</v>
      </c>
      <c r="C176" t="s">
        <v>591</v>
      </c>
      <c r="D176" t="s">
        <v>594</v>
      </c>
      <c r="E176">
        <v>747543.18995098048</v>
      </c>
      <c r="F176">
        <v>279333626.444736</v>
      </c>
      <c r="G176">
        <v>28135</v>
      </c>
      <c r="H176">
        <f t="shared" si="4"/>
        <v>0.25604399925173082</v>
      </c>
      <c r="I176">
        <f t="shared" si="5"/>
        <v>2.6761661296044359E-3</v>
      </c>
      <c r="J176">
        <v>2.2217469705135122</v>
      </c>
    </row>
    <row r="177" spans="1:10" x14ac:dyDescent="0.3">
      <c r="A177" t="s">
        <v>1044</v>
      </c>
      <c r="B177" t="s">
        <v>944</v>
      </c>
      <c r="C177" t="s">
        <v>105</v>
      </c>
      <c r="D177" t="s">
        <v>1012</v>
      </c>
      <c r="E177">
        <v>1441084.2609681371</v>
      </c>
      <c r="F177">
        <v>14981806.011439459</v>
      </c>
      <c r="G177">
        <v>15047</v>
      </c>
      <c r="H177">
        <f t="shared" si="4"/>
        <v>0.25578627853181463</v>
      </c>
      <c r="I177">
        <f t="shared" si="5"/>
        <v>9.6188954780737884E-2</v>
      </c>
      <c r="J177">
        <v>9.7311643320479568</v>
      </c>
    </row>
    <row r="178" spans="1:10" x14ac:dyDescent="0.3">
      <c r="A178" t="s">
        <v>1025</v>
      </c>
      <c r="B178" t="s">
        <v>195</v>
      </c>
      <c r="C178" t="s">
        <v>228</v>
      </c>
      <c r="D178" t="s">
        <v>230</v>
      </c>
      <c r="E178">
        <v>611504.37757352937</v>
      </c>
      <c r="F178">
        <v>62035572.676110998</v>
      </c>
      <c r="G178">
        <v>2554</v>
      </c>
      <c r="H178">
        <f t="shared" si="4"/>
        <v>0.25442585801823764</v>
      </c>
      <c r="I178">
        <f t="shared" si="5"/>
        <v>9.8573181675327848E-3</v>
      </c>
      <c r="J178">
        <v>1.2765889519495659</v>
      </c>
    </row>
    <row r="179" spans="1:10" x14ac:dyDescent="0.3">
      <c r="A179" t="s">
        <v>1016</v>
      </c>
      <c r="B179" t="s">
        <v>23</v>
      </c>
      <c r="C179" t="s">
        <v>24</v>
      </c>
      <c r="D179" t="s">
        <v>30</v>
      </c>
      <c r="E179">
        <v>1068971.65379902</v>
      </c>
      <c r="F179">
        <v>93456152.008499518</v>
      </c>
      <c r="G179">
        <v>5738</v>
      </c>
      <c r="H179">
        <f t="shared" si="4"/>
        <v>0.25288718688822476</v>
      </c>
      <c r="I179">
        <f t="shared" si="5"/>
        <v>1.1438216006387687E-2</v>
      </c>
      <c r="J179">
        <v>2.0487371575013049</v>
      </c>
    </row>
    <row r="180" spans="1:10" x14ac:dyDescent="0.3">
      <c r="A180" t="s">
        <v>1287</v>
      </c>
      <c r="B180" t="s">
        <v>656</v>
      </c>
      <c r="C180" t="s">
        <v>776</v>
      </c>
      <c r="D180" t="s">
        <v>794</v>
      </c>
      <c r="E180">
        <v>1277663.090747549</v>
      </c>
      <c r="F180">
        <v>212678930.96104649</v>
      </c>
      <c r="G180">
        <v>2935</v>
      </c>
      <c r="H180">
        <f t="shared" si="4"/>
        <v>0.25250437734442172</v>
      </c>
      <c r="I180">
        <f t="shared" si="5"/>
        <v>6.0074737303506629E-3</v>
      </c>
      <c r="J180">
        <v>1.060275934851779</v>
      </c>
    </row>
    <row r="181" spans="1:10" x14ac:dyDescent="0.3">
      <c r="A181" t="s">
        <v>1115</v>
      </c>
      <c r="B181" t="s">
        <v>656</v>
      </c>
      <c r="C181" t="s">
        <v>776</v>
      </c>
      <c r="D181" t="s">
        <v>28</v>
      </c>
      <c r="E181">
        <v>3204864.0896446081</v>
      </c>
      <c r="F181">
        <v>87698890.641658172</v>
      </c>
      <c r="G181">
        <v>11455</v>
      </c>
      <c r="H181">
        <f t="shared" si="4"/>
        <v>0.25152302202908089</v>
      </c>
      <c r="I181">
        <f t="shared" si="5"/>
        <v>3.6543952451346673E-2</v>
      </c>
      <c r="J181">
        <v>5.1461571910546704</v>
      </c>
    </row>
    <row r="182" spans="1:10" x14ac:dyDescent="0.3">
      <c r="A182" t="s">
        <v>1150</v>
      </c>
      <c r="B182" t="s">
        <v>878</v>
      </c>
      <c r="C182" t="s">
        <v>896</v>
      </c>
      <c r="D182" t="s">
        <v>897</v>
      </c>
      <c r="E182">
        <v>991357.21875</v>
      </c>
      <c r="F182">
        <v>430341752.68475097</v>
      </c>
      <c r="G182">
        <v>2979</v>
      </c>
      <c r="H182">
        <f t="shared" si="4"/>
        <v>0.24952204302399958</v>
      </c>
      <c r="I182">
        <f t="shared" si="5"/>
        <v>2.3036510228563014E-3</v>
      </c>
      <c r="J182">
        <v>0.65366090933568088</v>
      </c>
    </row>
    <row r="183" spans="1:10" x14ac:dyDescent="0.3">
      <c r="A183" t="s">
        <v>1354</v>
      </c>
      <c r="B183" t="s">
        <v>834</v>
      </c>
      <c r="C183" t="s">
        <v>835</v>
      </c>
      <c r="D183" t="s">
        <v>841</v>
      </c>
      <c r="E183">
        <v>1560658.036335784</v>
      </c>
      <c r="F183">
        <v>36327238.314407893</v>
      </c>
      <c r="G183">
        <v>7520</v>
      </c>
      <c r="H183">
        <f t="shared" si="4"/>
        <v>0.24899348640902086</v>
      </c>
      <c r="I183">
        <f t="shared" si="5"/>
        <v>4.2961097753384823E-2</v>
      </c>
      <c r="J183">
        <v>4.4754281741223263</v>
      </c>
    </row>
    <row r="184" spans="1:10" x14ac:dyDescent="0.3">
      <c r="A184" t="s">
        <v>1045</v>
      </c>
      <c r="B184" t="s">
        <v>656</v>
      </c>
      <c r="C184" t="s">
        <v>821</v>
      </c>
      <c r="D184" t="s">
        <v>823</v>
      </c>
      <c r="E184">
        <v>37809881.190747537</v>
      </c>
      <c r="F184">
        <v>86050043.461623311</v>
      </c>
      <c r="G184">
        <v>6307</v>
      </c>
      <c r="H184">
        <f t="shared" si="4"/>
        <v>0.24851618342537354</v>
      </c>
      <c r="I184">
        <f t="shared" si="5"/>
        <v>0.43939409754755121</v>
      </c>
      <c r="J184">
        <v>13.08257400657374</v>
      </c>
    </row>
    <row r="185" spans="1:10" x14ac:dyDescent="0.3">
      <c r="A185" t="s">
        <v>1299</v>
      </c>
      <c r="B185" t="s">
        <v>834</v>
      </c>
      <c r="C185" t="s">
        <v>858</v>
      </c>
      <c r="D185" t="s">
        <v>858</v>
      </c>
      <c r="E185">
        <v>2234368.453125</v>
      </c>
      <c r="F185">
        <v>79391258.135633707</v>
      </c>
      <c r="G185">
        <v>8680</v>
      </c>
      <c r="H185">
        <f t="shared" si="4"/>
        <v>0.24793291750109858</v>
      </c>
      <c r="I185">
        <f t="shared" si="5"/>
        <v>2.8143759219784091E-2</v>
      </c>
      <c r="J185">
        <v>3.875119563064239</v>
      </c>
    </row>
    <row r="186" spans="1:10" x14ac:dyDescent="0.3">
      <c r="A186" t="s">
        <v>1304</v>
      </c>
      <c r="B186" t="s">
        <v>23</v>
      </c>
      <c r="C186" t="s">
        <v>24</v>
      </c>
      <c r="D186" t="s">
        <v>33</v>
      </c>
      <c r="E186">
        <v>4465453.3512254898</v>
      </c>
      <c r="F186">
        <v>27049159.86207464</v>
      </c>
      <c r="G186">
        <v>6707</v>
      </c>
      <c r="H186">
        <f t="shared" si="4"/>
        <v>0.24770453659115482</v>
      </c>
      <c r="I186">
        <f t="shared" si="5"/>
        <v>0.16508658213397814</v>
      </c>
      <c r="J186">
        <v>8.2424059786776134</v>
      </c>
    </row>
    <row r="187" spans="1:10" x14ac:dyDescent="0.3">
      <c r="A187" t="s">
        <v>1423</v>
      </c>
      <c r="B187" t="s">
        <v>656</v>
      </c>
      <c r="C187" t="s">
        <v>813</v>
      </c>
      <c r="D187" t="s">
        <v>398</v>
      </c>
      <c r="E187">
        <v>1241601.078125</v>
      </c>
      <c r="F187">
        <v>50002336.075365268</v>
      </c>
      <c r="G187">
        <v>9842</v>
      </c>
      <c r="H187">
        <f t="shared" si="4"/>
        <v>0.2468610233013927</v>
      </c>
      <c r="I187">
        <f t="shared" si="5"/>
        <v>2.4830861427226431E-2</v>
      </c>
      <c r="J187">
        <v>3.8591361294807789</v>
      </c>
    </row>
    <row r="188" spans="1:10" x14ac:dyDescent="0.3">
      <c r="A188" t="s">
        <v>1093</v>
      </c>
      <c r="B188" t="s">
        <v>195</v>
      </c>
      <c r="C188" t="s">
        <v>222</v>
      </c>
      <c r="D188" t="s">
        <v>227</v>
      </c>
      <c r="E188">
        <v>2044691.788602941</v>
      </c>
      <c r="F188">
        <v>16514786.912249461</v>
      </c>
      <c r="G188">
        <v>4075</v>
      </c>
      <c r="H188">
        <f t="shared" si="4"/>
        <v>0.24355364299770504</v>
      </c>
      <c r="I188">
        <f t="shared" si="5"/>
        <v>0.12380975906424431</v>
      </c>
      <c r="J188">
        <v>5.4706115210228283</v>
      </c>
    </row>
    <row r="189" spans="1:10" x14ac:dyDescent="0.3">
      <c r="A189" t="s">
        <v>1097</v>
      </c>
      <c r="B189" t="s">
        <v>503</v>
      </c>
      <c r="C189" t="s">
        <v>561</v>
      </c>
      <c r="D189" t="s">
        <v>566</v>
      </c>
      <c r="E189">
        <v>998323.5321078432</v>
      </c>
      <c r="F189">
        <v>77699639.637299612</v>
      </c>
      <c r="G189">
        <v>1110</v>
      </c>
      <c r="H189">
        <f t="shared" si="4"/>
        <v>0.24264245799438561</v>
      </c>
      <c r="I189">
        <f t="shared" si="5"/>
        <v>1.2848496296353469E-2</v>
      </c>
      <c r="J189">
        <v>0.91633534384636095</v>
      </c>
    </row>
    <row r="190" spans="1:10" x14ac:dyDescent="0.3">
      <c r="A190" t="s">
        <v>1283</v>
      </c>
      <c r="B190" t="s">
        <v>503</v>
      </c>
      <c r="C190" t="s">
        <v>581</v>
      </c>
      <c r="D190" t="s">
        <v>581</v>
      </c>
      <c r="E190">
        <v>495407.046875</v>
      </c>
      <c r="F190">
        <v>49557473.5510628</v>
      </c>
      <c r="G190">
        <v>4392</v>
      </c>
      <c r="H190">
        <f t="shared" si="4"/>
        <v>0.24101461251943618</v>
      </c>
      <c r="I190">
        <f t="shared" si="5"/>
        <v>9.9966162795717337E-3</v>
      </c>
      <c r="J190">
        <v>1.5969857871579149</v>
      </c>
    </row>
    <row r="191" spans="1:10" x14ac:dyDescent="0.3">
      <c r="A191" t="s">
        <v>1327</v>
      </c>
      <c r="B191" t="s">
        <v>464</v>
      </c>
      <c r="C191" t="s">
        <v>492</v>
      </c>
      <c r="D191" t="s">
        <v>492</v>
      </c>
      <c r="E191">
        <v>1470446.3416053921</v>
      </c>
      <c r="F191">
        <v>92824682.754684165</v>
      </c>
      <c r="G191">
        <v>10064</v>
      </c>
      <c r="H191">
        <f t="shared" si="4"/>
        <v>0.24078511019814869</v>
      </c>
      <c r="I191">
        <f t="shared" si="5"/>
        <v>1.5841113569883863E-2</v>
      </c>
      <c r="J191">
        <v>3.040239485123875</v>
      </c>
    </row>
    <row r="192" spans="1:10" x14ac:dyDescent="0.3">
      <c r="A192" t="s">
        <v>1415</v>
      </c>
      <c r="B192" t="s">
        <v>410</v>
      </c>
      <c r="C192" t="s">
        <v>459</v>
      </c>
      <c r="D192" t="s">
        <v>460</v>
      </c>
      <c r="E192">
        <v>1950487.53125</v>
      </c>
      <c r="F192">
        <v>134677621.7439625</v>
      </c>
      <c r="G192">
        <v>23753</v>
      </c>
      <c r="H192">
        <f t="shared" si="4"/>
        <v>0.23903361339141255</v>
      </c>
      <c r="I192">
        <f t="shared" si="5"/>
        <v>1.448264014461214E-2</v>
      </c>
      <c r="J192">
        <v>4.4334527150109526</v>
      </c>
    </row>
    <row r="193" spans="1:10" x14ac:dyDescent="0.3">
      <c r="A193" t="s">
        <v>1267</v>
      </c>
      <c r="B193" t="s">
        <v>503</v>
      </c>
      <c r="C193" t="s">
        <v>538</v>
      </c>
      <c r="D193" t="s">
        <v>538</v>
      </c>
      <c r="E193">
        <v>743000.90625</v>
      </c>
      <c r="F193">
        <v>72178485.213530794</v>
      </c>
      <c r="G193">
        <v>2883</v>
      </c>
      <c r="H193">
        <f t="shared" si="4"/>
        <v>0.23781878298647713</v>
      </c>
      <c r="I193">
        <f t="shared" si="5"/>
        <v>1.0293938755460537E-2</v>
      </c>
      <c r="J193">
        <v>1.295565168900267</v>
      </c>
    </row>
    <row r="194" spans="1:10" x14ac:dyDescent="0.3">
      <c r="A194" t="s">
        <v>1245</v>
      </c>
      <c r="B194" t="s">
        <v>503</v>
      </c>
      <c r="C194" t="s">
        <v>503</v>
      </c>
      <c r="D194" t="s">
        <v>509</v>
      </c>
      <c r="E194">
        <v>743010.6875</v>
      </c>
      <c r="F194">
        <v>205925701.72379389</v>
      </c>
      <c r="G194">
        <v>8605</v>
      </c>
      <c r="H194">
        <f t="shared" ref="H194:H257" si="6">J194/POWER(G194*E194/F194,1/2)</f>
        <v>0.23742321736465211</v>
      </c>
      <c r="I194">
        <f t="shared" ref="I194:I257" si="7">E194/F194</f>
        <v>3.6081493532875895E-3</v>
      </c>
      <c r="J194">
        <v>1.3229422189762621</v>
      </c>
    </row>
    <row r="195" spans="1:10" x14ac:dyDescent="0.3">
      <c r="A195" t="s">
        <v>1126</v>
      </c>
      <c r="B195" t="s">
        <v>410</v>
      </c>
      <c r="C195" t="s">
        <v>458</v>
      </c>
      <c r="D195" t="s">
        <v>458</v>
      </c>
      <c r="E195">
        <v>3971155.265625</v>
      </c>
      <c r="F195">
        <v>71846739.981580824</v>
      </c>
      <c r="G195">
        <v>22188</v>
      </c>
      <c r="H195">
        <f t="shared" si="6"/>
        <v>0.23565772876449606</v>
      </c>
      <c r="I195">
        <f t="shared" si="7"/>
        <v>5.5272588104109878E-2</v>
      </c>
      <c r="J195">
        <v>8.252692561950397</v>
      </c>
    </row>
    <row r="196" spans="1:10" x14ac:dyDescent="0.3">
      <c r="A196" t="s">
        <v>1158</v>
      </c>
      <c r="B196" t="s">
        <v>23</v>
      </c>
      <c r="C196" t="s">
        <v>24</v>
      </c>
      <c r="D196" t="s">
        <v>28</v>
      </c>
      <c r="E196">
        <v>991172.77892156865</v>
      </c>
      <c r="F196">
        <v>110846975.09621421</v>
      </c>
      <c r="G196">
        <v>3184</v>
      </c>
      <c r="H196">
        <f t="shared" si="6"/>
        <v>0.23468887937138891</v>
      </c>
      <c r="I196">
        <f t="shared" si="7"/>
        <v>8.9418117008717591E-3</v>
      </c>
      <c r="J196">
        <v>1.252252192760732</v>
      </c>
    </row>
    <row r="197" spans="1:10" x14ac:dyDescent="0.3">
      <c r="A197" t="s">
        <v>1217</v>
      </c>
      <c r="B197" t="s">
        <v>160</v>
      </c>
      <c r="C197" t="s">
        <v>181</v>
      </c>
      <c r="D197" t="s">
        <v>182</v>
      </c>
      <c r="E197">
        <v>649509.52751225489</v>
      </c>
      <c r="F197">
        <v>149179127.0093492</v>
      </c>
      <c r="G197">
        <v>2657</v>
      </c>
      <c r="H197">
        <f t="shared" si="6"/>
        <v>0.23349019844363933</v>
      </c>
      <c r="I197">
        <f t="shared" si="7"/>
        <v>4.3538901221184213E-3</v>
      </c>
      <c r="J197">
        <v>0.7941511402866589</v>
      </c>
    </row>
    <row r="198" spans="1:10" x14ac:dyDescent="0.3">
      <c r="A198" t="s">
        <v>1403</v>
      </c>
      <c r="B198" t="s">
        <v>195</v>
      </c>
      <c r="C198" t="s">
        <v>196</v>
      </c>
      <c r="D198" t="s">
        <v>203</v>
      </c>
      <c r="E198">
        <v>1141196.1680759799</v>
      </c>
      <c r="F198">
        <v>76118779.69844684</v>
      </c>
      <c r="G198">
        <v>4960</v>
      </c>
      <c r="H198">
        <f t="shared" si="6"/>
        <v>0.23163319023064927</v>
      </c>
      <c r="I198">
        <f t="shared" si="7"/>
        <v>1.499230771429807E-2</v>
      </c>
      <c r="J198">
        <v>1.997449787158585</v>
      </c>
    </row>
    <row r="199" spans="1:10" x14ac:dyDescent="0.3">
      <c r="A199" t="s">
        <v>1264</v>
      </c>
      <c r="B199" t="s">
        <v>656</v>
      </c>
      <c r="C199" t="s">
        <v>776</v>
      </c>
      <c r="D199" t="s">
        <v>778</v>
      </c>
      <c r="E199">
        <v>6415500.2468137257</v>
      </c>
      <c r="F199">
        <v>29394530.38000286</v>
      </c>
      <c r="G199">
        <v>34434</v>
      </c>
      <c r="H199">
        <f t="shared" si="6"/>
        <v>0.23018581171375802</v>
      </c>
      <c r="I199">
        <f t="shared" si="7"/>
        <v>0.21825489857726046</v>
      </c>
      <c r="J199">
        <v>19.955117457670589</v>
      </c>
    </row>
    <row r="200" spans="1:10" x14ac:dyDescent="0.3">
      <c r="A200" t="s">
        <v>1377</v>
      </c>
      <c r="B200" t="s">
        <v>834</v>
      </c>
      <c r="C200" t="s">
        <v>859</v>
      </c>
      <c r="D200" t="s">
        <v>859</v>
      </c>
      <c r="E200">
        <v>2336527.9207107839</v>
      </c>
      <c r="F200">
        <v>94450644.164688259</v>
      </c>
      <c r="G200">
        <v>14399</v>
      </c>
      <c r="H200">
        <f t="shared" si="6"/>
        <v>0.22973541983640158</v>
      </c>
      <c r="I200">
        <f t="shared" si="7"/>
        <v>2.4738083486616692E-2</v>
      </c>
      <c r="J200">
        <v>4.3358789573094354</v>
      </c>
    </row>
    <row r="201" spans="1:10" x14ac:dyDescent="0.3">
      <c r="A201" t="s">
        <v>1451</v>
      </c>
      <c r="B201" t="s">
        <v>352</v>
      </c>
      <c r="C201" t="s">
        <v>376</v>
      </c>
      <c r="D201" t="s">
        <v>381</v>
      </c>
      <c r="E201">
        <v>491752.10477941169</v>
      </c>
      <c r="F201">
        <v>191192605.27642411</v>
      </c>
      <c r="G201">
        <v>4992</v>
      </c>
      <c r="H201">
        <f t="shared" si="6"/>
        <v>0.22930580608413265</v>
      </c>
      <c r="I201">
        <f t="shared" si="7"/>
        <v>2.5720247081127538E-3</v>
      </c>
      <c r="J201">
        <v>0.82165576702524268</v>
      </c>
    </row>
    <row r="202" spans="1:10" x14ac:dyDescent="0.3">
      <c r="A202" t="s">
        <v>1170</v>
      </c>
      <c r="B202" t="s">
        <v>834</v>
      </c>
      <c r="C202" t="s">
        <v>861</v>
      </c>
      <c r="D202" t="s">
        <v>171</v>
      </c>
      <c r="E202">
        <v>4326591.290808823</v>
      </c>
      <c r="F202">
        <v>15663178.47386058</v>
      </c>
      <c r="G202">
        <v>7836</v>
      </c>
      <c r="H202">
        <f t="shared" si="6"/>
        <v>0.22923406862440301</v>
      </c>
      <c r="I202">
        <f t="shared" si="7"/>
        <v>0.27622690362810037</v>
      </c>
      <c r="J202">
        <v>10.66496326637197</v>
      </c>
    </row>
    <row r="203" spans="1:10" x14ac:dyDescent="0.3">
      <c r="A203" t="s">
        <v>1223</v>
      </c>
      <c r="B203" t="s">
        <v>834</v>
      </c>
      <c r="C203" t="s">
        <v>835</v>
      </c>
      <c r="D203" t="s">
        <v>408</v>
      </c>
      <c r="E203">
        <v>5745079.1718137264</v>
      </c>
      <c r="F203">
        <v>10447145.66877198</v>
      </c>
      <c r="G203">
        <v>6187</v>
      </c>
      <c r="H203">
        <f t="shared" si="6"/>
        <v>0.22909992309650001</v>
      </c>
      <c r="I203">
        <f t="shared" si="7"/>
        <v>0.54991854751165126</v>
      </c>
      <c r="J203">
        <v>13.36331437080068</v>
      </c>
    </row>
    <row r="204" spans="1:10" x14ac:dyDescent="0.3">
      <c r="A204" t="s">
        <v>1294</v>
      </c>
      <c r="B204" t="s">
        <v>994</v>
      </c>
      <c r="C204" t="s">
        <v>1004</v>
      </c>
      <c r="D204" t="s">
        <v>1004</v>
      </c>
      <c r="E204">
        <v>2234937.65625</v>
      </c>
      <c r="F204">
        <v>80894619.346610248</v>
      </c>
      <c r="G204">
        <v>37172</v>
      </c>
      <c r="H204">
        <f t="shared" si="6"/>
        <v>0.22446527705802027</v>
      </c>
      <c r="I204">
        <f t="shared" si="7"/>
        <v>2.7627766522689636E-2</v>
      </c>
      <c r="J204">
        <v>7.1933306160609831</v>
      </c>
    </row>
    <row r="205" spans="1:10" x14ac:dyDescent="0.3">
      <c r="A205" t="s">
        <v>1058</v>
      </c>
      <c r="B205" t="s">
        <v>128</v>
      </c>
      <c r="C205" t="s">
        <v>129</v>
      </c>
      <c r="D205" t="s">
        <v>130</v>
      </c>
      <c r="E205">
        <v>3971685.2929534321</v>
      </c>
      <c r="F205">
        <v>19061296.469221611</v>
      </c>
      <c r="G205">
        <v>3612</v>
      </c>
      <c r="H205">
        <f t="shared" si="6"/>
        <v>0.22394125563289152</v>
      </c>
      <c r="I205">
        <f t="shared" si="7"/>
        <v>0.20836385916175934</v>
      </c>
      <c r="J205">
        <v>6.1435468716895523</v>
      </c>
    </row>
    <row r="206" spans="1:10" x14ac:dyDescent="0.3">
      <c r="A206" t="s">
        <v>1333</v>
      </c>
      <c r="B206" t="s">
        <v>656</v>
      </c>
      <c r="C206" t="s">
        <v>776</v>
      </c>
      <c r="D206" t="s">
        <v>805</v>
      </c>
      <c r="E206">
        <v>3579784.25502451</v>
      </c>
      <c r="F206">
        <v>72947885.993240178</v>
      </c>
      <c r="G206">
        <v>26527</v>
      </c>
      <c r="H206">
        <f t="shared" si="6"/>
        <v>0.22343221619837925</v>
      </c>
      <c r="I206">
        <f t="shared" si="7"/>
        <v>4.9073173352223477E-2</v>
      </c>
      <c r="J206">
        <v>8.0614271444482171</v>
      </c>
    </row>
    <row r="207" spans="1:10" x14ac:dyDescent="0.3">
      <c r="A207" t="s">
        <v>1133</v>
      </c>
      <c r="B207" t="s">
        <v>410</v>
      </c>
      <c r="C207" t="s">
        <v>450</v>
      </c>
      <c r="D207" t="s">
        <v>453</v>
      </c>
      <c r="E207">
        <v>1401251.1904411761</v>
      </c>
      <c r="F207">
        <v>51738962.560907677</v>
      </c>
      <c r="G207">
        <v>18180</v>
      </c>
      <c r="H207">
        <f t="shared" si="6"/>
        <v>0.22306876303206857</v>
      </c>
      <c r="I207">
        <f t="shared" si="7"/>
        <v>2.7083094076183065E-2</v>
      </c>
      <c r="J207">
        <v>4.9497679313269778</v>
      </c>
    </row>
    <row r="208" spans="1:10" x14ac:dyDescent="0.3">
      <c r="A208" t="s">
        <v>1071</v>
      </c>
      <c r="B208" t="s">
        <v>128</v>
      </c>
      <c r="C208" t="s">
        <v>153</v>
      </c>
      <c r="D208" t="s">
        <v>154</v>
      </c>
      <c r="E208">
        <v>972054.97444852942</v>
      </c>
      <c r="F208">
        <v>60706964.176083647</v>
      </c>
      <c r="G208">
        <v>4720</v>
      </c>
      <c r="H208">
        <f t="shared" si="6"/>
        <v>0.22289764608916215</v>
      </c>
      <c r="I208">
        <f t="shared" si="7"/>
        <v>1.6012248143870849E-2</v>
      </c>
      <c r="J208">
        <v>1.937771826499372</v>
      </c>
    </row>
    <row r="209" spans="1:10" x14ac:dyDescent="0.3">
      <c r="A209" t="s">
        <v>1459</v>
      </c>
      <c r="B209" t="s">
        <v>616</v>
      </c>
      <c r="C209" t="s">
        <v>617</v>
      </c>
      <c r="D209" t="s">
        <v>622</v>
      </c>
      <c r="E209">
        <v>496570.09375</v>
      </c>
      <c r="F209">
        <v>139082614.8431758</v>
      </c>
      <c r="G209">
        <v>8180</v>
      </c>
      <c r="H209">
        <f t="shared" si="6"/>
        <v>0.22248569845292335</v>
      </c>
      <c r="I209">
        <f t="shared" si="7"/>
        <v>3.5703246901844154E-3</v>
      </c>
      <c r="J209">
        <v>1.202354706970103</v>
      </c>
    </row>
    <row r="210" spans="1:10" x14ac:dyDescent="0.3">
      <c r="A210" t="s">
        <v>1416</v>
      </c>
      <c r="B210" t="s">
        <v>926</v>
      </c>
      <c r="C210" t="s">
        <v>935</v>
      </c>
      <c r="D210" t="s">
        <v>936</v>
      </c>
      <c r="E210">
        <v>744005.18682598043</v>
      </c>
      <c r="F210">
        <v>246794938.88758329</v>
      </c>
      <c r="G210">
        <v>4159</v>
      </c>
      <c r="H210">
        <f t="shared" si="6"/>
        <v>0.22054978903790223</v>
      </c>
      <c r="I210">
        <f t="shared" si="7"/>
        <v>3.0146695478422258E-3</v>
      </c>
      <c r="J210">
        <v>0.78094592644511573</v>
      </c>
    </row>
    <row r="211" spans="1:10" x14ac:dyDescent="0.3">
      <c r="A211" t="s">
        <v>1265</v>
      </c>
      <c r="B211" t="s">
        <v>616</v>
      </c>
      <c r="C211" t="s">
        <v>639</v>
      </c>
      <c r="D211" t="s">
        <v>644</v>
      </c>
      <c r="E211">
        <v>744686.46875</v>
      </c>
      <c r="F211">
        <v>272828086.36882478</v>
      </c>
      <c r="G211">
        <v>4067</v>
      </c>
      <c r="H211">
        <f t="shared" si="6"/>
        <v>0.22021657269437978</v>
      </c>
      <c r="I211">
        <f t="shared" si="7"/>
        <v>2.7295080893661723E-3</v>
      </c>
      <c r="J211">
        <v>0.73371817703079756</v>
      </c>
    </row>
    <row r="212" spans="1:10" x14ac:dyDescent="0.3">
      <c r="A212" t="s">
        <v>1039</v>
      </c>
      <c r="B212" t="s">
        <v>616</v>
      </c>
      <c r="C212" t="s">
        <v>666</v>
      </c>
      <c r="D212" t="s">
        <v>667</v>
      </c>
      <c r="E212">
        <v>496505.90625</v>
      </c>
      <c r="F212">
        <v>151003620.22184321</v>
      </c>
      <c r="G212">
        <v>7063</v>
      </c>
      <c r="H212">
        <f t="shared" si="6"/>
        <v>0.21919331126502481</v>
      </c>
      <c r="I212">
        <f t="shared" si="7"/>
        <v>3.288039753752729E-3</v>
      </c>
      <c r="J212">
        <v>1.056307662987616</v>
      </c>
    </row>
    <row r="213" spans="1:10" x14ac:dyDescent="0.3">
      <c r="A213" t="s">
        <v>1030</v>
      </c>
      <c r="B213" t="s">
        <v>410</v>
      </c>
      <c r="C213" t="s">
        <v>440</v>
      </c>
      <c r="D213" t="s">
        <v>442</v>
      </c>
      <c r="E213">
        <v>1264369.1922794119</v>
      </c>
      <c r="F213">
        <v>320380202.24626201</v>
      </c>
      <c r="G213">
        <v>8012</v>
      </c>
      <c r="H213">
        <f t="shared" si="6"/>
        <v>0.21811018059462947</v>
      </c>
      <c r="I213">
        <f t="shared" si="7"/>
        <v>3.9464648046746275E-3</v>
      </c>
      <c r="J213">
        <v>1.226451912198667</v>
      </c>
    </row>
    <row r="214" spans="1:10" x14ac:dyDescent="0.3">
      <c r="A214" t="s">
        <v>1238</v>
      </c>
      <c r="B214" t="s">
        <v>834</v>
      </c>
      <c r="C214" t="s">
        <v>835</v>
      </c>
      <c r="D214" t="s">
        <v>843</v>
      </c>
      <c r="E214">
        <v>10035801.80085784</v>
      </c>
      <c r="F214">
        <v>15974194.674766939</v>
      </c>
      <c r="G214">
        <v>10382</v>
      </c>
      <c r="H214">
        <f t="shared" si="6"/>
        <v>0.21705037700151242</v>
      </c>
      <c r="I214">
        <f t="shared" si="7"/>
        <v>0.62825087619036801</v>
      </c>
      <c r="J214">
        <v>17.529422483712949</v>
      </c>
    </row>
    <row r="215" spans="1:10" x14ac:dyDescent="0.3">
      <c r="A215" t="s">
        <v>1248</v>
      </c>
      <c r="B215" t="s">
        <v>291</v>
      </c>
      <c r="C215" t="s">
        <v>294</v>
      </c>
      <c r="D215" t="s">
        <v>296</v>
      </c>
      <c r="E215">
        <v>991328.25</v>
      </c>
      <c r="F215">
        <v>211041371.69183719</v>
      </c>
      <c r="G215">
        <v>3382</v>
      </c>
      <c r="H215">
        <f t="shared" si="6"/>
        <v>0.21594043922761658</v>
      </c>
      <c r="I215">
        <f t="shared" si="7"/>
        <v>4.6973171281673547E-3</v>
      </c>
      <c r="J215">
        <v>0.86068795019469813</v>
      </c>
    </row>
    <row r="216" spans="1:10" x14ac:dyDescent="0.3">
      <c r="A216" t="s">
        <v>1363</v>
      </c>
      <c r="B216" t="s">
        <v>195</v>
      </c>
      <c r="C216" t="s">
        <v>196</v>
      </c>
      <c r="D216" t="s">
        <v>198</v>
      </c>
      <c r="E216">
        <v>3228755.4239583332</v>
      </c>
      <c r="F216">
        <v>37927340.137363829</v>
      </c>
      <c r="G216">
        <v>7269</v>
      </c>
      <c r="H216">
        <f t="shared" si="6"/>
        <v>0.21492260266021099</v>
      </c>
      <c r="I216">
        <f t="shared" si="7"/>
        <v>8.513002526052571E-2</v>
      </c>
      <c r="J216">
        <v>5.3463921036745878</v>
      </c>
    </row>
    <row r="217" spans="1:10" x14ac:dyDescent="0.3">
      <c r="A217" t="s">
        <v>1298</v>
      </c>
      <c r="B217" t="s">
        <v>23</v>
      </c>
      <c r="C217" t="s">
        <v>59</v>
      </c>
      <c r="D217" t="s">
        <v>59</v>
      </c>
      <c r="E217">
        <v>991661.71875</v>
      </c>
      <c r="F217">
        <v>242751217.1784364</v>
      </c>
      <c r="G217">
        <v>9079</v>
      </c>
      <c r="H217">
        <f t="shared" si="6"/>
        <v>0.21485879026038296</v>
      </c>
      <c r="I217">
        <f t="shared" si="7"/>
        <v>4.0850947331031113E-3</v>
      </c>
      <c r="J217">
        <v>1.308498413242646</v>
      </c>
    </row>
    <row r="218" spans="1:10" x14ac:dyDescent="0.3">
      <c r="A218" t="s">
        <v>1206</v>
      </c>
      <c r="B218" t="s">
        <v>410</v>
      </c>
      <c r="C218" t="s">
        <v>433</v>
      </c>
      <c r="D218" t="s">
        <v>435</v>
      </c>
      <c r="E218">
        <v>496173.71875</v>
      </c>
      <c r="F218">
        <v>103330347.3823636</v>
      </c>
      <c r="G218">
        <v>9398</v>
      </c>
      <c r="H218">
        <f t="shared" si="6"/>
        <v>0.21399537684335593</v>
      </c>
      <c r="I218">
        <f t="shared" si="7"/>
        <v>4.8018199040206341E-3</v>
      </c>
      <c r="J218">
        <v>1.437556904973502</v>
      </c>
    </row>
    <row r="219" spans="1:10" x14ac:dyDescent="0.3">
      <c r="A219" t="s">
        <v>1470</v>
      </c>
      <c r="B219" t="s">
        <v>616</v>
      </c>
      <c r="C219" t="s">
        <v>626</v>
      </c>
      <c r="D219" t="s">
        <v>361</v>
      </c>
      <c r="E219">
        <v>496641.046875</v>
      </c>
      <c r="F219">
        <v>335733536.44926882</v>
      </c>
      <c r="G219">
        <v>6566</v>
      </c>
      <c r="H219">
        <f t="shared" si="6"/>
        <v>0.21300730391259057</v>
      </c>
      <c r="I219">
        <f t="shared" si="7"/>
        <v>1.4792714845454386E-3</v>
      </c>
      <c r="J219">
        <v>0.6638483458178237</v>
      </c>
    </row>
    <row r="220" spans="1:10" x14ac:dyDescent="0.3">
      <c r="A220" t="s">
        <v>1068</v>
      </c>
      <c r="B220" t="s">
        <v>656</v>
      </c>
      <c r="C220" t="s">
        <v>776</v>
      </c>
      <c r="D220" t="s">
        <v>787</v>
      </c>
      <c r="E220">
        <v>15875354.22567402</v>
      </c>
      <c r="F220">
        <v>55499928.2386408</v>
      </c>
      <c r="G220">
        <v>20511</v>
      </c>
      <c r="H220">
        <f t="shared" si="6"/>
        <v>0.21246893321873295</v>
      </c>
      <c r="I220">
        <f t="shared" si="7"/>
        <v>0.28604278833321262</v>
      </c>
      <c r="J220">
        <v>16.27437639260344</v>
      </c>
    </row>
    <row r="221" spans="1:10" x14ac:dyDescent="0.3">
      <c r="A221" t="s">
        <v>1236</v>
      </c>
      <c r="B221" t="s">
        <v>834</v>
      </c>
      <c r="C221" t="s">
        <v>835</v>
      </c>
      <c r="D221" t="s">
        <v>839</v>
      </c>
      <c r="E221">
        <v>9716365.3017156832</v>
      </c>
      <c r="F221">
        <v>14155062.69249242</v>
      </c>
      <c r="G221">
        <v>15766</v>
      </c>
      <c r="H221">
        <f t="shared" si="6"/>
        <v>0.2120720380199172</v>
      </c>
      <c r="I221">
        <f t="shared" si="7"/>
        <v>0.68642333225899888</v>
      </c>
      <c r="J221">
        <v>22.061761723525851</v>
      </c>
    </row>
    <row r="222" spans="1:10" x14ac:dyDescent="0.3">
      <c r="A222" t="s">
        <v>1057</v>
      </c>
      <c r="B222" t="s">
        <v>160</v>
      </c>
      <c r="C222" t="s">
        <v>161</v>
      </c>
      <c r="D222" t="s">
        <v>162</v>
      </c>
      <c r="E222">
        <v>1437278.125061275</v>
      </c>
      <c r="F222">
        <v>65845607.214847408</v>
      </c>
      <c r="G222">
        <v>2162</v>
      </c>
      <c r="H222">
        <f t="shared" si="6"/>
        <v>0.21109284998263994</v>
      </c>
      <c r="I222">
        <f t="shared" si="7"/>
        <v>2.1828003201057666E-2</v>
      </c>
      <c r="J222">
        <v>1.4501347927188271</v>
      </c>
    </row>
    <row r="223" spans="1:10" x14ac:dyDescent="0.3">
      <c r="A223" t="s">
        <v>1073</v>
      </c>
      <c r="B223" t="s">
        <v>656</v>
      </c>
      <c r="C223" t="s">
        <v>776</v>
      </c>
      <c r="D223" t="s">
        <v>789</v>
      </c>
      <c r="E223">
        <v>5069740.7517156862</v>
      </c>
      <c r="F223">
        <v>7517041.950958401</v>
      </c>
      <c r="G223">
        <v>15109</v>
      </c>
      <c r="H223">
        <f t="shared" si="6"/>
        <v>0.20842373207600823</v>
      </c>
      <c r="I223">
        <f t="shared" si="7"/>
        <v>0.67443294646896434</v>
      </c>
      <c r="J223">
        <v>21.03945169839794</v>
      </c>
    </row>
    <row r="224" spans="1:10" x14ac:dyDescent="0.3">
      <c r="A224" t="s">
        <v>1387</v>
      </c>
      <c r="B224" t="s">
        <v>410</v>
      </c>
      <c r="C224" t="s">
        <v>411</v>
      </c>
      <c r="D224" t="s">
        <v>415</v>
      </c>
      <c r="E224">
        <v>3549562.2768995101</v>
      </c>
      <c r="F224">
        <v>2212268439.9646978</v>
      </c>
      <c r="G224">
        <v>15244</v>
      </c>
      <c r="H224">
        <f t="shared" si="6"/>
        <v>0.20834459536927677</v>
      </c>
      <c r="I224">
        <f t="shared" si="7"/>
        <v>1.6044898588148517E-3</v>
      </c>
      <c r="J224">
        <v>1.0303865884803911</v>
      </c>
    </row>
    <row r="225" spans="1:10" x14ac:dyDescent="0.3">
      <c r="A225" t="s">
        <v>1438</v>
      </c>
      <c r="B225" t="s">
        <v>656</v>
      </c>
      <c r="C225" t="s">
        <v>807</v>
      </c>
      <c r="D225" t="s">
        <v>812</v>
      </c>
      <c r="E225">
        <v>1738283.09375</v>
      </c>
      <c r="F225">
        <v>130795071.9694521</v>
      </c>
      <c r="G225">
        <v>14388</v>
      </c>
      <c r="H225">
        <f t="shared" si="6"/>
        <v>0.20573064183070888</v>
      </c>
      <c r="I225">
        <f t="shared" si="7"/>
        <v>1.3290126818814592E-2</v>
      </c>
      <c r="J225">
        <v>2.8448787292289062</v>
      </c>
    </row>
    <row r="226" spans="1:10" x14ac:dyDescent="0.3">
      <c r="A226" t="s">
        <v>1146</v>
      </c>
      <c r="B226" t="s">
        <v>160</v>
      </c>
      <c r="C226" t="s">
        <v>192</v>
      </c>
      <c r="D226" t="s">
        <v>193</v>
      </c>
      <c r="E226">
        <v>1986492.921875</v>
      </c>
      <c r="F226">
        <v>43251462.597660869</v>
      </c>
      <c r="G226">
        <v>6391</v>
      </c>
      <c r="H226">
        <f t="shared" si="6"/>
        <v>0.20488020710515378</v>
      </c>
      <c r="I226">
        <f t="shared" si="7"/>
        <v>4.5928918990647813E-2</v>
      </c>
      <c r="J226">
        <v>3.510164948065047</v>
      </c>
    </row>
    <row r="227" spans="1:10" x14ac:dyDescent="0.3">
      <c r="A227" t="s">
        <v>1185</v>
      </c>
      <c r="B227" t="s">
        <v>195</v>
      </c>
      <c r="C227" t="s">
        <v>196</v>
      </c>
      <c r="D227" t="s">
        <v>202</v>
      </c>
      <c r="E227">
        <v>6443013.4837622549</v>
      </c>
      <c r="F227">
        <v>10400715.2846606</v>
      </c>
      <c r="G227">
        <v>3230</v>
      </c>
      <c r="H227">
        <f t="shared" si="6"/>
        <v>0.20357984525113174</v>
      </c>
      <c r="I227">
        <f t="shared" si="7"/>
        <v>0.61947792122188694</v>
      </c>
      <c r="J227">
        <v>9.1064468513855896</v>
      </c>
    </row>
    <row r="228" spans="1:10" x14ac:dyDescent="0.3">
      <c r="A228" t="s">
        <v>1155</v>
      </c>
      <c r="B228" t="s">
        <v>503</v>
      </c>
      <c r="C228" t="s">
        <v>522</v>
      </c>
      <c r="D228" t="s">
        <v>522</v>
      </c>
      <c r="E228">
        <v>6936724.421875</v>
      </c>
      <c r="F228">
        <v>147408320.92059529</v>
      </c>
      <c r="G228">
        <v>28123</v>
      </c>
      <c r="H228">
        <f t="shared" si="6"/>
        <v>0.2033352498678612</v>
      </c>
      <c r="I228">
        <f t="shared" si="7"/>
        <v>4.7057889124261974E-2</v>
      </c>
      <c r="J228">
        <v>7.3970698246191766</v>
      </c>
    </row>
    <row r="229" spans="1:10" x14ac:dyDescent="0.3">
      <c r="A229" t="s">
        <v>1147</v>
      </c>
      <c r="B229" t="s">
        <v>834</v>
      </c>
      <c r="C229" t="s">
        <v>861</v>
      </c>
      <c r="D229" t="s">
        <v>429</v>
      </c>
      <c r="E229">
        <v>6121937.6761642164</v>
      </c>
      <c r="F229">
        <v>11615794.32999501</v>
      </c>
      <c r="G229">
        <v>2674</v>
      </c>
      <c r="H229">
        <f t="shared" si="6"/>
        <v>0.202965386557171</v>
      </c>
      <c r="I229">
        <f t="shared" si="7"/>
        <v>0.52703564665877189</v>
      </c>
      <c r="J229">
        <v>7.6194333908433736</v>
      </c>
    </row>
    <row r="230" spans="1:10" x14ac:dyDescent="0.3">
      <c r="A230" t="s">
        <v>1312</v>
      </c>
      <c r="B230" t="s">
        <v>656</v>
      </c>
      <c r="C230" t="s">
        <v>776</v>
      </c>
      <c r="D230" t="s">
        <v>780</v>
      </c>
      <c r="E230">
        <v>2085941.8062499999</v>
      </c>
      <c r="F230">
        <v>189671236.37262151</v>
      </c>
      <c r="G230">
        <v>4963</v>
      </c>
      <c r="H230">
        <f t="shared" si="6"/>
        <v>0.20219220290846202</v>
      </c>
      <c r="I230">
        <f t="shared" si="7"/>
        <v>1.0997670738814774E-2</v>
      </c>
      <c r="J230">
        <v>1.493780886381459</v>
      </c>
    </row>
    <row r="231" spans="1:10" x14ac:dyDescent="0.3">
      <c r="A231" t="s">
        <v>1341</v>
      </c>
      <c r="B231" t="s">
        <v>878</v>
      </c>
      <c r="C231" t="s">
        <v>885</v>
      </c>
      <c r="D231" t="s">
        <v>886</v>
      </c>
      <c r="E231">
        <v>742366.609375</v>
      </c>
      <c r="F231">
        <v>424954334.29311907</v>
      </c>
      <c r="G231">
        <v>7876</v>
      </c>
      <c r="H231">
        <f t="shared" si="6"/>
        <v>0.20181248664567661</v>
      </c>
      <c r="I231">
        <f t="shared" si="7"/>
        <v>1.7469326689181165E-3</v>
      </c>
      <c r="J231">
        <v>0.74858129420357133</v>
      </c>
    </row>
    <row r="232" spans="1:10" x14ac:dyDescent="0.3">
      <c r="A232" t="s">
        <v>1228</v>
      </c>
      <c r="B232" t="s">
        <v>834</v>
      </c>
      <c r="C232" t="s">
        <v>835</v>
      </c>
      <c r="D232" t="s">
        <v>836</v>
      </c>
      <c r="E232">
        <v>5883512.7572916681</v>
      </c>
      <c r="F232">
        <v>12790115.22673128</v>
      </c>
      <c r="G232">
        <v>5281</v>
      </c>
      <c r="H232">
        <f t="shared" si="6"/>
        <v>0.19986768197819982</v>
      </c>
      <c r="I232">
        <f t="shared" si="7"/>
        <v>0.46000467181055216</v>
      </c>
      <c r="J232">
        <v>9.8510331513224365</v>
      </c>
    </row>
    <row r="233" spans="1:10" x14ac:dyDescent="0.3">
      <c r="A233" t="s">
        <v>1404</v>
      </c>
      <c r="B233" t="s">
        <v>23</v>
      </c>
      <c r="C233" t="s">
        <v>47</v>
      </c>
      <c r="D233" t="s">
        <v>47</v>
      </c>
      <c r="E233">
        <v>2231627.4375</v>
      </c>
      <c r="F233">
        <v>239518819.46180749</v>
      </c>
      <c r="G233">
        <v>8434</v>
      </c>
      <c r="H233">
        <f t="shared" si="6"/>
        <v>0.1989193544949634</v>
      </c>
      <c r="I233">
        <f t="shared" si="7"/>
        <v>9.3171277418384428E-3</v>
      </c>
      <c r="J233">
        <v>1.763335149157611</v>
      </c>
    </row>
    <row r="234" spans="1:10" x14ac:dyDescent="0.3">
      <c r="A234" t="s">
        <v>1317</v>
      </c>
      <c r="B234" t="s">
        <v>616</v>
      </c>
      <c r="C234" t="s">
        <v>666</v>
      </c>
      <c r="D234" t="s">
        <v>660</v>
      </c>
      <c r="E234">
        <v>744797.625</v>
      </c>
      <c r="F234">
        <v>202847396.40764591</v>
      </c>
      <c r="G234">
        <v>15640</v>
      </c>
      <c r="H234">
        <f t="shared" si="6"/>
        <v>0.19861400485330766</v>
      </c>
      <c r="I234">
        <f t="shared" si="7"/>
        <v>3.6717139987502761E-3</v>
      </c>
      <c r="J234">
        <v>1.5050906770692269</v>
      </c>
    </row>
    <row r="235" spans="1:10" x14ac:dyDescent="0.3">
      <c r="A235" t="s">
        <v>1179</v>
      </c>
      <c r="B235" t="s">
        <v>236</v>
      </c>
      <c r="C235" t="s">
        <v>265</v>
      </c>
      <c r="D235" t="s">
        <v>265</v>
      </c>
      <c r="E235">
        <v>1488800.40625</v>
      </c>
      <c r="F235">
        <v>126895255.7567421</v>
      </c>
      <c r="G235">
        <v>6796</v>
      </c>
      <c r="H235">
        <f t="shared" si="6"/>
        <v>0.19801109172600487</v>
      </c>
      <c r="I235">
        <f t="shared" si="7"/>
        <v>1.1732514327438898E-2</v>
      </c>
      <c r="J235">
        <v>1.7681200540719451</v>
      </c>
    </row>
    <row r="236" spans="1:10" x14ac:dyDescent="0.3">
      <c r="A236" t="s">
        <v>1086</v>
      </c>
      <c r="B236" t="s">
        <v>23</v>
      </c>
      <c r="C236" t="s">
        <v>24</v>
      </c>
      <c r="D236" t="s">
        <v>37</v>
      </c>
      <c r="E236">
        <v>8278236.9174019611</v>
      </c>
      <c r="F236">
        <v>13947128.15711464</v>
      </c>
      <c r="G236">
        <v>26904</v>
      </c>
      <c r="H236">
        <f t="shared" si="6"/>
        <v>0.19723291018918535</v>
      </c>
      <c r="I236">
        <f t="shared" si="7"/>
        <v>0.59354419233461386</v>
      </c>
      <c r="J236">
        <v>24.92380472323546</v>
      </c>
    </row>
    <row r="237" spans="1:10" x14ac:dyDescent="0.3">
      <c r="A237" t="s">
        <v>1198</v>
      </c>
      <c r="B237" t="s">
        <v>23</v>
      </c>
      <c r="C237" t="s">
        <v>99</v>
      </c>
      <c r="D237" t="s">
        <v>99</v>
      </c>
      <c r="E237">
        <v>2902601.3778799018</v>
      </c>
      <c r="F237">
        <v>40385129.813849308</v>
      </c>
      <c r="G237">
        <v>3582</v>
      </c>
      <c r="H237">
        <f t="shared" si="6"/>
        <v>0.1934712038168411</v>
      </c>
      <c r="I237">
        <f t="shared" si="7"/>
        <v>7.1873023344461565E-2</v>
      </c>
      <c r="J237">
        <v>3.104288539987714</v>
      </c>
    </row>
    <row r="238" spans="1:10" x14ac:dyDescent="0.3">
      <c r="A238" t="s">
        <v>1260</v>
      </c>
      <c r="B238" t="s">
        <v>236</v>
      </c>
      <c r="C238" t="s">
        <v>237</v>
      </c>
      <c r="D238" t="s">
        <v>55</v>
      </c>
      <c r="E238">
        <v>1001672.359865196</v>
      </c>
      <c r="F238">
        <v>221126876.45093009</v>
      </c>
      <c r="G238">
        <v>6306</v>
      </c>
      <c r="H238">
        <f t="shared" si="6"/>
        <v>0.19317445256400337</v>
      </c>
      <c r="I238">
        <f t="shared" si="7"/>
        <v>4.5298535209376753E-3</v>
      </c>
      <c r="J238">
        <v>1.0324493441852609</v>
      </c>
    </row>
    <row r="239" spans="1:10" x14ac:dyDescent="0.3">
      <c r="A239" t="s">
        <v>1087</v>
      </c>
      <c r="B239" t="s">
        <v>464</v>
      </c>
      <c r="C239" t="s">
        <v>465</v>
      </c>
      <c r="D239" t="s">
        <v>149</v>
      </c>
      <c r="E239">
        <v>4712280.7338235294</v>
      </c>
      <c r="F239">
        <v>29038548.332060698</v>
      </c>
      <c r="G239">
        <v>21370</v>
      </c>
      <c r="H239">
        <f t="shared" si="6"/>
        <v>0.19242099727745063</v>
      </c>
      <c r="I239">
        <f t="shared" si="7"/>
        <v>0.16227673229177314</v>
      </c>
      <c r="J239">
        <v>11.33138118092111</v>
      </c>
    </row>
    <row r="240" spans="1:10" x14ac:dyDescent="0.3">
      <c r="A240" t="s">
        <v>1365</v>
      </c>
      <c r="B240" t="s">
        <v>590</v>
      </c>
      <c r="C240" t="s">
        <v>607</v>
      </c>
      <c r="D240" t="s">
        <v>608</v>
      </c>
      <c r="E240">
        <v>496453.859375</v>
      </c>
      <c r="F240">
        <v>138363257.0630697</v>
      </c>
      <c r="G240">
        <v>17378</v>
      </c>
      <c r="H240">
        <f t="shared" si="6"/>
        <v>0.19226228350561425</v>
      </c>
      <c r="I240">
        <f t="shared" si="7"/>
        <v>3.5880469274346652E-3</v>
      </c>
      <c r="J240">
        <v>1.5181792447094391</v>
      </c>
    </row>
    <row r="241" spans="1:10" x14ac:dyDescent="0.3">
      <c r="A241" t="s">
        <v>1269</v>
      </c>
      <c r="B241" t="s">
        <v>760</v>
      </c>
      <c r="C241" t="s">
        <v>760</v>
      </c>
      <c r="D241" t="s">
        <v>43</v>
      </c>
      <c r="E241">
        <v>1151655.5889705881</v>
      </c>
      <c r="F241">
        <v>93047778.322954193</v>
      </c>
      <c r="G241">
        <v>14209</v>
      </c>
      <c r="H241">
        <f t="shared" si="6"/>
        <v>0.19218991935171628</v>
      </c>
      <c r="I241">
        <f t="shared" si="7"/>
        <v>1.2377034785004461E-2</v>
      </c>
      <c r="J241">
        <v>2.548711434804372</v>
      </c>
    </row>
    <row r="242" spans="1:10" x14ac:dyDescent="0.3">
      <c r="A242" t="s">
        <v>1059</v>
      </c>
      <c r="B242" t="s">
        <v>236</v>
      </c>
      <c r="C242" t="s">
        <v>248</v>
      </c>
      <c r="D242" t="s">
        <v>250</v>
      </c>
      <c r="E242">
        <v>1240713.859375</v>
      </c>
      <c r="F242">
        <v>46746714.480885379</v>
      </c>
      <c r="G242">
        <v>1820</v>
      </c>
      <c r="H242">
        <f t="shared" si="6"/>
        <v>0.19204558111289982</v>
      </c>
      <c r="I242">
        <f t="shared" si="7"/>
        <v>2.6541199165608206E-2</v>
      </c>
      <c r="J242">
        <v>1.3347510868252279</v>
      </c>
    </row>
    <row r="243" spans="1:10" x14ac:dyDescent="0.3">
      <c r="A243" t="s">
        <v>1204</v>
      </c>
      <c r="B243" t="s">
        <v>503</v>
      </c>
      <c r="C243" t="s">
        <v>503</v>
      </c>
      <c r="D243" t="s">
        <v>510</v>
      </c>
      <c r="E243">
        <v>495612.59375</v>
      </c>
      <c r="F243">
        <v>157384017.1195713</v>
      </c>
      <c r="G243">
        <v>4686</v>
      </c>
      <c r="H243">
        <f t="shared" si="6"/>
        <v>0.19162206445078656</v>
      </c>
      <c r="I243">
        <f t="shared" si="7"/>
        <v>3.149065596498672E-3</v>
      </c>
      <c r="J243">
        <v>0.73610117423772048</v>
      </c>
    </row>
    <row r="244" spans="1:10" x14ac:dyDescent="0.3">
      <c r="A244" t="s">
        <v>1412</v>
      </c>
      <c r="B244" t="s">
        <v>834</v>
      </c>
      <c r="C244" t="s">
        <v>850</v>
      </c>
      <c r="D244" t="s">
        <v>25</v>
      </c>
      <c r="E244">
        <v>2234286.359375</v>
      </c>
      <c r="F244">
        <v>84056930.649310797</v>
      </c>
      <c r="G244">
        <v>15917</v>
      </c>
      <c r="H244">
        <f t="shared" si="6"/>
        <v>0.19079784969677469</v>
      </c>
      <c r="I244">
        <f t="shared" si="7"/>
        <v>2.6580632222898321E-2</v>
      </c>
      <c r="J244">
        <v>3.9245217221942261</v>
      </c>
    </row>
    <row r="245" spans="1:10" x14ac:dyDescent="0.3">
      <c r="A245" t="s">
        <v>1176</v>
      </c>
      <c r="B245" t="s">
        <v>410</v>
      </c>
      <c r="C245" t="s">
        <v>446</v>
      </c>
      <c r="D245" t="s">
        <v>448</v>
      </c>
      <c r="E245">
        <v>744636.03125</v>
      </c>
      <c r="F245">
        <v>85101810.389026284</v>
      </c>
      <c r="G245">
        <v>10518</v>
      </c>
      <c r="H245">
        <f t="shared" si="6"/>
        <v>0.18808804764167986</v>
      </c>
      <c r="I245">
        <f t="shared" si="7"/>
        <v>8.7499434835292215E-3</v>
      </c>
      <c r="J245">
        <v>1.804389975547088</v>
      </c>
    </row>
    <row r="246" spans="1:10" x14ac:dyDescent="0.3">
      <c r="A246" t="s">
        <v>1166</v>
      </c>
      <c r="B246" t="s">
        <v>678</v>
      </c>
      <c r="C246" t="s">
        <v>702</v>
      </c>
      <c r="D246" t="s">
        <v>704</v>
      </c>
      <c r="E246">
        <v>954871.5431985294</v>
      </c>
      <c r="F246">
        <v>202212905.1262562</v>
      </c>
      <c r="G246">
        <v>2515</v>
      </c>
      <c r="H246">
        <f t="shared" si="6"/>
        <v>0.18703776719290452</v>
      </c>
      <c r="I246">
        <f t="shared" si="7"/>
        <v>4.7221098109556051E-3</v>
      </c>
      <c r="J246">
        <v>0.64456444435579485</v>
      </c>
    </row>
    <row r="247" spans="1:10" x14ac:dyDescent="0.3">
      <c r="A247" t="s">
        <v>1056</v>
      </c>
      <c r="B247" t="s">
        <v>23</v>
      </c>
      <c r="C247" t="s">
        <v>24</v>
      </c>
      <c r="D247" t="s">
        <v>31</v>
      </c>
      <c r="E247">
        <v>6058698.2280024514</v>
      </c>
      <c r="F247">
        <v>15981659.48574033</v>
      </c>
      <c r="G247">
        <v>7464</v>
      </c>
      <c r="H247">
        <f t="shared" si="6"/>
        <v>0.18700746307710711</v>
      </c>
      <c r="I247">
        <f t="shared" si="7"/>
        <v>0.37910319847624946</v>
      </c>
      <c r="J247">
        <v>9.9477182981823464</v>
      </c>
    </row>
    <row r="248" spans="1:10" x14ac:dyDescent="0.3">
      <c r="A248" t="s">
        <v>1229</v>
      </c>
      <c r="B248" t="s">
        <v>834</v>
      </c>
      <c r="C248" t="s">
        <v>835</v>
      </c>
      <c r="D248" t="s">
        <v>838</v>
      </c>
      <c r="E248">
        <v>4082386.286825981</v>
      </c>
      <c r="F248">
        <v>19649343.485476971</v>
      </c>
      <c r="G248">
        <v>3931</v>
      </c>
      <c r="H248">
        <f t="shared" si="6"/>
        <v>0.18679324149573623</v>
      </c>
      <c r="I248">
        <f t="shared" si="7"/>
        <v>0.20776196873159219</v>
      </c>
      <c r="J248">
        <v>5.338210639583445</v>
      </c>
    </row>
    <row r="249" spans="1:10" x14ac:dyDescent="0.3">
      <c r="A249" t="s">
        <v>1094</v>
      </c>
      <c r="B249" t="s">
        <v>464</v>
      </c>
      <c r="C249" t="s">
        <v>477</v>
      </c>
      <c r="D249" t="s">
        <v>482</v>
      </c>
      <c r="E249">
        <v>4291615.9738970594</v>
      </c>
      <c r="F249">
        <v>45602953.826002978</v>
      </c>
      <c r="G249">
        <v>8245</v>
      </c>
      <c r="H249">
        <f t="shared" si="6"/>
        <v>0.18659885944475191</v>
      </c>
      <c r="I249">
        <f t="shared" si="7"/>
        <v>9.4108289350545618E-2</v>
      </c>
      <c r="J249">
        <v>5.1977843170390718</v>
      </c>
    </row>
    <row r="250" spans="1:10" x14ac:dyDescent="0.3">
      <c r="A250" t="s">
        <v>1258</v>
      </c>
      <c r="B250" t="s">
        <v>834</v>
      </c>
      <c r="C250" t="s">
        <v>835</v>
      </c>
      <c r="D250" t="s">
        <v>846</v>
      </c>
      <c r="E250">
        <v>4711304.5744485306</v>
      </c>
      <c r="F250">
        <v>11075381.59496396</v>
      </c>
      <c r="G250">
        <v>10229</v>
      </c>
      <c r="H250">
        <f t="shared" si="6"/>
        <v>0.18611343377653772</v>
      </c>
      <c r="I250">
        <f t="shared" si="7"/>
        <v>0.42538530470054303</v>
      </c>
      <c r="J250">
        <v>12.2768105077899</v>
      </c>
    </row>
    <row r="251" spans="1:10" x14ac:dyDescent="0.3">
      <c r="A251" t="s">
        <v>1372</v>
      </c>
      <c r="B251" t="s">
        <v>291</v>
      </c>
      <c r="C251" t="s">
        <v>350</v>
      </c>
      <c r="D251" t="s">
        <v>218</v>
      </c>
      <c r="E251">
        <v>991195.25</v>
      </c>
      <c r="F251">
        <v>108149666.15886401</v>
      </c>
      <c r="G251">
        <v>3275</v>
      </c>
      <c r="H251">
        <f t="shared" si="6"/>
        <v>0.18598641915184044</v>
      </c>
      <c r="I251">
        <f t="shared" si="7"/>
        <v>9.1650329141470133E-3</v>
      </c>
      <c r="J251">
        <v>1.018952407026809</v>
      </c>
    </row>
    <row r="252" spans="1:10" x14ac:dyDescent="0.3">
      <c r="A252" t="s">
        <v>1443</v>
      </c>
      <c r="B252" t="s">
        <v>616</v>
      </c>
      <c r="C252" t="s">
        <v>588</v>
      </c>
      <c r="D252" t="s">
        <v>588</v>
      </c>
      <c r="E252">
        <v>993019.234375</v>
      </c>
      <c r="F252">
        <v>256787710.57124299</v>
      </c>
      <c r="G252">
        <v>10085</v>
      </c>
      <c r="H252">
        <f t="shared" si="6"/>
        <v>0.18559987181516888</v>
      </c>
      <c r="I252">
        <f t="shared" si="7"/>
        <v>3.8670823933355546E-3</v>
      </c>
      <c r="J252">
        <v>1.159063783443752</v>
      </c>
    </row>
    <row r="253" spans="1:10" x14ac:dyDescent="0.3">
      <c r="A253" t="s">
        <v>1337</v>
      </c>
      <c r="B253" t="s">
        <v>195</v>
      </c>
      <c r="C253" t="s">
        <v>196</v>
      </c>
      <c r="D253" t="s">
        <v>199</v>
      </c>
      <c r="E253">
        <v>3432409.760477941</v>
      </c>
      <c r="F253">
        <v>26660543.008029629</v>
      </c>
      <c r="G253">
        <v>11013</v>
      </c>
      <c r="H253">
        <f t="shared" si="6"/>
        <v>0.18556684863899447</v>
      </c>
      <c r="I253">
        <f t="shared" si="7"/>
        <v>0.12874493064316683</v>
      </c>
      <c r="J253">
        <v>6.9874430440091784</v>
      </c>
    </row>
    <row r="254" spans="1:10" x14ac:dyDescent="0.3">
      <c r="A254" t="s">
        <v>1402</v>
      </c>
      <c r="B254" t="s">
        <v>656</v>
      </c>
      <c r="C254" t="s">
        <v>776</v>
      </c>
      <c r="D254" t="s">
        <v>798</v>
      </c>
      <c r="E254">
        <v>1489927.984375</v>
      </c>
      <c r="F254">
        <v>486515784.24552959</v>
      </c>
      <c r="G254">
        <v>23239</v>
      </c>
      <c r="H254">
        <f t="shared" si="6"/>
        <v>0.18513152221999288</v>
      </c>
      <c r="I254">
        <f t="shared" si="7"/>
        <v>3.0624453154906874E-3</v>
      </c>
      <c r="J254">
        <v>1.561792242322096</v>
      </c>
    </row>
    <row r="255" spans="1:10" x14ac:dyDescent="0.3">
      <c r="A255" t="s">
        <v>1386</v>
      </c>
      <c r="B255" t="s">
        <v>616</v>
      </c>
      <c r="C255" t="s">
        <v>676</v>
      </c>
      <c r="D255" t="s">
        <v>676</v>
      </c>
      <c r="E255">
        <v>9108909.3975490164</v>
      </c>
      <c r="F255">
        <v>96508042.56701228</v>
      </c>
      <c r="G255">
        <v>29754</v>
      </c>
      <c r="H255">
        <f t="shared" si="6"/>
        <v>0.18491750160065995</v>
      </c>
      <c r="I255">
        <f t="shared" si="7"/>
        <v>9.4384977202537954E-2</v>
      </c>
      <c r="J255">
        <v>9.7994597641732248</v>
      </c>
    </row>
    <row r="256" spans="1:10" x14ac:dyDescent="0.3">
      <c r="A256" t="s">
        <v>1191</v>
      </c>
      <c r="B256" t="s">
        <v>291</v>
      </c>
      <c r="C256" t="s">
        <v>314</v>
      </c>
      <c r="D256" t="s">
        <v>314</v>
      </c>
      <c r="E256">
        <v>1486804.125</v>
      </c>
      <c r="F256">
        <v>129842551.12085781</v>
      </c>
      <c r="G256">
        <v>6603</v>
      </c>
      <c r="H256">
        <f t="shared" si="6"/>
        <v>0.1844252882718054</v>
      </c>
      <c r="I256">
        <f t="shared" si="7"/>
        <v>1.1450823417787583E-2</v>
      </c>
      <c r="J256">
        <v>1.6036495929100569</v>
      </c>
    </row>
    <row r="257" spans="1:10" x14ac:dyDescent="0.3">
      <c r="A257" t="s">
        <v>1201</v>
      </c>
      <c r="B257" t="s">
        <v>23</v>
      </c>
      <c r="C257" t="s">
        <v>24</v>
      </c>
      <c r="D257" t="s">
        <v>45</v>
      </c>
      <c r="E257">
        <v>4724842.6190563729</v>
      </c>
      <c r="F257">
        <v>44346774.144208401</v>
      </c>
      <c r="G257">
        <v>34785</v>
      </c>
      <c r="H257">
        <f t="shared" si="6"/>
        <v>0.18280187635562964</v>
      </c>
      <c r="I257">
        <f t="shared" si="7"/>
        <v>0.10654309609289649</v>
      </c>
      <c r="J257">
        <v>11.128568658698359</v>
      </c>
    </row>
    <row r="258" spans="1:10" x14ac:dyDescent="0.3">
      <c r="A258" t="s">
        <v>1323</v>
      </c>
      <c r="B258" t="s">
        <v>410</v>
      </c>
      <c r="C258" t="s">
        <v>418</v>
      </c>
      <c r="D258" t="s">
        <v>418</v>
      </c>
      <c r="E258">
        <v>744041.5</v>
      </c>
      <c r="F258">
        <v>441158068.57069111</v>
      </c>
      <c r="G258">
        <v>25649</v>
      </c>
      <c r="H258">
        <f t="shared" ref="H258:H321" si="8">J258/POWER(G258*E258/F258,1/2)</f>
        <v>0.18198425868644039</v>
      </c>
      <c r="I258">
        <f t="shared" ref="I258:I321" si="9">E258/F258</f>
        <v>1.686564415359378E-3</v>
      </c>
      <c r="J258">
        <v>1.1969348419292321</v>
      </c>
    </row>
    <row r="259" spans="1:10" x14ac:dyDescent="0.3">
      <c r="A259" t="s">
        <v>1405</v>
      </c>
      <c r="B259" t="s">
        <v>352</v>
      </c>
      <c r="C259" t="s">
        <v>384</v>
      </c>
      <c r="D259" t="s">
        <v>385</v>
      </c>
      <c r="E259">
        <v>1241612.0625</v>
      </c>
      <c r="F259">
        <v>1021275146.89344</v>
      </c>
      <c r="G259">
        <v>55614</v>
      </c>
      <c r="H259">
        <f t="shared" si="8"/>
        <v>0.18103021392670793</v>
      </c>
      <c r="I259">
        <f t="shared" si="9"/>
        <v>1.2157468692710193E-3</v>
      </c>
      <c r="J259">
        <v>1.4885544001467641</v>
      </c>
    </row>
    <row r="260" spans="1:10" x14ac:dyDescent="0.3">
      <c r="A260" t="s">
        <v>1165</v>
      </c>
      <c r="B260" t="s">
        <v>410</v>
      </c>
      <c r="C260" t="s">
        <v>411</v>
      </c>
      <c r="D260" t="s">
        <v>414</v>
      </c>
      <c r="E260">
        <v>4673154.3247549012</v>
      </c>
      <c r="F260">
        <v>73829736.596663207</v>
      </c>
      <c r="G260">
        <v>33691</v>
      </c>
      <c r="H260">
        <f t="shared" si="8"/>
        <v>0.17979578757432829</v>
      </c>
      <c r="I260">
        <f t="shared" si="9"/>
        <v>6.3296370001760346E-2</v>
      </c>
      <c r="J260">
        <v>8.302824638953167</v>
      </c>
    </row>
    <row r="261" spans="1:10" x14ac:dyDescent="0.3">
      <c r="A261" t="s">
        <v>1280</v>
      </c>
      <c r="B261" t="s">
        <v>834</v>
      </c>
      <c r="C261" t="s">
        <v>868</v>
      </c>
      <c r="D261" t="s">
        <v>869</v>
      </c>
      <c r="E261">
        <v>5435777.9581495104</v>
      </c>
      <c r="F261">
        <v>49346322.685064137</v>
      </c>
      <c r="G261">
        <v>15975</v>
      </c>
      <c r="H261">
        <f t="shared" si="8"/>
        <v>0.17820472141028357</v>
      </c>
      <c r="I261">
        <f t="shared" si="9"/>
        <v>0.11015568460575038</v>
      </c>
      <c r="J261">
        <v>7.4755490697838667</v>
      </c>
    </row>
    <row r="262" spans="1:10" x14ac:dyDescent="0.3">
      <c r="A262" t="s">
        <v>1295</v>
      </c>
      <c r="B262" t="s">
        <v>291</v>
      </c>
      <c r="C262" t="s">
        <v>308</v>
      </c>
      <c r="D262" t="s">
        <v>308</v>
      </c>
      <c r="E262">
        <v>1239695.265625</v>
      </c>
      <c r="F262">
        <v>236123943.21606791</v>
      </c>
      <c r="G262">
        <v>35307</v>
      </c>
      <c r="H262">
        <f t="shared" si="8"/>
        <v>0.17820303877195895</v>
      </c>
      <c r="I262">
        <f t="shared" si="9"/>
        <v>5.2501887302915428E-3</v>
      </c>
      <c r="J262">
        <v>2.4262356064952111</v>
      </c>
    </row>
    <row r="263" spans="1:10" x14ac:dyDescent="0.3">
      <c r="A263" t="s">
        <v>1079</v>
      </c>
      <c r="B263" t="s">
        <v>291</v>
      </c>
      <c r="C263" t="s">
        <v>323</v>
      </c>
      <c r="D263" t="s">
        <v>323</v>
      </c>
      <c r="E263">
        <v>2726098.625</v>
      </c>
      <c r="F263">
        <v>119635384.90191451</v>
      </c>
      <c r="G263">
        <v>20471</v>
      </c>
      <c r="H263">
        <f t="shared" si="8"/>
        <v>0.17724145334915198</v>
      </c>
      <c r="I263">
        <f t="shared" si="9"/>
        <v>2.2786725074985525E-2</v>
      </c>
      <c r="J263">
        <v>3.8280340129623771</v>
      </c>
    </row>
    <row r="264" spans="1:10" x14ac:dyDescent="0.3">
      <c r="A264" t="s">
        <v>1143</v>
      </c>
      <c r="B264" t="s">
        <v>464</v>
      </c>
      <c r="C264" t="s">
        <v>485</v>
      </c>
      <c r="D264" t="s">
        <v>490</v>
      </c>
      <c r="E264">
        <v>1665232.7466299019</v>
      </c>
      <c r="F264">
        <v>165127451.38143101</v>
      </c>
      <c r="G264">
        <v>8435</v>
      </c>
      <c r="H264">
        <f t="shared" si="8"/>
        <v>0.17683352511623043</v>
      </c>
      <c r="I264">
        <f t="shared" si="9"/>
        <v>1.0084530056624864E-2</v>
      </c>
      <c r="J264">
        <v>1.630928719253526</v>
      </c>
    </row>
    <row r="265" spans="1:10" x14ac:dyDescent="0.3">
      <c r="A265" t="s">
        <v>1070</v>
      </c>
      <c r="B265" t="s">
        <v>23</v>
      </c>
      <c r="C265" t="s">
        <v>89</v>
      </c>
      <c r="D265" t="s">
        <v>89</v>
      </c>
      <c r="E265">
        <v>4357224.5248774486</v>
      </c>
      <c r="F265">
        <v>16309725.79654119</v>
      </c>
      <c r="G265">
        <v>6814</v>
      </c>
      <c r="H265">
        <f t="shared" si="8"/>
        <v>0.17635420955407208</v>
      </c>
      <c r="I265">
        <f t="shared" si="9"/>
        <v>0.26715498342721905</v>
      </c>
      <c r="J265">
        <v>7.524342140480444</v>
      </c>
    </row>
    <row r="266" spans="1:10" x14ac:dyDescent="0.3">
      <c r="A266" t="s">
        <v>1108</v>
      </c>
      <c r="B266" t="s">
        <v>464</v>
      </c>
      <c r="C266" t="s">
        <v>465</v>
      </c>
      <c r="D266" t="s">
        <v>467</v>
      </c>
      <c r="E266">
        <v>2461767.046629902</v>
      </c>
      <c r="F266">
        <v>125942443.6147677</v>
      </c>
      <c r="G266">
        <v>6142</v>
      </c>
      <c r="H266">
        <f t="shared" si="8"/>
        <v>0.17630127173473489</v>
      </c>
      <c r="I266">
        <f t="shared" si="9"/>
        <v>1.9546762600223529E-2</v>
      </c>
      <c r="J266">
        <v>1.9317359860824941</v>
      </c>
    </row>
    <row r="267" spans="1:10" x14ac:dyDescent="0.3">
      <c r="A267" t="s">
        <v>1172</v>
      </c>
      <c r="B267" t="s">
        <v>464</v>
      </c>
      <c r="C267" t="s">
        <v>477</v>
      </c>
      <c r="D267" t="s">
        <v>477</v>
      </c>
      <c r="E267">
        <v>5540038.8656249996</v>
      </c>
      <c r="F267">
        <v>65791411.942562163</v>
      </c>
      <c r="G267">
        <v>21362</v>
      </c>
      <c r="H267">
        <f t="shared" si="8"/>
        <v>0.1760371005038438</v>
      </c>
      <c r="I267">
        <f t="shared" si="9"/>
        <v>8.420610991692376E-2</v>
      </c>
      <c r="J267">
        <v>7.4661543572232807</v>
      </c>
    </row>
    <row r="268" spans="1:10" x14ac:dyDescent="0.3">
      <c r="A268" t="s">
        <v>1129</v>
      </c>
      <c r="B268" t="s">
        <v>760</v>
      </c>
      <c r="C268" t="s">
        <v>773</v>
      </c>
      <c r="D268" t="s">
        <v>773</v>
      </c>
      <c r="E268">
        <v>1241338.640625</v>
      </c>
      <c r="F268">
        <v>243443063.40325409</v>
      </c>
      <c r="G268">
        <v>3642</v>
      </c>
      <c r="H268">
        <f t="shared" si="8"/>
        <v>0.17593292386404399</v>
      </c>
      <c r="I268">
        <f t="shared" si="9"/>
        <v>5.0990922611287145E-3</v>
      </c>
      <c r="J268">
        <v>0.75816464102605263</v>
      </c>
    </row>
    <row r="269" spans="1:10" x14ac:dyDescent="0.3">
      <c r="A269" t="s">
        <v>1254</v>
      </c>
      <c r="B269" t="s">
        <v>878</v>
      </c>
      <c r="C269" t="s">
        <v>899</v>
      </c>
      <c r="D269" t="s">
        <v>899</v>
      </c>
      <c r="E269">
        <v>1625718.057291667</v>
      </c>
      <c r="F269">
        <v>273102781.81838459</v>
      </c>
      <c r="G269">
        <v>16346</v>
      </c>
      <c r="H269">
        <f t="shared" si="8"/>
        <v>0.17567403297419937</v>
      </c>
      <c r="I269">
        <f t="shared" si="9"/>
        <v>5.952770039423406E-3</v>
      </c>
      <c r="J269">
        <v>1.7328974862001709</v>
      </c>
    </row>
    <row r="270" spans="1:10" x14ac:dyDescent="0.3">
      <c r="A270" t="s">
        <v>1243</v>
      </c>
      <c r="B270" t="s">
        <v>734</v>
      </c>
      <c r="C270" t="s">
        <v>735</v>
      </c>
      <c r="D270" t="s">
        <v>739</v>
      </c>
      <c r="E270">
        <v>1489720.6875</v>
      </c>
      <c r="F270">
        <v>335707111.87046021</v>
      </c>
      <c r="G270">
        <v>4865</v>
      </c>
      <c r="H270">
        <f t="shared" si="8"/>
        <v>0.17504251645850438</v>
      </c>
      <c r="I270">
        <f t="shared" si="9"/>
        <v>4.4375607034349649E-3</v>
      </c>
      <c r="J270">
        <v>0.81331189495001899</v>
      </c>
    </row>
    <row r="271" spans="1:10" x14ac:dyDescent="0.3">
      <c r="A271" t="s">
        <v>1350</v>
      </c>
      <c r="B271" t="s">
        <v>616</v>
      </c>
      <c r="C271" t="s">
        <v>647</v>
      </c>
      <c r="D271" t="s">
        <v>648</v>
      </c>
      <c r="E271">
        <v>2182033.1556372549</v>
      </c>
      <c r="F271">
        <v>37826360.466780372</v>
      </c>
      <c r="G271">
        <v>3830</v>
      </c>
      <c r="H271">
        <f t="shared" si="8"/>
        <v>0.17232696557634822</v>
      </c>
      <c r="I271">
        <f t="shared" si="9"/>
        <v>5.7685516891151777E-2</v>
      </c>
      <c r="J271">
        <v>2.5614508212117681</v>
      </c>
    </row>
    <row r="272" spans="1:10" x14ac:dyDescent="0.3">
      <c r="A272" t="s">
        <v>1159</v>
      </c>
      <c r="B272" t="s">
        <v>291</v>
      </c>
      <c r="C272" t="s">
        <v>305</v>
      </c>
      <c r="D272" t="s">
        <v>305</v>
      </c>
      <c r="E272">
        <v>991220.21875</v>
      </c>
      <c r="F272">
        <v>55821946.8022938</v>
      </c>
      <c r="G272">
        <v>6283</v>
      </c>
      <c r="H272">
        <f t="shared" si="8"/>
        <v>0.17210666818522191</v>
      </c>
      <c r="I272">
        <f t="shared" si="9"/>
        <v>1.7756819235642807E-2</v>
      </c>
      <c r="J272">
        <v>1.8178741490300621</v>
      </c>
    </row>
    <row r="273" spans="1:10" x14ac:dyDescent="0.3">
      <c r="A273" t="s">
        <v>1302</v>
      </c>
      <c r="B273" t="s">
        <v>963</v>
      </c>
      <c r="C273" t="s">
        <v>988</v>
      </c>
      <c r="D273" t="s">
        <v>988</v>
      </c>
      <c r="E273">
        <v>1293154.0189950981</v>
      </c>
      <c r="F273">
        <v>94948986.097855777</v>
      </c>
      <c r="G273">
        <v>7677</v>
      </c>
      <c r="H273">
        <f t="shared" si="8"/>
        <v>0.17208106591030389</v>
      </c>
      <c r="I273">
        <f t="shared" si="9"/>
        <v>1.3619461061567894E-2</v>
      </c>
      <c r="J273">
        <v>1.7595791978011139</v>
      </c>
    </row>
    <row r="274" spans="1:10" x14ac:dyDescent="0.3">
      <c r="A274" t="s">
        <v>1392</v>
      </c>
      <c r="B274" t="s">
        <v>236</v>
      </c>
      <c r="C274" t="s">
        <v>282</v>
      </c>
      <c r="D274" t="s">
        <v>282</v>
      </c>
      <c r="E274">
        <v>992716.125</v>
      </c>
      <c r="F274">
        <v>380092591.19016892</v>
      </c>
      <c r="G274">
        <v>11732</v>
      </c>
      <c r="H274">
        <f t="shared" si="8"/>
        <v>0.17063063898782821</v>
      </c>
      <c r="I274">
        <f t="shared" si="9"/>
        <v>2.6117744676147124E-3</v>
      </c>
      <c r="J274">
        <v>0.94451939504351756</v>
      </c>
    </row>
    <row r="275" spans="1:10" x14ac:dyDescent="0.3">
      <c r="A275" t="s">
        <v>1197</v>
      </c>
      <c r="B275" t="s">
        <v>926</v>
      </c>
      <c r="C275" t="s">
        <v>927</v>
      </c>
      <c r="D275" t="s">
        <v>933</v>
      </c>
      <c r="E275">
        <v>1738283.34375</v>
      </c>
      <c r="F275">
        <v>239149072.1365118</v>
      </c>
      <c r="G275">
        <v>8662</v>
      </c>
      <c r="H275">
        <f t="shared" si="8"/>
        <v>0.17057261486810907</v>
      </c>
      <c r="I275">
        <f t="shared" si="9"/>
        <v>7.2686183902806352E-3</v>
      </c>
      <c r="J275">
        <v>1.3534565905597979</v>
      </c>
    </row>
    <row r="276" spans="1:10" x14ac:dyDescent="0.3">
      <c r="A276" t="s">
        <v>1297</v>
      </c>
      <c r="B276" t="s">
        <v>834</v>
      </c>
      <c r="C276" t="s">
        <v>835</v>
      </c>
      <c r="D276" t="s">
        <v>842</v>
      </c>
      <c r="E276">
        <v>4380201.3213848043</v>
      </c>
      <c r="F276">
        <v>48126764.259551682</v>
      </c>
      <c r="G276">
        <v>4228</v>
      </c>
      <c r="H276">
        <f t="shared" si="8"/>
        <v>0.17018661097259308</v>
      </c>
      <c r="I276">
        <f t="shared" si="9"/>
        <v>9.1013833752919909E-2</v>
      </c>
      <c r="J276">
        <v>3.3384631245613852</v>
      </c>
    </row>
    <row r="277" spans="1:10" x14ac:dyDescent="0.3">
      <c r="A277" t="s">
        <v>1029</v>
      </c>
      <c r="B277" t="s">
        <v>410</v>
      </c>
      <c r="C277" t="s">
        <v>377</v>
      </c>
      <c r="D277" t="s">
        <v>423</v>
      </c>
      <c r="E277">
        <v>1388995.8060661759</v>
      </c>
      <c r="F277">
        <v>37233690.252249159</v>
      </c>
      <c r="G277">
        <v>10540</v>
      </c>
      <c r="H277">
        <f t="shared" si="8"/>
        <v>0.16997255644917636</v>
      </c>
      <c r="I277">
        <f t="shared" si="9"/>
        <v>3.730481176203778E-2</v>
      </c>
      <c r="J277">
        <v>3.370400715384319</v>
      </c>
    </row>
    <row r="278" spans="1:10" x14ac:dyDescent="0.3">
      <c r="A278" t="s">
        <v>1272</v>
      </c>
      <c r="B278" t="s">
        <v>834</v>
      </c>
      <c r="C278" t="s">
        <v>861</v>
      </c>
      <c r="D278" t="s">
        <v>862</v>
      </c>
      <c r="E278">
        <v>7192747.8152573537</v>
      </c>
      <c r="F278">
        <v>57600675.690009631</v>
      </c>
      <c r="G278">
        <v>28061</v>
      </c>
      <c r="H278">
        <f t="shared" si="8"/>
        <v>0.16972380363836043</v>
      </c>
      <c r="I278">
        <f t="shared" si="9"/>
        <v>0.12487262916787063</v>
      </c>
      <c r="J278">
        <v>10.046804602102879</v>
      </c>
    </row>
    <row r="279" spans="1:10" x14ac:dyDescent="0.3">
      <c r="A279" t="s">
        <v>1148</v>
      </c>
      <c r="B279" t="s">
        <v>944</v>
      </c>
      <c r="C279" t="s">
        <v>179</v>
      </c>
      <c r="D279" t="s">
        <v>179</v>
      </c>
      <c r="E279">
        <v>17913957.325980391</v>
      </c>
      <c r="F279">
        <v>25279089.335742369</v>
      </c>
      <c r="G279">
        <v>112114</v>
      </c>
      <c r="H279">
        <f t="shared" si="8"/>
        <v>0.16733239456698512</v>
      </c>
      <c r="I279">
        <f t="shared" si="9"/>
        <v>0.70864725734608092</v>
      </c>
      <c r="J279">
        <v>47.165561070140363</v>
      </c>
    </row>
    <row r="280" spans="1:10" x14ac:dyDescent="0.3">
      <c r="A280" t="s">
        <v>1397</v>
      </c>
      <c r="B280" t="s">
        <v>352</v>
      </c>
      <c r="C280" t="s">
        <v>106</v>
      </c>
      <c r="D280" t="s">
        <v>106</v>
      </c>
      <c r="E280">
        <v>1241324.703125</v>
      </c>
      <c r="F280">
        <v>248304339.2913247</v>
      </c>
      <c r="G280">
        <v>32117</v>
      </c>
      <c r="H280">
        <f t="shared" si="8"/>
        <v>0.16690912917405579</v>
      </c>
      <c r="I280">
        <f t="shared" si="9"/>
        <v>4.9992066456342014E-3</v>
      </c>
      <c r="J280">
        <v>2.11494034330387</v>
      </c>
    </row>
    <row r="281" spans="1:10" x14ac:dyDescent="0.3">
      <c r="A281" t="s">
        <v>1109</v>
      </c>
      <c r="B281" t="s">
        <v>464</v>
      </c>
      <c r="C281" t="s">
        <v>472</v>
      </c>
      <c r="D281" t="s">
        <v>473</v>
      </c>
      <c r="E281">
        <v>5043379.8027573526</v>
      </c>
      <c r="F281">
        <v>22420950.076243792</v>
      </c>
      <c r="G281">
        <v>28066</v>
      </c>
      <c r="H281">
        <f t="shared" si="8"/>
        <v>0.16680881639727657</v>
      </c>
      <c r="I281">
        <f t="shared" si="9"/>
        <v>0.22494050366318269</v>
      </c>
      <c r="J281">
        <v>13.253881790482099</v>
      </c>
    </row>
    <row r="282" spans="1:10" x14ac:dyDescent="0.3">
      <c r="A282" t="s">
        <v>1375</v>
      </c>
      <c r="B282" t="s">
        <v>23</v>
      </c>
      <c r="C282" t="s">
        <v>24</v>
      </c>
      <c r="D282" t="s">
        <v>38</v>
      </c>
      <c r="E282">
        <v>3214508.7770220591</v>
      </c>
      <c r="F282">
        <v>204188873.02618241</v>
      </c>
      <c r="G282">
        <v>10728</v>
      </c>
      <c r="H282">
        <f t="shared" si="8"/>
        <v>0.16651953741880737</v>
      </c>
      <c r="I282">
        <f t="shared" si="9"/>
        <v>1.5742820504278283E-2</v>
      </c>
      <c r="J282">
        <v>2.1640428207633762</v>
      </c>
    </row>
    <row r="283" spans="1:10" x14ac:dyDescent="0.3">
      <c r="A283" t="s">
        <v>1194</v>
      </c>
      <c r="B283" t="s">
        <v>23</v>
      </c>
      <c r="C283" t="s">
        <v>80</v>
      </c>
      <c r="D283" t="s">
        <v>80</v>
      </c>
      <c r="E283">
        <v>1735887.140625</v>
      </c>
      <c r="F283">
        <v>144069841.30832109</v>
      </c>
      <c r="G283">
        <v>10655</v>
      </c>
      <c r="H283">
        <f t="shared" si="8"/>
        <v>0.16637016107249722</v>
      </c>
      <c r="I283">
        <f t="shared" si="9"/>
        <v>1.2048927970358914E-2</v>
      </c>
      <c r="J283">
        <v>1.8850651658675519</v>
      </c>
    </row>
    <row r="284" spans="1:10" x14ac:dyDescent="0.3">
      <c r="A284" t="s">
        <v>1253</v>
      </c>
      <c r="B284" t="s">
        <v>834</v>
      </c>
      <c r="C284" t="s">
        <v>835</v>
      </c>
      <c r="D284" t="s">
        <v>299</v>
      </c>
      <c r="E284">
        <v>9206544.3256740198</v>
      </c>
      <c r="F284">
        <v>9452615.873898102</v>
      </c>
      <c r="G284">
        <v>14226</v>
      </c>
      <c r="H284">
        <f t="shared" si="8"/>
        <v>0.16591051100791912</v>
      </c>
      <c r="I284">
        <f t="shared" si="9"/>
        <v>0.97396788872976736</v>
      </c>
      <c r="J284">
        <v>19.5293425197682</v>
      </c>
    </row>
    <row r="285" spans="1:10" x14ac:dyDescent="0.3">
      <c r="A285" t="s">
        <v>1130</v>
      </c>
      <c r="B285" t="s">
        <v>944</v>
      </c>
      <c r="C285" t="s">
        <v>105</v>
      </c>
      <c r="D285" t="s">
        <v>105</v>
      </c>
      <c r="E285">
        <v>13991572.75116422</v>
      </c>
      <c r="F285">
        <v>17124925.87614895</v>
      </c>
      <c r="G285">
        <v>35048</v>
      </c>
      <c r="H285">
        <f t="shared" si="8"/>
        <v>0.16514630993387311</v>
      </c>
      <c r="I285">
        <f t="shared" si="9"/>
        <v>0.81702968248471286</v>
      </c>
      <c r="J285">
        <v>27.94598435340972</v>
      </c>
    </row>
    <row r="286" spans="1:10" x14ac:dyDescent="0.3">
      <c r="A286" t="s">
        <v>1163</v>
      </c>
      <c r="B286" t="s">
        <v>23</v>
      </c>
      <c r="C286" t="s">
        <v>24</v>
      </c>
      <c r="D286" t="s">
        <v>42</v>
      </c>
      <c r="E286">
        <v>5027592.009681372</v>
      </c>
      <c r="F286">
        <v>46660249.90330404</v>
      </c>
      <c r="G286">
        <v>26720</v>
      </c>
      <c r="H286">
        <f t="shared" si="8"/>
        <v>0.16485706133130756</v>
      </c>
      <c r="I286">
        <f t="shared" si="9"/>
        <v>0.10774893019433582</v>
      </c>
      <c r="J286">
        <v>8.8457011833304868</v>
      </c>
    </row>
    <row r="287" spans="1:10" x14ac:dyDescent="0.3">
      <c r="A287" t="s">
        <v>1140</v>
      </c>
      <c r="B287" t="s">
        <v>236</v>
      </c>
      <c r="C287" t="s">
        <v>237</v>
      </c>
      <c r="D287" t="s">
        <v>241</v>
      </c>
      <c r="E287">
        <v>1982727.3794117649</v>
      </c>
      <c r="F287">
        <v>44526706.593909927</v>
      </c>
      <c r="G287">
        <v>2731</v>
      </c>
      <c r="H287">
        <f t="shared" si="8"/>
        <v>0.16367894785247833</v>
      </c>
      <c r="I287">
        <f t="shared" si="9"/>
        <v>4.4528947480767633E-2</v>
      </c>
      <c r="J287">
        <v>1.8049903721932219</v>
      </c>
    </row>
    <row r="288" spans="1:10" x14ac:dyDescent="0.3">
      <c r="A288" t="s">
        <v>1305</v>
      </c>
      <c r="B288" t="s">
        <v>878</v>
      </c>
      <c r="C288" t="s">
        <v>902</v>
      </c>
      <c r="D288" t="s">
        <v>902</v>
      </c>
      <c r="E288">
        <v>1487057.4375</v>
      </c>
      <c r="F288">
        <v>154682359.9331246</v>
      </c>
      <c r="G288">
        <v>8312</v>
      </c>
      <c r="H288">
        <f t="shared" si="8"/>
        <v>0.16153647613611785</v>
      </c>
      <c r="I288">
        <f t="shared" si="9"/>
        <v>9.6136200543029907E-3</v>
      </c>
      <c r="J288">
        <v>1.4439988554253049</v>
      </c>
    </row>
    <row r="289" spans="1:10" x14ac:dyDescent="0.3">
      <c r="A289" t="s">
        <v>1446</v>
      </c>
      <c r="B289" t="s">
        <v>352</v>
      </c>
      <c r="C289" t="s">
        <v>352</v>
      </c>
      <c r="D289" t="s">
        <v>352</v>
      </c>
      <c r="E289">
        <v>19478856.363664221</v>
      </c>
      <c r="F289">
        <v>70817049.983287379</v>
      </c>
      <c r="G289">
        <v>168676</v>
      </c>
      <c r="H289">
        <f t="shared" si="8"/>
        <v>0.16142068051563616</v>
      </c>
      <c r="I289">
        <f t="shared" si="9"/>
        <v>0.27505885049237683</v>
      </c>
      <c r="J289">
        <v>34.769514979344542</v>
      </c>
    </row>
    <row r="290" spans="1:10" x14ac:dyDescent="0.3">
      <c r="A290" t="s">
        <v>1168</v>
      </c>
      <c r="B290" t="s">
        <v>128</v>
      </c>
      <c r="C290" t="s">
        <v>129</v>
      </c>
      <c r="D290" t="s">
        <v>129</v>
      </c>
      <c r="E290">
        <v>14311956.00520833</v>
      </c>
      <c r="F290">
        <v>56554971.235437408</v>
      </c>
      <c r="G290">
        <v>40922</v>
      </c>
      <c r="H290">
        <f t="shared" si="8"/>
        <v>0.16006998035852532</v>
      </c>
      <c r="I290">
        <f t="shared" si="9"/>
        <v>0.25306274041989862</v>
      </c>
      <c r="J290">
        <v>16.28929995304031</v>
      </c>
    </row>
    <row r="291" spans="1:10" x14ac:dyDescent="0.3">
      <c r="A291" t="s">
        <v>1175</v>
      </c>
      <c r="B291" t="s">
        <v>160</v>
      </c>
      <c r="C291" t="s">
        <v>101</v>
      </c>
      <c r="D291" t="s">
        <v>101</v>
      </c>
      <c r="E291">
        <v>2234852.875</v>
      </c>
      <c r="F291">
        <v>99654807.710796326</v>
      </c>
      <c r="G291">
        <v>5872</v>
      </c>
      <c r="H291">
        <f t="shared" si="8"/>
        <v>0.15838739799515197</v>
      </c>
      <c r="I291">
        <f t="shared" si="9"/>
        <v>2.242594137039193E-2</v>
      </c>
      <c r="J291">
        <v>1.817560973041862</v>
      </c>
    </row>
    <row r="292" spans="1:10" x14ac:dyDescent="0.3">
      <c r="A292" t="s">
        <v>1432</v>
      </c>
      <c r="B292" t="s">
        <v>236</v>
      </c>
      <c r="C292" t="s">
        <v>248</v>
      </c>
      <c r="D292" t="s">
        <v>249</v>
      </c>
      <c r="E292">
        <v>1240692.328125</v>
      </c>
      <c r="F292">
        <v>580991657.03418493</v>
      </c>
      <c r="G292">
        <v>8111</v>
      </c>
      <c r="H292">
        <f t="shared" si="8"/>
        <v>0.15768672153842272</v>
      </c>
      <c r="I292">
        <f t="shared" si="9"/>
        <v>2.1354735702375136E-3</v>
      </c>
      <c r="J292">
        <v>0.65626527486372355</v>
      </c>
    </row>
    <row r="293" spans="1:10" x14ac:dyDescent="0.3">
      <c r="A293" t="s">
        <v>1419</v>
      </c>
      <c r="B293" t="s">
        <v>616</v>
      </c>
      <c r="C293" t="s">
        <v>617</v>
      </c>
      <c r="D293" t="s">
        <v>619</v>
      </c>
      <c r="E293">
        <v>4409977.5375612751</v>
      </c>
      <c r="F293">
        <v>61886853.552497409</v>
      </c>
      <c r="G293">
        <v>16985</v>
      </c>
      <c r="H293">
        <f t="shared" si="8"/>
        <v>0.15749452185709581</v>
      </c>
      <c r="I293">
        <f t="shared" si="9"/>
        <v>7.1258713028937187E-2</v>
      </c>
      <c r="J293">
        <v>5.4792007814570347</v>
      </c>
    </row>
    <row r="294" spans="1:10" x14ac:dyDescent="0.3">
      <c r="A294" t="s">
        <v>1178</v>
      </c>
      <c r="B294" t="s">
        <v>963</v>
      </c>
      <c r="C294" t="s">
        <v>988</v>
      </c>
      <c r="D294" t="s">
        <v>992</v>
      </c>
      <c r="E294">
        <v>993223.75</v>
      </c>
      <c r="F294">
        <v>501395987.91494077</v>
      </c>
      <c r="G294">
        <v>5461</v>
      </c>
      <c r="H294">
        <f t="shared" si="8"/>
        <v>0.15677693776979923</v>
      </c>
      <c r="I294">
        <f t="shared" si="9"/>
        <v>1.9809168280949534E-3</v>
      </c>
      <c r="J294">
        <v>0.51564568319505044</v>
      </c>
    </row>
    <row r="295" spans="1:10" x14ac:dyDescent="0.3">
      <c r="A295" t="s">
        <v>1463</v>
      </c>
      <c r="B295" t="s">
        <v>616</v>
      </c>
      <c r="C295" t="s">
        <v>626</v>
      </c>
      <c r="D295" t="s">
        <v>628</v>
      </c>
      <c r="E295">
        <v>744907.984375</v>
      </c>
      <c r="F295">
        <v>206220877.80385321</v>
      </c>
      <c r="G295">
        <v>11132</v>
      </c>
      <c r="H295">
        <f t="shared" si="8"/>
        <v>0.15675900881101712</v>
      </c>
      <c r="I295">
        <f t="shared" si="9"/>
        <v>3.6121851109736742E-3</v>
      </c>
      <c r="J295">
        <v>0.99404056306395405</v>
      </c>
    </row>
    <row r="296" spans="1:10" x14ac:dyDescent="0.3">
      <c r="A296" t="s">
        <v>1314</v>
      </c>
      <c r="B296" t="s">
        <v>656</v>
      </c>
      <c r="C296" t="s">
        <v>813</v>
      </c>
      <c r="D296" t="s">
        <v>815</v>
      </c>
      <c r="E296">
        <v>2867832.2000612752</v>
      </c>
      <c r="F296">
        <v>212750742.69489959</v>
      </c>
      <c r="G296">
        <v>10289</v>
      </c>
      <c r="H296">
        <f t="shared" si="8"/>
        <v>0.15647719298280102</v>
      </c>
      <c r="I296">
        <f t="shared" si="9"/>
        <v>1.3479775270039645E-2</v>
      </c>
      <c r="J296">
        <v>1.8428031940315639</v>
      </c>
    </row>
    <row r="297" spans="1:10" x14ac:dyDescent="0.3">
      <c r="A297" t="s">
        <v>1233</v>
      </c>
      <c r="B297" t="s">
        <v>195</v>
      </c>
      <c r="C297" t="s">
        <v>222</v>
      </c>
      <c r="D297" t="s">
        <v>225</v>
      </c>
      <c r="E297">
        <v>1111916.7229779409</v>
      </c>
      <c r="F297">
        <v>41286252.545430802</v>
      </c>
      <c r="G297">
        <v>7254</v>
      </c>
      <c r="H297">
        <f t="shared" si="8"/>
        <v>0.15562828964862496</v>
      </c>
      <c r="I297">
        <f t="shared" si="9"/>
        <v>2.6931887842191627E-2</v>
      </c>
      <c r="J297">
        <v>2.1752577208042192</v>
      </c>
    </row>
    <row r="298" spans="1:10" x14ac:dyDescent="0.3">
      <c r="A298" t="s">
        <v>1054</v>
      </c>
      <c r="B298" t="s">
        <v>23</v>
      </c>
      <c r="C298" t="s">
        <v>63</v>
      </c>
      <c r="D298" t="s">
        <v>66</v>
      </c>
      <c r="E298">
        <v>4615263.770710784</v>
      </c>
      <c r="F298">
        <v>22751995.234142579</v>
      </c>
      <c r="G298">
        <v>3361</v>
      </c>
      <c r="H298">
        <f t="shared" si="8"/>
        <v>0.15558825570182594</v>
      </c>
      <c r="I298">
        <f t="shared" si="9"/>
        <v>0.20285094661873565</v>
      </c>
      <c r="J298">
        <v>4.0625581236297128</v>
      </c>
    </row>
    <row r="299" spans="1:10" x14ac:dyDescent="0.3">
      <c r="A299" t="s">
        <v>1036</v>
      </c>
      <c r="B299" t="s">
        <v>616</v>
      </c>
      <c r="C299" t="s">
        <v>651</v>
      </c>
      <c r="D299" t="s">
        <v>651</v>
      </c>
      <c r="E299">
        <v>2482378.140625</v>
      </c>
      <c r="F299">
        <v>142232999.5396027</v>
      </c>
      <c r="G299">
        <v>14312</v>
      </c>
      <c r="H299">
        <f t="shared" si="8"/>
        <v>0.15500827120012406</v>
      </c>
      <c r="I299">
        <f t="shared" si="9"/>
        <v>1.7452898755283709E-2</v>
      </c>
      <c r="J299">
        <v>2.4498462035251301</v>
      </c>
    </row>
    <row r="300" spans="1:10" x14ac:dyDescent="0.3">
      <c r="A300" t="s">
        <v>1153</v>
      </c>
      <c r="B300" t="s">
        <v>678</v>
      </c>
      <c r="C300" t="s">
        <v>702</v>
      </c>
      <c r="D300" t="s">
        <v>702</v>
      </c>
      <c r="E300">
        <v>2233977.9375</v>
      </c>
      <c r="F300">
        <v>120848770.5861191</v>
      </c>
      <c r="G300">
        <v>6706</v>
      </c>
      <c r="H300">
        <f t="shared" si="8"/>
        <v>0.15282142742851909</v>
      </c>
      <c r="I300">
        <f t="shared" si="9"/>
        <v>1.8485731602110304E-2</v>
      </c>
      <c r="J300">
        <v>1.701509381623592</v>
      </c>
    </row>
    <row r="301" spans="1:10" x14ac:dyDescent="0.3">
      <c r="A301" t="s">
        <v>1085</v>
      </c>
      <c r="B301" t="s">
        <v>734</v>
      </c>
      <c r="C301" t="s">
        <v>747</v>
      </c>
      <c r="D301" t="s">
        <v>747</v>
      </c>
      <c r="E301">
        <v>1402290.059742647</v>
      </c>
      <c r="F301">
        <v>57571718.290260427</v>
      </c>
      <c r="G301">
        <v>5601</v>
      </c>
      <c r="H301">
        <f t="shared" si="8"/>
        <v>0.15185168723951631</v>
      </c>
      <c r="I301">
        <f t="shared" si="9"/>
        <v>2.4357273004649516E-2</v>
      </c>
      <c r="J301">
        <v>1.773645167859256</v>
      </c>
    </row>
    <row r="302" spans="1:10" x14ac:dyDescent="0.3">
      <c r="A302" t="s">
        <v>1300</v>
      </c>
      <c r="B302" t="s">
        <v>195</v>
      </c>
      <c r="C302" t="s">
        <v>196</v>
      </c>
      <c r="D302" t="s">
        <v>205</v>
      </c>
      <c r="E302">
        <v>3814158.490134804</v>
      </c>
      <c r="F302">
        <v>53312786.896659389</v>
      </c>
      <c r="G302">
        <v>15502</v>
      </c>
      <c r="H302">
        <f t="shared" si="8"/>
        <v>0.151815811998885</v>
      </c>
      <c r="I302">
        <f t="shared" si="9"/>
        <v>7.1543033335100356E-2</v>
      </c>
      <c r="J302">
        <v>5.055854276777028</v>
      </c>
    </row>
    <row r="303" spans="1:10" x14ac:dyDescent="0.3">
      <c r="A303" t="s">
        <v>1462</v>
      </c>
      <c r="B303" t="s">
        <v>616</v>
      </c>
      <c r="C303" t="s">
        <v>675</v>
      </c>
      <c r="D303" t="s">
        <v>675</v>
      </c>
      <c r="E303">
        <v>1489949.28125</v>
      </c>
      <c r="F303">
        <v>568072935.45889437</v>
      </c>
      <c r="G303">
        <v>16568</v>
      </c>
      <c r="H303">
        <f t="shared" si="8"/>
        <v>0.15023184062384565</v>
      </c>
      <c r="I303">
        <f t="shared" si="9"/>
        <v>2.6228133541451077E-3</v>
      </c>
      <c r="J303">
        <v>0.99033179907850444</v>
      </c>
    </row>
    <row r="304" spans="1:10" x14ac:dyDescent="0.3">
      <c r="A304" t="s">
        <v>1417</v>
      </c>
      <c r="B304" t="s">
        <v>590</v>
      </c>
      <c r="C304" t="s">
        <v>614</v>
      </c>
      <c r="D304" t="s">
        <v>614</v>
      </c>
      <c r="E304">
        <v>1241372.65625</v>
      </c>
      <c r="F304">
        <v>565602867.36832094</v>
      </c>
      <c r="G304">
        <v>42023</v>
      </c>
      <c r="H304">
        <f t="shared" si="8"/>
        <v>0.15021182473995096</v>
      </c>
      <c r="I304">
        <f t="shared" si="9"/>
        <v>2.1947778695429018E-3</v>
      </c>
      <c r="J304">
        <v>1.4425900576694941</v>
      </c>
    </row>
    <row r="305" spans="1:10" x14ac:dyDescent="0.3">
      <c r="A305" t="s">
        <v>1277</v>
      </c>
      <c r="B305" t="s">
        <v>834</v>
      </c>
      <c r="C305" t="s">
        <v>835</v>
      </c>
      <c r="D305" t="s">
        <v>837</v>
      </c>
      <c r="E305">
        <v>6584581.3886642167</v>
      </c>
      <c r="F305">
        <v>30733147.761573199</v>
      </c>
      <c r="G305">
        <v>8469</v>
      </c>
      <c r="H305">
        <f t="shared" si="8"/>
        <v>0.1498902086847452</v>
      </c>
      <c r="I305">
        <f t="shared" si="9"/>
        <v>0.21425014579525642</v>
      </c>
      <c r="J305">
        <v>6.3848381645317387</v>
      </c>
    </row>
    <row r="306" spans="1:10" x14ac:dyDescent="0.3">
      <c r="A306" t="s">
        <v>1406</v>
      </c>
      <c r="B306" t="s">
        <v>656</v>
      </c>
      <c r="C306" t="s">
        <v>776</v>
      </c>
      <c r="D306" t="s">
        <v>779</v>
      </c>
      <c r="E306">
        <v>5163149.6766544124</v>
      </c>
      <c r="F306">
        <v>56377558.010918632</v>
      </c>
      <c r="G306">
        <v>43150</v>
      </c>
      <c r="H306">
        <f t="shared" si="8"/>
        <v>0.14971452539508676</v>
      </c>
      <c r="I306">
        <f t="shared" si="9"/>
        <v>9.1581648067382879E-2</v>
      </c>
      <c r="J306">
        <v>9.4114939036594745</v>
      </c>
    </row>
    <row r="307" spans="1:10" x14ac:dyDescent="0.3">
      <c r="A307" t="s">
        <v>1400</v>
      </c>
      <c r="B307" t="s">
        <v>616</v>
      </c>
      <c r="C307" t="s">
        <v>647</v>
      </c>
      <c r="D307" t="s">
        <v>106</v>
      </c>
      <c r="E307">
        <v>3503254.8737745099</v>
      </c>
      <c r="F307">
        <v>162043794.28649461</v>
      </c>
      <c r="G307">
        <v>5438</v>
      </c>
      <c r="H307">
        <f t="shared" si="8"/>
        <v>0.14968693902094846</v>
      </c>
      <c r="I307">
        <f t="shared" si="9"/>
        <v>2.1619185660271135E-2</v>
      </c>
      <c r="J307">
        <v>1.6230173958176961</v>
      </c>
    </row>
    <row r="308" spans="1:10" x14ac:dyDescent="0.3">
      <c r="A308" t="s">
        <v>1401</v>
      </c>
      <c r="B308" t="s">
        <v>503</v>
      </c>
      <c r="C308" t="s">
        <v>526</v>
      </c>
      <c r="D308" t="s">
        <v>526</v>
      </c>
      <c r="E308">
        <v>1238526.453125</v>
      </c>
      <c r="F308">
        <v>238476582.3791258</v>
      </c>
      <c r="G308">
        <v>6677</v>
      </c>
      <c r="H308">
        <f t="shared" si="8"/>
        <v>0.1491747278190981</v>
      </c>
      <c r="I308">
        <f t="shared" si="9"/>
        <v>5.1934929659299325E-3</v>
      </c>
      <c r="J308">
        <v>0.87844730764429646</v>
      </c>
    </row>
    <row r="309" spans="1:10" x14ac:dyDescent="0.3">
      <c r="A309" t="s">
        <v>1088</v>
      </c>
      <c r="B309" t="s">
        <v>128</v>
      </c>
      <c r="C309" t="s">
        <v>129</v>
      </c>
      <c r="D309" t="s">
        <v>132</v>
      </c>
      <c r="E309">
        <v>9746307.5666666664</v>
      </c>
      <c r="F309">
        <v>30647711.366911441</v>
      </c>
      <c r="G309">
        <v>8591</v>
      </c>
      <c r="H309">
        <f t="shared" si="8"/>
        <v>0.14910080941699946</v>
      </c>
      <c r="I309">
        <f t="shared" si="9"/>
        <v>0.31801094215436881</v>
      </c>
      <c r="J309">
        <v>7.7933268777341027</v>
      </c>
    </row>
    <row r="310" spans="1:10" x14ac:dyDescent="0.3">
      <c r="A310" t="s">
        <v>1135</v>
      </c>
      <c r="B310" t="s">
        <v>160</v>
      </c>
      <c r="C310" t="s">
        <v>176</v>
      </c>
      <c r="D310" t="s">
        <v>177</v>
      </c>
      <c r="E310">
        <v>2731433.3125</v>
      </c>
      <c r="F310">
        <v>114236110.3673362</v>
      </c>
      <c r="G310">
        <v>7075</v>
      </c>
      <c r="H310">
        <f t="shared" si="8"/>
        <v>0.14898799514145006</v>
      </c>
      <c r="I310">
        <f t="shared" si="9"/>
        <v>2.3910419426194023E-2</v>
      </c>
      <c r="J310">
        <v>1.9377961798011041</v>
      </c>
    </row>
    <row r="311" spans="1:10" x14ac:dyDescent="0.3">
      <c r="A311" t="s">
        <v>1102</v>
      </c>
      <c r="B311" t="s">
        <v>944</v>
      </c>
      <c r="C311" t="s">
        <v>105</v>
      </c>
      <c r="D311" t="s">
        <v>1013</v>
      </c>
      <c r="E311">
        <v>9579240.8906862736</v>
      </c>
      <c r="F311">
        <v>35695700.753802359</v>
      </c>
      <c r="G311">
        <v>36660</v>
      </c>
      <c r="H311">
        <f t="shared" si="8"/>
        <v>0.14874968374242425</v>
      </c>
      <c r="I311">
        <f t="shared" si="9"/>
        <v>0.2683583929828266</v>
      </c>
      <c r="J311">
        <v>14.75400317620689</v>
      </c>
    </row>
    <row r="312" spans="1:10" x14ac:dyDescent="0.3">
      <c r="A312" t="s">
        <v>1388</v>
      </c>
      <c r="B312" t="s">
        <v>23</v>
      </c>
      <c r="C312" t="s">
        <v>24</v>
      </c>
      <c r="D312" t="s">
        <v>25</v>
      </c>
      <c r="E312">
        <v>2371198.6125612748</v>
      </c>
      <c r="F312">
        <v>251442841.82870281</v>
      </c>
      <c r="G312">
        <v>21783</v>
      </c>
      <c r="H312">
        <f t="shared" si="8"/>
        <v>0.14836286968644277</v>
      </c>
      <c r="I312">
        <f t="shared" si="9"/>
        <v>9.4303683306946971E-3</v>
      </c>
      <c r="J312">
        <v>2.126416818619846</v>
      </c>
    </row>
    <row r="313" spans="1:10" x14ac:dyDescent="0.3">
      <c r="A313" t="s">
        <v>1385</v>
      </c>
      <c r="B313" t="s">
        <v>616</v>
      </c>
      <c r="C313" t="s">
        <v>101</v>
      </c>
      <c r="D313" t="s">
        <v>482</v>
      </c>
      <c r="E313">
        <v>951290.42457107839</v>
      </c>
      <c r="F313">
        <v>97656972.936622113</v>
      </c>
      <c r="G313">
        <v>3552</v>
      </c>
      <c r="H313">
        <f t="shared" si="8"/>
        <v>0.14812211250680235</v>
      </c>
      <c r="I313">
        <f t="shared" si="9"/>
        <v>9.7411418351913432E-3</v>
      </c>
      <c r="J313">
        <v>0.87128715065324525</v>
      </c>
    </row>
    <row r="314" spans="1:10" x14ac:dyDescent="0.3">
      <c r="A314" t="s">
        <v>1261</v>
      </c>
      <c r="B314" t="s">
        <v>410</v>
      </c>
      <c r="C314" t="s">
        <v>377</v>
      </c>
      <c r="D314" t="s">
        <v>377</v>
      </c>
      <c r="E314">
        <v>16764321.89601716</v>
      </c>
      <c r="F314">
        <v>229108018.8142013</v>
      </c>
      <c r="G314">
        <v>183206</v>
      </c>
      <c r="H314">
        <f t="shared" si="8"/>
        <v>0.14747519053035038</v>
      </c>
      <c r="I314">
        <f t="shared" si="9"/>
        <v>7.317213069531385E-2</v>
      </c>
      <c r="J314">
        <v>17.075037376022092</v>
      </c>
    </row>
    <row r="315" spans="1:10" x14ac:dyDescent="0.3">
      <c r="A315" t="s">
        <v>1379</v>
      </c>
      <c r="B315" t="s">
        <v>410</v>
      </c>
      <c r="C315" t="s">
        <v>433</v>
      </c>
      <c r="D315" t="s">
        <v>433</v>
      </c>
      <c r="E315">
        <v>1488378.59375</v>
      </c>
      <c r="F315">
        <v>601867837.41078603</v>
      </c>
      <c r="G315">
        <v>51986</v>
      </c>
      <c r="H315">
        <f t="shared" si="8"/>
        <v>0.14733452439086325</v>
      </c>
      <c r="I315">
        <f t="shared" si="9"/>
        <v>2.4729325962207114E-3</v>
      </c>
      <c r="J315">
        <v>1.6705284114522021</v>
      </c>
    </row>
    <row r="316" spans="1:10" x14ac:dyDescent="0.3">
      <c r="A316" t="s">
        <v>1288</v>
      </c>
      <c r="B316" t="s">
        <v>656</v>
      </c>
      <c r="C316" t="s">
        <v>821</v>
      </c>
      <c r="D316" t="s">
        <v>822</v>
      </c>
      <c r="E316">
        <v>7924045.1606617644</v>
      </c>
      <c r="F316">
        <v>71273888.404395893</v>
      </c>
      <c r="G316">
        <v>21006</v>
      </c>
      <c r="H316">
        <f t="shared" si="8"/>
        <v>0.14680691225509954</v>
      </c>
      <c r="I316">
        <f t="shared" si="9"/>
        <v>0.11117739382622263</v>
      </c>
      <c r="J316">
        <v>7.0945757415788071</v>
      </c>
    </row>
    <row r="317" spans="1:10" x14ac:dyDescent="0.3">
      <c r="A317" t="s">
        <v>1374</v>
      </c>
      <c r="B317" t="s">
        <v>656</v>
      </c>
      <c r="C317" t="s">
        <v>776</v>
      </c>
      <c r="D317" t="s">
        <v>797</v>
      </c>
      <c r="E317">
        <v>5418343.115196079</v>
      </c>
      <c r="F317">
        <v>254315779.3372232</v>
      </c>
      <c r="G317">
        <v>23142</v>
      </c>
      <c r="H317">
        <f t="shared" si="8"/>
        <v>0.14586254171580185</v>
      </c>
      <c r="I317">
        <f t="shared" si="9"/>
        <v>2.1305571873349416E-2</v>
      </c>
      <c r="J317">
        <v>3.238849884199285</v>
      </c>
    </row>
    <row r="318" spans="1:10" x14ac:dyDescent="0.3">
      <c r="A318" t="s">
        <v>1368</v>
      </c>
      <c r="B318" t="s">
        <v>734</v>
      </c>
      <c r="C318" t="s">
        <v>743</v>
      </c>
      <c r="D318" t="s">
        <v>743</v>
      </c>
      <c r="E318">
        <v>1986366.109375</v>
      </c>
      <c r="F318">
        <v>979326879.88451958</v>
      </c>
      <c r="G318">
        <v>14873</v>
      </c>
      <c r="H318">
        <f t="shared" si="8"/>
        <v>0.144012775599374</v>
      </c>
      <c r="I318">
        <f t="shared" si="9"/>
        <v>2.0282973439973676E-3</v>
      </c>
      <c r="J318">
        <v>0.79098112599467751</v>
      </c>
    </row>
    <row r="319" spans="1:10" x14ac:dyDescent="0.3">
      <c r="A319" t="s">
        <v>1311</v>
      </c>
      <c r="B319" t="s">
        <v>503</v>
      </c>
      <c r="C319" t="s">
        <v>561</v>
      </c>
      <c r="D319" t="s">
        <v>561</v>
      </c>
      <c r="E319">
        <v>1239215.125</v>
      </c>
      <c r="F319">
        <v>75862496.110385194</v>
      </c>
      <c r="G319">
        <v>9675</v>
      </c>
      <c r="H319">
        <f t="shared" si="8"/>
        <v>0.14273490690289981</v>
      </c>
      <c r="I319">
        <f t="shared" si="9"/>
        <v>1.6335016490847547E-2</v>
      </c>
      <c r="J319">
        <v>1.794384344855662</v>
      </c>
    </row>
    <row r="320" spans="1:10" x14ac:dyDescent="0.3">
      <c r="A320" t="s">
        <v>1160</v>
      </c>
      <c r="B320" t="s">
        <v>734</v>
      </c>
      <c r="C320" t="s">
        <v>752</v>
      </c>
      <c r="D320" t="s">
        <v>753</v>
      </c>
      <c r="E320">
        <v>2454944.06317402</v>
      </c>
      <c r="F320">
        <v>161111785.57104471</v>
      </c>
      <c r="G320">
        <v>2243</v>
      </c>
      <c r="H320">
        <f t="shared" si="8"/>
        <v>0.14250164851592234</v>
      </c>
      <c r="I320">
        <f t="shared" si="9"/>
        <v>1.5237520051514014E-2</v>
      </c>
      <c r="J320">
        <v>0.83308951827834321</v>
      </c>
    </row>
    <row r="321" spans="1:10" x14ac:dyDescent="0.3">
      <c r="A321" t="s">
        <v>1214</v>
      </c>
      <c r="B321" t="s">
        <v>760</v>
      </c>
      <c r="C321" t="s">
        <v>774</v>
      </c>
      <c r="D321" t="s">
        <v>774</v>
      </c>
      <c r="E321">
        <v>1489621.5</v>
      </c>
      <c r="F321">
        <v>639353232.6268332</v>
      </c>
      <c r="G321">
        <v>5687</v>
      </c>
      <c r="H321">
        <f t="shared" si="8"/>
        <v>0.14157265787922385</v>
      </c>
      <c r="I321">
        <f t="shared" si="9"/>
        <v>2.3298881181530477E-3</v>
      </c>
      <c r="J321">
        <v>0.51533368708746219</v>
      </c>
    </row>
    <row r="322" spans="1:10" x14ac:dyDescent="0.3">
      <c r="A322" t="s">
        <v>1203</v>
      </c>
      <c r="B322" t="s">
        <v>656</v>
      </c>
      <c r="C322" t="s">
        <v>813</v>
      </c>
      <c r="D322" t="s">
        <v>816</v>
      </c>
      <c r="E322">
        <v>3871791.2958333329</v>
      </c>
      <c r="F322">
        <v>65650049.666887708</v>
      </c>
      <c r="G322">
        <v>12526</v>
      </c>
      <c r="H322">
        <f t="shared" ref="H322:H385" si="10">J322/POWER(G322*E322/F322,1/2)</f>
        <v>0.14123077104845444</v>
      </c>
      <c r="I322">
        <f t="shared" ref="I322:I385" si="11">E322/F322</f>
        <v>5.8976212744377719E-2</v>
      </c>
      <c r="J322">
        <v>3.838609854703217</v>
      </c>
    </row>
    <row r="323" spans="1:10" x14ac:dyDescent="0.3">
      <c r="A323" t="s">
        <v>1318</v>
      </c>
      <c r="B323" t="s">
        <v>656</v>
      </c>
      <c r="C323" t="s">
        <v>776</v>
      </c>
      <c r="D323" t="s">
        <v>804</v>
      </c>
      <c r="E323">
        <v>10100487.615441181</v>
      </c>
      <c r="F323">
        <v>65536270.233098507</v>
      </c>
      <c r="G323">
        <v>79011</v>
      </c>
      <c r="H323">
        <f t="shared" si="10"/>
        <v>0.14096965367977507</v>
      </c>
      <c r="I323">
        <f t="shared" si="11"/>
        <v>0.15412057444703375</v>
      </c>
      <c r="J323">
        <v>15.556064012463599</v>
      </c>
    </row>
    <row r="324" spans="1:10" x14ac:dyDescent="0.3">
      <c r="A324" t="s">
        <v>1468</v>
      </c>
      <c r="B324" t="s">
        <v>616</v>
      </c>
      <c r="C324" t="s">
        <v>646</v>
      </c>
      <c r="D324" t="s">
        <v>646</v>
      </c>
      <c r="E324">
        <v>993178.34375</v>
      </c>
      <c r="F324">
        <v>266969524.63654509</v>
      </c>
      <c r="G324">
        <v>22323</v>
      </c>
      <c r="H324">
        <f t="shared" si="10"/>
        <v>0.1398555310723312</v>
      </c>
      <c r="I324">
        <f t="shared" si="11"/>
        <v>3.7201937003937908E-3</v>
      </c>
      <c r="J324">
        <v>1.274496663477785</v>
      </c>
    </row>
    <row r="325" spans="1:10" x14ac:dyDescent="0.3">
      <c r="A325" t="s">
        <v>1262</v>
      </c>
      <c r="B325" t="s">
        <v>834</v>
      </c>
      <c r="C325" t="s">
        <v>835</v>
      </c>
      <c r="D325" t="s">
        <v>840</v>
      </c>
      <c r="E325">
        <v>19771185.55306372</v>
      </c>
      <c r="F325">
        <v>29452886.481208421</v>
      </c>
      <c r="G325">
        <v>21352</v>
      </c>
      <c r="H325">
        <f t="shared" si="10"/>
        <v>0.13796568883888125</v>
      </c>
      <c r="I325">
        <f t="shared" si="11"/>
        <v>0.67128176267810502</v>
      </c>
      <c r="J325">
        <v>16.517442296054959</v>
      </c>
    </row>
    <row r="326" spans="1:10" x14ac:dyDescent="0.3">
      <c r="A326" t="s">
        <v>1453</v>
      </c>
      <c r="B326" t="s">
        <v>616</v>
      </c>
      <c r="C326" t="s">
        <v>636</v>
      </c>
      <c r="D326" t="s">
        <v>636</v>
      </c>
      <c r="E326">
        <v>1489926.234375</v>
      </c>
      <c r="F326">
        <v>986421810.18037856</v>
      </c>
      <c r="G326">
        <v>20170</v>
      </c>
      <c r="H326">
        <f t="shared" si="10"/>
        <v>0.13784839744820424</v>
      </c>
      <c r="I326">
        <f t="shared" si="11"/>
        <v>1.5104352103716663E-3</v>
      </c>
      <c r="J326">
        <v>0.7608616964339936</v>
      </c>
    </row>
    <row r="327" spans="1:10" x14ac:dyDescent="0.3">
      <c r="A327" t="s">
        <v>1427</v>
      </c>
      <c r="B327" t="s">
        <v>195</v>
      </c>
      <c r="C327" t="s">
        <v>196</v>
      </c>
      <c r="D327" t="s">
        <v>201</v>
      </c>
      <c r="E327">
        <v>2561910.5442401958</v>
      </c>
      <c r="F327">
        <v>509424857.30415767</v>
      </c>
      <c r="G327">
        <v>9098</v>
      </c>
      <c r="H327">
        <f t="shared" si="10"/>
        <v>0.13778530228250316</v>
      </c>
      <c r="I327">
        <f t="shared" si="11"/>
        <v>5.0290253950261779E-3</v>
      </c>
      <c r="J327">
        <v>0.93200399497777242</v>
      </c>
    </row>
    <row r="328" spans="1:10" x14ac:dyDescent="0.3">
      <c r="A328" t="s">
        <v>1437</v>
      </c>
      <c r="B328" t="s">
        <v>503</v>
      </c>
      <c r="C328" t="s">
        <v>503</v>
      </c>
      <c r="D328" t="s">
        <v>513</v>
      </c>
      <c r="E328">
        <v>1238288.515625</v>
      </c>
      <c r="F328">
        <v>159768511.02759969</v>
      </c>
      <c r="G328">
        <v>5487</v>
      </c>
      <c r="H328">
        <f t="shared" si="10"/>
        <v>0.13676983573302823</v>
      </c>
      <c r="I328">
        <f t="shared" si="11"/>
        <v>7.7505167173466871E-3</v>
      </c>
      <c r="J328">
        <v>0.89191431456403725</v>
      </c>
    </row>
    <row r="329" spans="1:10" x14ac:dyDescent="0.3">
      <c r="A329" t="s">
        <v>1293</v>
      </c>
      <c r="B329" t="s">
        <v>678</v>
      </c>
      <c r="C329" t="s">
        <v>716</v>
      </c>
      <c r="D329" t="s">
        <v>716</v>
      </c>
      <c r="E329">
        <v>1489121.15625</v>
      </c>
      <c r="F329">
        <v>184143121.49518359</v>
      </c>
      <c r="G329">
        <v>4061</v>
      </c>
      <c r="H329">
        <f t="shared" si="10"/>
        <v>0.13640402223356857</v>
      </c>
      <c r="I329">
        <f t="shared" si="11"/>
        <v>8.0867596039363825E-3</v>
      </c>
      <c r="J329">
        <v>0.78168348780518115</v>
      </c>
    </row>
    <row r="330" spans="1:10" x14ac:dyDescent="0.3">
      <c r="A330" t="s">
        <v>1038</v>
      </c>
      <c r="B330" t="s">
        <v>616</v>
      </c>
      <c r="C330" t="s">
        <v>651</v>
      </c>
      <c r="D330" t="s">
        <v>655</v>
      </c>
      <c r="E330">
        <v>992960.21875</v>
      </c>
      <c r="F330">
        <v>140789644.98093131</v>
      </c>
      <c r="G330">
        <v>5340</v>
      </c>
      <c r="H330">
        <f t="shared" si="10"/>
        <v>0.13498939538318988</v>
      </c>
      <c r="I330">
        <f t="shared" si="11"/>
        <v>7.0527929726968731E-3</v>
      </c>
      <c r="J330">
        <v>0.82842052134253541</v>
      </c>
    </row>
    <row r="331" spans="1:10" x14ac:dyDescent="0.3">
      <c r="A331" t="s">
        <v>1037</v>
      </c>
      <c r="B331" t="s">
        <v>616</v>
      </c>
      <c r="C331" t="s">
        <v>651</v>
      </c>
      <c r="D331" t="s">
        <v>654</v>
      </c>
      <c r="E331">
        <v>1241143.578125</v>
      </c>
      <c r="F331">
        <v>112546897.3695026</v>
      </c>
      <c r="G331">
        <v>4726</v>
      </c>
      <c r="H331">
        <f t="shared" si="10"/>
        <v>0.13490349141614236</v>
      </c>
      <c r="I331">
        <f t="shared" si="11"/>
        <v>1.1027790255738483E-2</v>
      </c>
      <c r="J331">
        <v>0.97389984580619204</v>
      </c>
    </row>
    <row r="332" spans="1:10" x14ac:dyDescent="0.3">
      <c r="A332" t="s">
        <v>1422</v>
      </c>
      <c r="B332" t="s">
        <v>195</v>
      </c>
      <c r="C332" t="s">
        <v>215</v>
      </c>
      <c r="D332" t="s">
        <v>221</v>
      </c>
      <c r="E332">
        <v>1440112.7147671571</v>
      </c>
      <c r="F332">
        <v>208803427.4539369</v>
      </c>
      <c r="G332">
        <v>6934</v>
      </c>
      <c r="H332">
        <f t="shared" si="10"/>
        <v>0.13465230384371707</v>
      </c>
      <c r="I332">
        <f t="shared" si="11"/>
        <v>6.8969783318564215E-3</v>
      </c>
      <c r="J332">
        <v>0.93118321249375358</v>
      </c>
    </row>
    <row r="333" spans="1:10" x14ac:dyDescent="0.3">
      <c r="A333" t="s">
        <v>1381</v>
      </c>
      <c r="B333" t="s">
        <v>878</v>
      </c>
      <c r="C333" t="s">
        <v>879</v>
      </c>
      <c r="D333" t="s">
        <v>879</v>
      </c>
      <c r="E333">
        <v>1734026.71875</v>
      </c>
      <c r="F333">
        <v>395551253.34086227</v>
      </c>
      <c r="G333">
        <v>17741</v>
      </c>
      <c r="H333">
        <f t="shared" si="10"/>
        <v>0.13437297564879194</v>
      </c>
      <c r="I333">
        <f t="shared" si="11"/>
        <v>4.3838230927199717E-3</v>
      </c>
      <c r="J333">
        <v>1.1850249453966</v>
      </c>
    </row>
    <row r="334" spans="1:10" x14ac:dyDescent="0.3">
      <c r="A334" t="s">
        <v>1308</v>
      </c>
      <c r="B334" t="s">
        <v>23</v>
      </c>
      <c r="C334" t="s">
        <v>50</v>
      </c>
      <c r="D334" t="s">
        <v>50</v>
      </c>
      <c r="E334">
        <v>6394056.7438112739</v>
      </c>
      <c r="F334">
        <v>41417525.132723033</v>
      </c>
      <c r="G334">
        <v>22004</v>
      </c>
      <c r="H334">
        <f t="shared" si="10"/>
        <v>0.13422115849921332</v>
      </c>
      <c r="I334">
        <f t="shared" si="11"/>
        <v>0.15438046390559143</v>
      </c>
      <c r="J334">
        <v>7.8229034811895177</v>
      </c>
    </row>
    <row r="335" spans="1:10" x14ac:dyDescent="0.3">
      <c r="A335" t="s">
        <v>1171</v>
      </c>
      <c r="B335" t="s">
        <v>410</v>
      </c>
      <c r="C335" t="s">
        <v>446</v>
      </c>
      <c r="D335" t="s">
        <v>447</v>
      </c>
      <c r="E335">
        <v>2233833.328125</v>
      </c>
      <c r="F335">
        <v>132360032.75546069</v>
      </c>
      <c r="G335">
        <v>30540</v>
      </c>
      <c r="H335">
        <f t="shared" si="10"/>
        <v>0.13316522832926761</v>
      </c>
      <c r="I335">
        <f t="shared" si="11"/>
        <v>1.6876947531828411E-2</v>
      </c>
      <c r="J335">
        <v>3.0232377690873218</v>
      </c>
    </row>
    <row r="336" spans="1:10" x14ac:dyDescent="0.3">
      <c r="A336" t="s">
        <v>1227</v>
      </c>
      <c r="B336" t="s">
        <v>410</v>
      </c>
      <c r="C336" t="s">
        <v>445</v>
      </c>
      <c r="D336" t="s">
        <v>445</v>
      </c>
      <c r="E336">
        <v>2233966.078125</v>
      </c>
      <c r="F336">
        <v>365005095.08058041</v>
      </c>
      <c r="G336">
        <v>43691</v>
      </c>
      <c r="H336">
        <f t="shared" si="10"/>
        <v>0.13276781909410909</v>
      </c>
      <c r="I336">
        <f t="shared" si="11"/>
        <v>6.1203695735584677E-3</v>
      </c>
      <c r="J336">
        <v>2.1710890531756011</v>
      </c>
    </row>
    <row r="337" spans="1:10" x14ac:dyDescent="0.3">
      <c r="A337" t="s">
        <v>1324</v>
      </c>
      <c r="B337" t="s">
        <v>195</v>
      </c>
      <c r="C337" t="s">
        <v>222</v>
      </c>
      <c r="D337" t="s">
        <v>226</v>
      </c>
      <c r="E337">
        <v>2405952.4161764709</v>
      </c>
      <c r="F337">
        <v>48566501.492106646</v>
      </c>
      <c r="G337">
        <v>7632</v>
      </c>
      <c r="H337">
        <f t="shared" si="10"/>
        <v>0.13238113003840321</v>
      </c>
      <c r="I337">
        <f t="shared" si="11"/>
        <v>4.953933971479297E-2</v>
      </c>
      <c r="J337">
        <v>2.57407011084051</v>
      </c>
    </row>
    <row r="338" spans="1:10" x14ac:dyDescent="0.3">
      <c r="A338" t="s">
        <v>1467</v>
      </c>
      <c r="B338" t="s">
        <v>616</v>
      </c>
      <c r="C338" t="s">
        <v>660</v>
      </c>
      <c r="D338" t="s">
        <v>180</v>
      </c>
      <c r="E338">
        <v>993281.453125</v>
      </c>
      <c r="F338">
        <v>276164275.21635699</v>
      </c>
      <c r="G338">
        <v>12196</v>
      </c>
      <c r="H338">
        <f t="shared" si="10"/>
        <v>0.13156792475800178</v>
      </c>
      <c r="I338">
        <f t="shared" si="11"/>
        <v>3.5967050855757058E-3</v>
      </c>
      <c r="J338">
        <v>0.87138714119240246</v>
      </c>
    </row>
    <row r="339" spans="1:10" x14ac:dyDescent="0.3">
      <c r="A339" t="s">
        <v>1167</v>
      </c>
      <c r="B339" t="s">
        <v>410</v>
      </c>
      <c r="C339" t="s">
        <v>439</v>
      </c>
      <c r="D339" t="s">
        <v>439</v>
      </c>
      <c r="E339">
        <v>2234049.65625</v>
      </c>
      <c r="F339">
        <v>186468253.3336665</v>
      </c>
      <c r="G339">
        <v>17991</v>
      </c>
      <c r="H339">
        <f t="shared" si="10"/>
        <v>0.13020754948312038</v>
      </c>
      <c r="I339">
        <f t="shared" si="11"/>
        <v>1.1980857954691027E-2</v>
      </c>
      <c r="J339">
        <v>1.9116473402348779</v>
      </c>
    </row>
    <row r="340" spans="1:10" x14ac:dyDescent="0.3">
      <c r="A340" t="s">
        <v>1083</v>
      </c>
      <c r="B340" t="s">
        <v>503</v>
      </c>
      <c r="C340" t="s">
        <v>561</v>
      </c>
      <c r="D340" t="s">
        <v>562</v>
      </c>
      <c r="E340">
        <v>743550.78125</v>
      </c>
      <c r="F340">
        <v>54966380.527086079</v>
      </c>
      <c r="G340">
        <v>2244</v>
      </c>
      <c r="H340">
        <f t="shared" si="10"/>
        <v>0.12919672397636559</v>
      </c>
      <c r="I340">
        <f t="shared" si="11"/>
        <v>1.3527373898734272E-2</v>
      </c>
      <c r="J340">
        <v>0.71181916183131488</v>
      </c>
    </row>
    <row r="341" spans="1:10" x14ac:dyDescent="0.3">
      <c r="A341" t="s">
        <v>1117</v>
      </c>
      <c r="B341" t="s">
        <v>160</v>
      </c>
      <c r="C341" t="s">
        <v>161</v>
      </c>
      <c r="D341" t="s">
        <v>163</v>
      </c>
      <c r="E341">
        <v>1489862.375</v>
      </c>
      <c r="F341">
        <v>92605695.418687493</v>
      </c>
      <c r="G341">
        <v>10593</v>
      </c>
      <c r="H341">
        <f t="shared" si="10"/>
        <v>0.12883263239617568</v>
      </c>
      <c r="I341">
        <f t="shared" si="11"/>
        <v>1.6088236995187567E-2</v>
      </c>
      <c r="J341">
        <v>1.6818590420920601</v>
      </c>
    </row>
    <row r="342" spans="1:10" x14ac:dyDescent="0.3">
      <c r="A342" t="s">
        <v>1195</v>
      </c>
      <c r="B342" t="s">
        <v>410</v>
      </c>
      <c r="C342" t="s">
        <v>420</v>
      </c>
      <c r="D342" t="s">
        <v>420</v>
      </c>
      <c r="E342">
        <v>1489432.71875</v>
      </c>
      <c r="F342">
        <v>544023925.07545185</v>
      </c>
      <c r="G342">
        <v>20299</v>
      </c>
      <c r="H342">
        <f t="shared" si="10"/>
        <v>0.12862201835084036</v>
      </c>
      <c r="I342">
        <f t="shared" si="11"/>
        <v>2.7378073832753356E-3</v>
      </c>
      <c r="J342">
        <v>0.95885753906347859</v>
      </c>
    </row>
    <row r="343" spans="1:10" x14ac:dyDescent="0.3">
      <c r="A343" t="s">
        <v>1433</v>
      </c>
      <c r="B343" t="s">
        <v>616</v>
      </c>
      <c r="C343" t="s">
        <v>39</v>
      </c>
      <c r="D343" t="s">
        <v>146</v>
      </c>
      <c r="E343">
        <v>993122.9375</v>
      </c>
      <c r="F343">
        <v>160814804.53751159</v>
      </c>
      <c r="G343">
        <v>5794</v>
      </c>
      <c r="H343">
        <f t="shared" si="10"/>
        <v>0.12856419550261619</v>
      </c>
      <c r="I343">
        <f t="shared" si="11"/>
        <v>6.1755690986046285E-3</v>
      </c>
      <c r="J343">
        <v>0.76903795542761055</v>
      </c>
    </row>
    <row r="344" spans="1:10" x14ac:dyDescent="0.3">
      <c r="A344" t="s">
        <v>1455</v>
      </c>
      <c r="B344" t="s">
        <v>616</v>
      </c>
      <c r="C344" t="s">
        <v>409</v>
      </c>
      <c r="D344" t="s">
        <v>409</v>
      </c>
      <c r="E344">
        <v>5263854.6624999996</v>
      </c>
      <c r="F344">
        <v>278587073.38175052</v>
      </c>
      <c r="G344">
        <v>42684</v>
      </c>
      <c r="H344">
        <f t="shared" si="10"/>
        <v>0.12812048305557777</v>
      </c>
      <c r="I344">
        <f t="shared" si="11"/>
        <v>1.8894827382341928E-2</v>
      </c>
      <c r="J344">
        <v>3.6385017436700848</v>
      </c>
    </row>
    <row r="345" spans="1:10" x14ac:dyDescent="0.3">
      <c r="A345" t="s">
        <v>1292</v>
      </c>
      <c r="B345" t="s">
        <v>590</v>
      </c>
      <c r="C345" t="s">
        <v>591</v>
      </c>
      <c r="D345" t="s">
        <v>591</v>
      </c>
      <c r="E345">
        <v>5216234.3754289215</v>
      </c>
      <c r="F345">
        <v>169213011.9846586</v>
      </c>
      <c r="G345">
        <v>111724</v>
      </c>
      <c r="H345">
        <f t="shared" si="10"/>
        <v>0.12768391284185332</v>
      </c>
      <c r="I345">
        <f t="shared" si="11"/>
        <v>3.0826437720415038E-2</v>
      </c>
      <c r="J345">
        <v>7.4932649972069836</v>
      </c>
    </row>
    <row r="346" spans="1:10" x14ac:dyDescent="0.3">
      <c r="A346" t="s">
        <v>1122</v>
      </c>
      <c r="B346" t="s">
        <v>236</v>
      </c>
      <c r="C346" t="s">
        <v>248</v>
      </c>
      <c r="D346" t="s">
        <v>248</v>
      </c>
      <c r="E346">
        <v>3722206.15625</v>
      </c>
      <c r="F346">
        <v>53092715.861168183</v>
      </c>
      <c r="G346">
        <v>10102</v>
      </c>
      <c r="H346">
        <f t="shared" si="10"/>
        <v>0.12746350577300752</v>
      </c>
      <c r="I346">
        <f t="shared" si="11"/>
        <v>7.0107661585502121E-2</v>
      </c>
      <c r="J346">
        <v>3.392128393306304</v>
      </c>
    </row>
    <row r="347" spans="1:10" x14ac:dyDescent="0.3">
      <c r="A347" t="s">
        <v>1123</v>
      </c>
      <c r="B347" t="s">
        <v>128</v>
      </c>
      <c r="C347" t="s">
        <v>137</v>
      </c>
      <c r="D347" t="s">
        <v>137</v>
      </c>
      <c r="E347">
        <v>7335642.8530024504</v>
      </c>
      <c r="F347">
        <v>59946403.568803944</v>
      </c>
      <c r="G347">
        <v>12375</v>
      </c>
      <c r="H347">
        <f t="shared" si="10"/>
        <v>0.1269590857027636</v>
      </c>
      <c r="I347">
        <f t="shared" si="11"/>
        <v>0.1223700241597131</v>
      </c>
      <c r="J347">
        <v>4.940534233041614</v>
      </c>
    </row>
    <row r="348" spans="1:10" x14ac:dyDescent="0.3">
      <c r="A348" t="s">
        <v>1180</v>
      </c>
      <c r="B348" t="s">
        <v>160</v>
      </c>
      <c r="C348" t="s">
        <v>185</v>
      </c>
      <c r="D348" t="s">
        <v>186</v>
      </c>
      <c r="E348">
        <v>3724699.53125</v>
      </c>
      <c r="F348">
        <v>145817883.9327639</v>
      </c>
      <c r="G348">
        <v>20567</v>
      </c>
      <c r="H348">
        <f t="shared" si="10"/>
        <v>0.12694127404301125</v>
      </c>
      <c r="I348">
        <f t="shared" si="11"/>
        <v>2.5543502832392255E-2</v>
      </c>
      <c r="J348">
        <v>2.9095682783581438</v>
      </c>
    </row>
    <row r="349" spans="1:10" x14ac:dyDescent="0.3">
      <c r="A349" t="s">
        <v>1290</v>
      </c>
      <c r="B349" t="s">
        <v>656</v>
      </c>
      <c r="C349" t="s">
        <v>826</v>
      </c>
      <c r="D349" t="s">
        <v>827</v>
      </c>
      <c r="E349">
        <v>21736483.12132353</v>
      </c>
      <c r="F349">
        <v>57307870.599606529</v>
      </c>
      <c r="G349">
        <v>102748</v>
      </c>
      <c r="H349">
        <f t="shared" si="10"/>
        <v>0.12600281239699432</v>
      </c>
      <c r="I349">
        <f t="shared" si="11"/>
        <v>0.37929315631338029</v>
      </c>
      <c r="J349">
        <v>24.874504055072698</v>
      </c>
    </row>
    <row r="350" spans="1:10" x14ac:dyDescent="0.3">
      <c r="A350" t="s">
        <v>1033</v>
      </c>
      <c r="B350" t="s">
        <v>503</v>
      </c>
      <c r="C350" t="s">
        <v>561</v>
      </c>
      <c r="D350" t="s">
        <v>564</v>
      </c>
      <c r="E350">
        <v>1471732.523590686</v>
      </c>
      <c r="F350">
        <v>73293120.613171548</v>
      </c>
      <c r="G350">
        <v>1558</v>
      </c>
      <c r="H350">
        <f t="shared" si="10"/>
        <v>0.1258843740551244</v>
      </c>
      <c r="I350">
        <f t="shared" si="11"/>
        <v>2.0080090890906892E-2</v>
      </c>
      <c r="J350">
        <v>0.70410655677484657</v>
      </c>
    </row>
    <row r="351" spans="1:10" x14ac:dyDescent="0.3">
      <c r="A351" t="s">
        <v>1226</v>
      </c>
      <c r="B351" t="s">
        <v>503</v>
      </c>
      <c r="C351" t="s">
        <v>554</v>
      </c>
      <c r="D351" t="s">
        <v>555</v>
      </c>
      <c r="E351">
        <v>1734124.1875</v>
      </c>
      <c r="F351">
        <v>241196700.2914764</v>
      </c>
      <c r="G351">
        <v>8983</v>
      </c>
      <c r="H351">
        <f t="shared" si="10"/>
        <v>0.1253774131291118</v>
      </c>
      <c r="I351">
        <f t="shared" si="11"/>
        <v>7.1896679573326726E-3</v>
      </c>
      <c r="J351">
        <v>1.007591329415048</v>
      </c>
    </row>
    <row r="352" spans="1:10" x14ac:dyDescent="0.3">
      <c r="A352" t="s">
        <v>1373</v>
      </c>
      <c r="B352" t="s">
        <v>656</v>
      </c>
      <c r="C352" t="s">
        <v>813</v>
      </c>
      <c r="D352" t="s">
        <v>814</v>
      </c>
      <c r="E352">
        <v>2940849.994240196</v>
      </c>
      <c r="F352">
        <v>392909735.18197</v>
      </c>
      <c r="G352">
        <v>32808</v>
      </c>
      <c r="H352">
        <f t="shared" si="10"/>
        <v>0.12367395867975621</v>
      </c>
      <c r="I352">
        <f t="shared" si="11"/>
        <v>7.4847979851611138E-3</v>
      </c>
      <c r="J352">
        <v>1.9380196765538229</v>
      </c>
    </row>
    <row r="353" spans="1:10" x14ac:dyDescent="0.3">
      <c r="A353" t="s">
        <v>1047</v>
      </c>
      <c r="B353" t="s">
        <v>236</v>
      </c>
      <c r="C353" t="s">
        <v>273</v>
      </c>
      <c r="D353" t="s">
        <v>49</v>
      </c>
      <c r="E353">
        <v>5131009.8275122549</v>
      </c>
      <c r="F353">
        <v>7121429.9986603223</v>
      </c>
      <c r="G353">
        <v>3281</v>
      </c>
      <c r="H353">
        <f t="shared" si="10"/>
        <v>0.12254829968649594</v>
      </c>
      <c r="I353">
        <f t="shared" si="11"/>
        <v>0.7205027401066213</v>
      </c>
      <c r="J353">
        <v>5.9583803612946094</v>
      </c>
    </row>
    <row r="354" spans="1:10" x14ac:dyDescent="0.3">
      <c r="A354" t="s">
        <v>1335</v>
      </c>
      <c r="B354" t="s">
        <v>23</v>
      </c>
      <c r="C354" t="s">
        <v>24</v>
      </c>
      <c r="D354" t="s">
        <v>24</v>
      </c>
      <c r="E354">
        <v>59784170.367892161</v>
      </c>
      <c r="F354">
        <v>71484341.036941305</v>
      </c>
      <c r="G354">
        <v>360524</v>
      </c>
      <c r="H354">
        <f t="shared" si="10"/>
        <v>0.12166232404085159</v>
      </c>
      <c r="I354">
        <f t="shared" si="11"/>
        <v>0.83632540358730045</v>
      </c>
      <c r="J354">
        <v>66.805288387192547</v>
      </c>
    </row>
    <row r="355" spans="1:10" x14ac:dyDescent="0.3">
      <c r="A355" t="s">
        <v>1266</v>
      </c>
      <c r="B355" t="s">
        <v>734</v>
      </c>
      <c r="C355" t="s">
        <v>735</v>
      </c>
      <c r="D355" t="s">
        <v>735</v>
      </c>
      <c r="E355">
        <v>9616115.0240808818</v>
      </c>
      <c r="F355">
        <v>81430209.228363737</v>
      </c>
      <c r="G355">
        <v>39535</v>
      </c>
      <c r="H355">
        <f t="shared" si="10"/>
        <v>0.12136806563028796</v>
      </c>
      <c r="I355">
        <f t="shared" si="11"/>
        <v>0.11809026545803594</v>
      </c>
      <c r="J355">
        <v>8.2928221442633063</v>
      </c>
    </row>
    <row r="356" spans="1:10" x14ac:dyDescent="0.3">
      <c r="A356" t="s">
        <v>1396</v>
      </c>
      <c r="B356" t="s">
        <v>195</v>
      </c>
      <c r="C356" t="s">
        <v>196</v>
      </c>
      <c r="D356" t="s">
        <v>197</v>
      </c>
      <c r="E356">
        <v>3470340.9033088242</v>
      </c>
      <c r="F356">
        <v>144180861.38840449</v>
      </c>
      <c r="G356">
        <v>7957</v>
      </c>
      <c r="H356">
        <f t="shared" si="10"/>
        <v>0.12090886705400697</v>
      </c>
      <c r="I356">
        <f t="shared" si="11"/>
        <v>2.4069358928021502E-2</v>
      </c>
      <c r="J356">
        <v>1.673266408127752</v>
      </c>
    </row>
    <row r="357" spans="1:10" x14ac:dyDescent="0.3">
      <c r="A357" t="s">
        <v>1250</v>
      </c>
      <c r="B357" t="s">
        <v>590</v>
      </c>
      <c r="C357" t="s">
        <v>610</v>
      </c>
      <c r="D357" t="s">
        <v>612</v>
      </c>
      <c r="E357">
        <v>1241570.890625</v>
      </c>
      <c r="F357">
        <v>166254382.22524861</v>
      </c>
      <c r="G357">
        <v>14851</v>
      </c>
      <c r="H357">
        <f t="shared" si="10"/>
        <v>0.12072445576533311</v>
      </c>
      <c r="I357">
        <f t="shared" si="11"/>
        <v>7.4678987344999198E-3</v>
      </c>
      <c r="J357">
        <v>1.2713710423530249</v>
      </c>
    </row>
    <row r="358" spans="1:10" x14ac:dyDescent="0.3">
      <c r="A358" t="s">
        <v>1053</v>
      </c>
      <c r="B358" t="s">
        <v>236</v>
      </c>
      <c r="C358" t="s">
        <v>237</v>
      </c>
      <c r="D358" t="s">
        <v>240</v>
      </c>
      <c r="E358">
        <v>7832231.9839460785</v>
      </c>
      <c r="F358">
        <v>12930048.328284521</v>
      </c>
      <c r="G358">
        <v>3264</v>
      </c>
      <c r="H358">
        <f t="shared" si="10"/>
        <v>0.12044646427811218</v>
      </c>
      <c r="I358">
        <f t="shared" si="11"/>
        <v>0.60573880198212771</v>
      </c>
      <c r="J358">
        <v>5.3556455664325444</v>
      </c>
    </row>
    <row r="359" spans="1:10" x14ac:dyDescent="0.3">
      <c r="A359" t="s">
        <v>1428</v>
      </c>
      <c r="B359" t="s">
        <v>616</v>
      </c>
      <c r="C359" t="s">
        <v>656</v>
      </c>
      <c r="D359" t="s">
        <v>656</v>
      </c>
      <c r="E359">
        <v>1565663.5319852941</v>
      </c>
      <c r="F359">
        <v>500707740.77392417</v>
      </c>
      <c r="G359">
        <v>17293</v>
      </c>
      <c r="H359">
        <f t="shared" si="10"/>
        <v>0.12012335909423397</v>
      </c>
      <c r="I359">
        <f t="shared" si="11"/>
        <v>3.1269009933126055E-3</v>
      </c>
      <c r="J359">
        <v>0.88332333637123239</v>
      </c>
    </row>
    <row r="360" spans="1:10" x14ac:dyDescent="0.3">
      <c r="A360" t="s">
        <v>1441</v>
      </c>
      <c r="B360" t="s">
        <v>963</v>
      </c>
      <c r="C360" t="s">
        <v>964</v>
      </c>
      <c r="D360" t="s">
        <v>965</v>
      </c>
      <c r="E360">
        <v>12415936.640625</v>
      </c>
      <c r="F360">
        <v>147560059.4418143</v>
      </c>
      <c r="G360">
        <v>59016</v>
      </c>
      <c r="H360">
        <f t="shared" si="10"/>
        <v>0.12010949816040989</v>
      </c>
      <c r="I360">
        <f t="shared" si="11"/>
        <v>8.4141580639040314E-2</v>
      </c>
      <c r="J360">
        <v>8.4638424524671976</v>
      </c>
    </row>
    <row r="361" spans="1:10" x14ac:dyDescent="0.3">
      <c r="A361" t="s">
        <v>1028</v>
      </c>
      <c r="B361" t="s">
        <v>352</v>
      </c>
      <c r="C361" t="s">
        <v>361</v>
      </c>
      <c r="D361" t="s">
        <v>164</v>
      </c>
      <c r="E361">
        <v>1717543.2869485291</v>
      </c>
      <c r="F361">
        <v>58211038.117318243</v>
      </c>
      <c r="G361">
        <v>2097</v>
      </c>
      <c r="H361">
        <f t="shared" si="10"/>
        <v>0.11961708361317086</v>
      </c>
      <c r="I361">
        <f t="shared" si="11"/>
        <v>2.9505457083362791E-2</v>
      </c>
      <c r="J361">
        <v>0.9409002812307804</v>
      </c>
    </row>
    <row r="362" spans="1:10" x14ac:dyDescent="0.3">
      <c r="A362" t="s">
        <v>1230</v>
      </c>
      <c r="B362" t="s">
        <v>616</v>
      </c>
      <c r="C362" t="s">
        <v>631</v>
      </c>
      <c r="D362" t="s">
        <v>635</v>
      </c>
      <c r="E362">
        <v>1241568.609375</v>
      </c>
      <c r="F362">
        <v>167267276.2756061</v>
      </c>
      <c r="G362">
        <v>11953</v>
      </c>
      <c r="H362">
        <f t="shared" si="10"/>
        <v>0.11953730505725983</v>
      </c>
      <c r="I362">
        <f t="shared" si="11"/>
        <v>7.4226629202072307E-3</v>
      </c>
      <c r="J362">
        <v>1.1259569595567831</v>
      </c>
    </row>
    <row r="363" spans="1:10" x14ac:dyDescent="0.3">
      <c r="A363" t="s">
        <v>1196</v>
      </c>
      <c r="B363" t="s">
        <v>926</v>
      </c>
      <c r="C363" t="s">
        <v>927</v>
      </c>
      <c r="D363" t="s">
        <v>928</v>
      </c>
      <c r="E363">
        <v>19704434.839644611</v>
      </c>
      <c r="F363">
        <v>216958363.03748101</v>
      </c>
      <c r="G363">
        <v>64904</v>
      </c>
      <c r="H363">
        <f t="shared" si="10"/>
        <v>0.119142360687488</v>
      </c>
      <c r="I363">
        <f t="shared" si="11"/>
        <v>9.0821273555795307E-2</v>
      </c>
      <c r="J363">
        <v>9.1473590497282693</v>
      </c>
    </row>
    <row r="364" spans="1:10" x14ac:dyDescent="0.3">
      <c r="A364" t="s">
        <v>1091</v>
      </c>
      <c r="B364" t="s">
        <v>23</v>
      </c>
      <c r="C364" t="s">
        <v>75</v>
      </c>
      <c r="D364" t="s">
        <v>75</v>
      </c>
      <c r="E364">
        <v>8043268.3742034314</v>
      </c>
      <c r="F364">
        <v>184759342.810873</v>
      </c>
      <c r="G364">
        <v>10406</v>
      </c>
      <c r="H364">
        <f t="shared" si="10"/>
        <v>0.11774346840781391</v>
      </c>
      <c r="I364">
        <f t="shared" si="11"/>
        <v>4.3533757220801765E-2</v>
      </c>
      <c r="J364">
        <v>2.506061999059563</v>
      </c>
    </row>
    <row r="365" spans="1:10" x14ac:dyDescent="0.3">
      <c r="A365" t="s">
        <v>1099</v>
      </c>
      <c r="B365" t="s">
        <v>656</v>
      </c>
      <c r="C365" t="s">
        <v>821</v>
      </c>
      <c r="D365" t="s">
        <v>470</v>
      </c>
      <c r="E365">
        <v>10311875.14963235</v>
      </c>
      <c r="F365">
        <v>37882764.940535873</v>
      </c>
      <c r="G365">
        <v>4689</v>
      </c>
      <c r="H365">
        <f t="shared" si="10"/>
        <v>0.11587387497129678</v>
      </c>
      <c r="I365">
        <f t="shared" si="11"/>
        <v>0.27220492394942075</v>
      </c>
      <c r="J365">
        <v>4.1397454302914589</v>
      </c>
    </row>
    <row r="366" spans="1:10" x14ac:dyDescent="0.3">
      <c r="A366" t="s">
        <v>1370</v>
      </c>
      <c r="B366" t="s">
        <v>834</v>
      </c>
      <c r="C366" t="s">
        <v>835</v>
      </c>
      <c r="D366" t="s">
        <v>835</v>
      </c>
      <c r="E366">
        <v>46779558.402696073</v>
      </c>
      <c r="F366">
        <v>47034175.994357944</v>
      </c>
      <c r="G366">
        <v>187137</v>
      </c>
      <c r="H366">
        <f t="shared" si="10"/>
        <v>0.11543184675028868</v>
      </c>
      <c r="I366">
        <f t="shared" si="11"/>
        <v>0.99458654082315778</v>
      </c>
      <c r="J366">
        <v>49.79970432839248</v>
      </c>
    </row>
    <row r="367" spans="1:10" x14ac:dyDescent="0.3">
      <c r="A367" t="s">
        <v>1330</v>
      </c>
      <c r="B367" t="s">
        <v>616</v>
      </c>
      <c r="C367" t="s">
        <v>672</v>
      </c>
      <c r="D367" t="s">
        <v>674</v>
      </c>
      <c r="E367">
        <v>1909901.3946691181</v>
      </c>
      <c r="F367">
        <v>86825227.609895259</v>
      </c>
      <c r="G367">
        <v>5824</v>
      </c>
      <c r="H367">
        <f t="shared" si="10"/>
        <v>0.11503747326120327</v>
      </c>
      <c r="I367">
        <f t="shared" si="11"/>
        <v>2.1997079043089677E-2</v>
      </c>
      <c r="J367">
        <v>1.302064579884374</v>
      </c>
    </row>
    <row r="368" spans="1:10" x14ac:dyDescent="0.3">
      <c r="A368" t="s">
        <v>1384</v>
      </c>
      <c r="B368" t="s">
        <v>236</v>
      </c>
      <c r="C368" t="s">
        <v>237</v>
      </c>
      <c r="D368" t="s">
        <v>243</v>
      </c>
      <c r="E368">
        <v>3115738.479656863</v>
      </c>
      <c r="F368">
        <v>60036570.93130374</v>
      </c>
      <c r="G368">
        <v>6776</v>
      </c>
      <c r="H368">
        <f t="shared" si="10"/>
        <v>0.11439520621906188</v>
      </c>
      <c r="I368">
        <f t="shared" si="11"/>
        <v>5.1897342425203073E-2</v>
      </c>
      <c r="J368">
        <v>2.1451965195115799</v>
      </c>
    </row>
    <row r="369" spans="1:10" x14ac:dyDescent="0.3">
      <c r="A369" t="s">
        <v>1077</v>
      </c>
      <c r="B369" t="s">
        <v>352</v>
      </c>
      <c r="C369" t="s">
        <v>361</v>
      </c>
      <c r="D369" t="s">
        <v>364</v>
      </c>
      <c r="E369">
        <v>2178071.73927696</v>
      </c>
      <c r="F369">
        <v>200087314.0661132</v>
      </c>
      <c r="G369">
        <v>9057</v>
      </c>
      <c r="H369">
        <f t="shared" si="10"/>
        <v>0.11423606547164843</v>
      </c>
      <c r="I369">
        <f t="shared" si="11"/>
        <v>1.0885606363616225E-2</v>
      </c>
      <c r="J369">
        <v>1.13428381022041</v>
      </c>
    </row>
    <row r="370" spans="1:10" x14ac:dyDescent="0.3">
      <c r="A370" t="s">
        <v>1034</v>
      </c>
      <c r="B370" t="s">
        <v>503</v>
      </c>
      <c r="C370" t="s">
        <v>561</v>
      </c>
      <c r="D370" t="s">
        <v>568</v>
      </c>
      <c r="E370">
        <v>6525409.3768382352</v>
      </c>
      <c r="F370">
        <v>114758132.8678834</v>
      </c>
      <c r="G370">
        <v>958</v>
      </c>
      <c r="H370">
        <f t="shared" si="10"/>
        <v>0.11385877985199028</v>
      </c>
      <c r="I370">
        <f t="shared" si="11"/>
        <v>5.6862282556920711E-2</v>
      </c>
      <c r="J370">
        <v>0.84035236093386645</v>
      </c>
    </row>
    <row r="371" spans="1:10" x14ac:dyDescent="0.3">
      <c r="A371" t="s">
        <v>1046</v>
      </c>
      <c r="B371" t="s">
        <v>656</v>
      </c>
      <c r="C371" t="s">
        <v>821</v>
      </c>
      <c r="D371" t="s">
        <v>824</v>
      </c>
      <c r="E371">
        <v>37555714.187867656</v>
      </c>
      <c r="F371">
        <v>96351063.186507463</v>
      </c>
      <c r="G371">
        <v>2028</v>
      </c>
      <c r="H371">
        <f t="shared" si="10"/>
        <v>0.11378058152600433</v>
      </c>
      <c r="I371">
        <f t="shared" si="11"/>
        <v>0.38977996657048591</v>
      </c>
      <c r="J371">
        <v>3.1989826263017238</v>
      </c>
    </row>
    <row r="372" spans="1:10" x14ac:dyDescent="0.3">
      <c r="A372" t="s">
        <v>1465</v>
      </c>
      <c r="B372" t="s">
        <v>616</v>
      </c>
      <c r="C372" t="s">
        <v>663</v>
      </c>
      <c r="D372" t="s">
        <v>663</v>
      </c>
      <c r="E372">
        <v>2483036.09375</v>
      </c>
      <c r="F372">
        <v>248055289.69217429</v>
      </c>
      <c r="G372">
        <v>31306</v>
      </c>
      <c r="H372">
        <f t="shared" si="10"/>
        <v>0.11275589040829657</v>
      </c>
      <c r="I372">
        <f t="shared" si="11"/>
        <v>1.0010010658637188E-2</v>
      </c>
      <c r="J372">
        <v>1.996044867653386</v>
      </c>
    </row>
    <row r="373" spans="1:10" x14ac:dyDescent="0.3">
      <c r="A373" t="s">
        <v>1190</v>
      </c>
      <c r="B373" t="s">
        <v>760</v>
      </c>
      <c r="C373" t="s">
        <v>770</v>
      </c>
      <c r="D373" t="s">
        <v>772</v>
      </c>
      <c r="E373">
        <v>5461355.96875</v>
      </c>
      <c r="F373">
        <v>24161781.983644389</v>
      </c>
      <c r="G373">
        <v>9441</v>
      </c>
      <c r="H373">
        <f t="shared" si="10"/>
        <v>0.11180398209688167</v>
      </c>
      <c r="I373">
        <f t="shared" si="11"/>
        <v>0.22603283037844249</v>
      </c>
      <c r="J373">
        <v>5.1647824438831744</v>
      </c>
    </row>
    <row r="374" spans="1:10" x14ac:dyDescent="0.3">
      <c r="A374" t="s">
        <v>1018</v>
      </c>
      <c r="B374" t="s">
        <v>23</v>
      </c>
      <c r="C374" t="s">
        <v>59</v>
      </c>
      <c r="D374" t="s">
        <v>60</v>
      </c>
      <c r="E374">
        <v>2974884.109375</v>
      </c>
      <c r="F374">
        <v>110450574.8851817</v>
      </c>
      <c r="G374">
        <v>2981</v>
      </c>
      <c r="H374">
        <f t="shared" si="10"/>
        <v>0.11152013813810421</v>
      </c>
      <c r="I374">
        <f t="shared" si="11"/>
        <v>2.6934075376859965E-2</v>
      </c>
      <c r="J374">
        <v>0.99927569030108443</v>
      </c>
    </row>
    <row r="375" spans="1:10" x14ac:dyDescent="0.3">
      <c r="A375" t="s">
        <v>1051</v>
      </c>
      <c r="B375" t="s">
        <v>944</v>
      </c>
      <c r="C375" t="s">
        <v>944</v>
      </c>
      <c r="D375" t="s">
        <v>299</v>
      </c>
      <c r="E375">
        <v>5458871.03125</v>
      </c>
      <c r="F375">
        <v>77443920.288919136</v>
      </c>
      <c r="G375">
        <v>4004</v>
      </c>
      <c r="H375">
        <f t="shared" si="10"/>
        <v>0.11143741700337741</v>
      </c>
      <c r="I375">
        <f t="shared" si="11"/>
        <v>7.048805136522858E-2</v>
      </c>
      <c r="J375">
        <v>1.8721292289324061</v>
      </c>
    </row>
    <row r="376" spans="1:10" x14ac:dyDescent="0.3">
      <c r="A376" t="s">
        <v>1473</v>
      </c>
      <c r="B376" t="s">
        <v>616</v>
      </c>
      <c r="C376" t="s">
        <v>669</v>
      </c>
      <c r="D376" t="s">
        <v>669</v>
      </c>
      <c r="E376">
        <v>2249543.1831495101</v>
      </c>
      <c r="F376">
        <v>696198926.3387481</v>
      </c>
      <c r="G376">
        <v>43002</v>
      </c>
      <c r="H376">
        <f t="shared" si="10"/>
        <v>0.11039335559895688</v>
      </c>
      <c r="I376">
        <f t="shared" si="11"/>
        <v>3.2311787594670239E-3</v>
      </c>
      <c r="J376">
        <v>1.301271010498418</v>
      </c>
    </row>
    <row r="377" spans="1:10" x14ac:dyDescent="0.3">
      <c r="A377" t="s">
        <v>1263</v>
      </c>
      <c r="B377" t="s">
        <v>101</v>
      </c>
      <c r="C377" t="s">
        <v>120</v>
      </c>
      <c r="D377" t="s">
        <v>120</v>
      </c>
      <c r="E377">
        <v>3404012.213480392</v>
      </c>
      <c r="F377">
        <v>93836983.935420319</v>
      </c>
      <c r="G377">
        <v>13944</v>
      </c>
      <c r="H377">
        <f t="shared" si="10"/>
        <v>0.11012213176562859</v>
      </c>
      <c r="I377">
        <f t="shared" si="11"/>
        <v>3.6275805878661575E-2</v>
      </c>
      <c r="J377">
        <v>2.4767195462691221</v>
      </c>
    </row>
    <row r="378" spans="1:10" x14ac:dyDescent="0.3">
      <c r="A378" t="s">
        <v>1398</v>
      </c>
      <c r="B378" t="s">
        <v>616</v>
      </c>
      <c r="C378" t="s">
        <v>39</v>
      </c>
      <c r="D378" t="s">
        <v>658</v>
      </c>
      <c r="E378">
        <v>3227541.28125</v>
      </c>
      <c r="F378">
        <v>293020483.75270581</v>
      </c>
      <c r="G378">
        <v>24500</v>
      </c>
      <c r="H378">
        <f t="shared" si="10"/>
        <v>0.10770028237564844</v>
      </c>
      <c r="I378">
        <f t="shared" si="11"/>
        <v>1.1014729209081092E-2</v>
      </c>
      <c r="J378">
        <v>1.769240191146489</v>
      </c>
    </row>
    <row r="379" spans="1:10" x14ac:dyDescent="0.3">
      <c r="A379" t="s">
        <v>1252</v>
      </c>
      <c r="B379" t="s">
        <v>656</v>
      </c>
      <c r="C379" t="s">
        <v>776</v>
      </c>
      <c r="D379" t="s">
        <v>781</v>
      </c>
      <c r="E379">
        <v>28580557.175306369</v>
      </c>
      <c r="F379">
        <v>44701744.771988273</v>
      </c>
      <c r="G379">
        <v>127486</v>
      </c>
      <c r="H379">
        <f t="shared" si="10"/>
        <v>0.10759253687764612</v>
      </c>
      <c r="I379">
        <f t="shared" si="11"/>
        <v>0.63936111042394872</v>
      </c>
      <c r="J379">
        <v>30.717545014308151</v>
      </c>
    </row>
    <row r="380" spans="1:10" x14ac:dyDescent="0.3">
      <c r="A380" t="s">
        <v>1429</v>
      </c>
      <c r="B380" t="s">
        <v>944</v>
      </c>
      <c r="C380" t="s">
        <v>944</v>
      </c>
      <c r="D380" t="s">
        <v>1010</v>
      </c>
      <c r="E380">
        <v>2384589.9401960778</v>
      </c>
      <c r="F380">
        <v>424701164.87465948</v>
      </c>
      <c r="G380">
        <v>36849</v>
      </c>
      <c r="H380">
        <f t="shared" si="10"/>
        <v>0.10681149568285178</v>
      </c>
      <c r="I380">
        <f t="shared" si="11"/>
        <v>5.6147478213294591E-3</v>
      </c>
      <c r="J380">
        <v>1.5363705630760769</v>
      </c>
    </row>
    <row r="381" spans="1:10" x14ac:dyDescent="0.3">
      <c r="A381" t="s">
        <v>1449</v>
      </c>
      <c r="B381" t="s">
        <v>616</v>
      </c>
      <c r="C381" t="s">
        <v>660</v>
      </c>
      <c r="D381" t="s">
        <v>661</v>
      </c>
      <c r="E381">
        <v>5702405.5128676472</v>
      </c>
      <c r="F381">
        <v>168504208.790838</v>
      </c>
      <c r="G381">
        <v>26948</v>
      </c>
      <c r="H381">
        <f t="shared" si="10"/>
        <v>0.10635379144770352</v>
      </c>
      <c r="I381">
        <f t="shared" si="11"/>
        <v>3.3841323927676879E-2</v>
      </c>
      <c r="J381">
        <v>3.211736584143261</v>
      </c>
    </row>
    <row r="382" spans="1:10" x14ac:dyDescent="0.3">
      <c r="A382" t="s">
        <v>1090</v>
      </c>
      <c r="B382" t="s">
        <v>128</v>
      </c>
      <c r="C382" t="s">
        <v>129</v>
      </c>
      <c r="D382" t="s">
        <v>131</v>
      </c>
      <c r="E382">
        <v>5032109.4267769596</v>
      </c>
      <c r="F382">
        <v>77597610.625594959</v>
      </c>
      <c r="G382">
        <v>8921</v>
      </c>
      <c r="H382">
        <f t="shared" si="10"/>
        <v>0.10570985098844134</v>
      </c>
      <c r="I382">
        <f t="shared" si="11"/>
        <v>6.484876771601468E-2</v>
      </c>
      <c r="J382">
        <v>2.5425710294281152</v>
      </c>
    </row>
    <row r="383" spans="1:10" x14ac:dyDescent="0.3">
      <c r="A383" t="s">
        <v>1162</v>
      </c>
      <c r="B383" t="s">
        <v>291</v>
      </c>
      <c r="C383" t="s">
        <v>294</v>
      </c>
      <c r="D383" t="s">
        <v>294</v>
      </c>
      <c r="E383">
        <v>4461500.9375</v>
      </c>
      <c r="F383">
        <v>260373297.55376741</v>
      </c>
      <c r="G383">
        <v>23915</v>
      </c>
      <c r="H383">
        <f t="shared" si="10"/>
        <v>0.10535374253641716</v>
      </c>
      <c r="I383">
        <f t="shared" si="11"/>
        <v>1.713501722110615E-2</v>
      </c>
      <c r="J383">
        <v>2.13268852940076</v>
      </c>
    </row>
    <row r="384" spans="1:10" x14ac:dyDescent="0.3">
      <c r="A384" t="s">
        <v>1098</v>
      </c>
      <c r="B384" t="s">
        <v>944</v>
      </c>
      <c r="C384" t="s">
        <v>944</v>
      </c>
      <c r="D384" t="s">
        <v>1009</v>
      </c>
      <c r="E384">
        <v>3394763.1814338239</v>
      </c>
      <c r="F384">
        <v>771024593.17299366</v>
      </c>
      <c r="G384">
        <v>20544</v>
      </c>
      <c r="H384">
        <f t="shared" si="10"/>
        <v>0.1047608454790516</v>
      </c>
      <c r="I384">
        <f t="shared" si="11"/>
        <v>4.4029246427320454E-3</v>
      </c>
      <c r="J384">
        <v>0.99635045666023603</v>
      </c>
    </row>
    <row r="385" spans="1:10" x14ac:dyDescent="0.3">
      <c r="A385" t="s">
        <v>1322</v>
      </c>
      <c r="B385" t="s">
        <v>834</v>
      </c>
      <c r="C385" t="s">
        <v>835</v>
      </c>
      <c r="D385" t="s">
        <v>844</v>
      </c>
      <c r="E385">
        <v>3412277.5444240202</v>
      </c>
      <c r="F385">
        <v>425969588.21785402</v>
      </c>
      <c r="G385">
        <v>11440</v>
      </c>
      <c r="H385">
        <f t="shared" si="10"/>
        <v>0.10260431683664979</v>
      </c>
      <c r="I385">
        <f t="shared" si="11"/>
        <v>8.0106130550307644E-3</v>
      </c>
      <c r="J385">
        <v>0.98222621805106225</v>
      </c>
    </row>
    <row r="386" spans="1:10" x14ac:dyDescent="0.3">
      <c r="A386" t="s">
        <v>1346</v>
      </c>
      <c r="B386" t="s">
        <v>590</v>
      </c>
      <c r="C386" t="s">
        <v>599</v>
      </c>
      <c r="D386" t="s">
        <v>599</v>
      </c>
      <c r="E386">
        <v>2234143.453125</v>
      </c>
      <c r="F386">
        <v>150404831.13606629</v>
      </c>
      <c r="G386">
        <v>14960</v>
      </c>
      <c r="H386">
        <f t="shared" ref="H386:H449" si="12">J386/POWER(G386*E386/F386,1/2)</f>
        <v>0.10179519719575542</v>
      </c>
      <c r="I386">
        <f t="shared" ref="I386:I449" si="13">E386/F386</f>
        <v>1.4854200069569867E-2</v>
      </c>
      <c r="J386">
        <v>1.51746163297514</v>
      </c>
    </row>
    <row r="387" spans="1:10" x14ac:dyDescent="0.3">
      <c r="A387" t="s">
        <v>1325</v>
      </c>
      <c r="B387" t="s">
        <v>291</v>
      </c>
      <c r="C387" t="s">
        <v>316</v>
      </c>
      <c r="D387" t="s">
        <v>316</v>
      </c>
      <c r="E387">
        <v>3470861.28125</v>
      </c>
      <c r="F387">
        <v>131183913.48321611</v>
      </c>
      <c r="G387">
        <v>60886</v>
      </c>
      <c r="H387">
        <f t="shared" si="12"/>
        <v>0.10085995067799593</v>
      </c>
      <c r="I387">
        <f t="shared" si="13"/>
        <v>2.6457979405333627E-2</v>
      </c>
      <c r="J387">
        <v>4.0481426706573123</v>
      </c>
    </row>
    <row r="388" spans="1:10" x14ac:dyDescent="0.3">
      <c r="A388" t="s">
        <v>1440</v>
      </c>
      <c r="B388" t="s">
        <v>291</v>
      </c>
      <c r="C388" t="s">
        <v>313</v>
      </c>
      <c r="D388" t="s">
        <v>313</v>
      </c>
      <c r="E388">
        <v>13361309.084436269</v>
      </c>
      <c r="F388">
        <v>98476770.138014376</v>
      </c>
      <c r="G388">
        <v>56267</v>
      </c>
      <c r="H388">
        <f t="shared" si="12"/>
        <v>0.10084058407670281</v>
      </c>
      <c r="I388">
        <f t="shared" si="13"/>
        <v>0.13567980616860714</v>
      </c>
      <c r="J388">
        <v>8.8108912297405091</v>
      </c>
    </row>
    <row r="389" spans="1:10" x14ac:dyDescent="0.3">
      <c r="A389" t="s">
        <v>1310</v>
      </c>
      <c r="B389" t="s">
        <v>410</v>
      </c>
      <c r="C389" t="s">
        <v>454</v>
      </c>
      <c r="D389" t="s">
        <v>455</v>
      </c>
      <c r="E389">
        <v>6777840.7346813735</v>
      </c>
      <c r="F389">
        <v>269999150.67391771</v>
      </c>
      <c r="G389">
        <v>58635</v>
      </c>
      <c r="H389">
        <f t="shared" si="12"/>
        <v>0.1007867251586779</v>
      </c>
      <c r="I389">
        <f t="shared" si="13"/>
        <v>2.5103192798065797E-2</v>
      </c>
      <c r="J389">
        <v>3.8667516500499501</v>
      </c>
    </row>
    <row r="390" spans="1:10" x14ac:dyDescent="0.3">
      <c r="A390" t="s">
        <v>1268</v>
      </c>
      <c r="B390" t="s">
        <v>760</v>
      </c>
      <c r="C390" t="s">
        <v>760</v>
      </c>
      <c r="D390" t="s">
        <v>761</v>
      </c>
      <c r="E390">
        <v>9768192.5518382359</v>
      </c>
      <c r="F390">
        <v>91800946.660527661</v>
      </c>
      <c r="G390">
        <v>39372</v>
      </c>
      <c r="H390">
        <f t="shared" si="12"/>
        <v>0.10062345145915752</v>
      </c>
      <c r="I390">
        <f t="shared" si="13"/>
        <v>0.1064062289897751</v>
      </c>
      <c r="J390">
        <v>6.5129309553828003</v>
      </c>
    </row>
    <row r="391" spans="1:10" x14ac:dyDescent="0.3">
      <c r="A391" t="s">
        <v>1328</v>
      </c>
      <c r="B391" t="s">
        <v>834</v>
      </c>
      <c r="C391" t="s">
        <v>835</v>
      </c>
      <c r="D391" t="s">
        <v>334</v>
      </c>
      <c r="E391">
        <v>16279414.07843137</v>
      </c>
      <c r="F391">
        <v>39729112.251014113</v>
      </c>
      <c r="G391">
        <v>28200</v>
      </c>
      <c r="H391">
        <f t="shared" si="12"/>
        <v>9.9238758222136458E-2</v>
      </c>
      <c r="I391">
        <f t="shared" si="13"/>
        <v>0.40976032828460257</v>
      </c>
      <c r="J391">
        <v>10.66770088783203</v>
      </c>
    </row>
    <row r="392" spans="1:10" x14ac:dyDescent="0.3">
      <c r="A392" t="s">
        <v>1078</v>
      </c>
      <c r="B392" t="s">
        <v>23</v>
      </c>
      <c r="C392" t="s">
        <v>63</v>
      </c>
      <c r="D392" t="s">
        <v>63</v>
      </c>
      <c r="E392">
        <v>13783198.116176469</v>
      </c>
      <c r="F392">
        <v>52957550.689621747</v>
      </c>
      <c r="G392">
        <v>11457</v>
      </c>
      <c r="H392">
        <f t="shared" si="12"/>
        <v>9.7882596303128802E-2</v>
      </c>
      <c r="I392">
        <f t="shared" si="13"/>
        <v>0.2602687990039087</v>
      </c>
      <c r="J392">
        <v>5.3450526925207544</v>
      </c>
    </row>
    <row r="393" spans="1:10" x14ac:dyDescent="0.3">
      <c r="A393" t="s">
        <v>1259</v>
      </c>
      <c r="B393" t="s">
        <v>464</v>
      </c>
      <c r="C393" t="s">
        <v>485</v>
      </c>
      <c r="D393" t="s">
        <v>485</v>
      </c>
      <c r="E393">
        <v>12066614.977573531</v>
      </c>
      <c r="F393">
        <v>79288584.856689513</v>
      </c>
      <c r="G393">
        <v>55515</v>
      </c>
      <c r="H393">
        <f t="shared" si="12"/>
        <v>9.7533877271174227E-2</v>
      </c>
      <c r="I393">
        <f t="shared" si="13"/>
        <v>0.15218603030163025</v>
      </c>
      <c r="J393">
        <v>8.9649537953749103</v>
      </c>
    </row>
    <row r="394" spans="1:10" x14ac:dyDescent="0.3">
      <c r="A394" t="s">
        <v>1435</v>
      </c>
      <c r="B394" t="s">
        <v>616</v>
      </c>
      <c r="C394" t="s">
        <v>647</v>
      </c>
      <c r="D394" t="s">
        <v>647</v>
      </c>
      <c r="E394">
        <v>54330153.365379907</v>
      </c>
      <c r="F394">
        <v>96215067.576395318</v>
      </c>
      <c r="G394">
        <v>261692</v>
      </c>
      <c r="H394">
        <f t="shared" si="12"/>
        <v>9.6491380079624919E-2</v>
      </c>
      <c r="I394">
        <f t="shared" si="13"/>
        <v>0.5646740654444945</v>
      </c>
      <c r="J394">
        <v>37.0922059122774</v>
      </c>
    </row>
    <row r="395" spans="1:10" x14ac:dyDescent="0.3">
      <c r="A395" t="s">
        <v>1188</v>
      </c>
      <c r="B395" t="s">
        <v>656</v>
      </c>
      <c r="C395" t="s">
        <v>776</v>
      </c>
      <c r="D395" t="s">
        <v>799</v>
      </c>
      <c r="E395">
        <v>18210596.126286771</v>
      </c>
      <c r="F395">
        <v>23720313.57290297</v>
      </c>
      <c r="G395">
        <v>36749</v>
      </c>
      <c r="H395">
        <f t="shared" si="12"/>
        <v>9.6349066207157719E-2</v>
      </c>
      <c r="I395">
        <f t="shared" si="13"/>
        <v>0.76772155942701137</v>
      </c>
      <c r="J395">
        <v>16.183488412157629</v>
      </c>
    </row>
    <row r="396" spans="1:10" x14ac:dyDescent="0.3">
      <c r="A396" t="s">
        <v>1321</v>
      </c>
      <c r="B396" t="s">
        <v>195</v>
      </c>
      <c r="C396" t="s">
        <v>196</v>
      </c>
      <c r="D396" t="s">
        <v>206</v>
      </c>
      <c r="E396">
        <v>1489831.4375</v>
      </c>
      <c r="F396">
        <v>213055518.90293911</v>
      </c>
      <c r="G396">
        <v>11035</v>
      </c>
      <c r="H396">
        <f t="shared" si="12"/>
        <v>9.5887058351534146E-2</v>
      </c>
      <c r="I396">
        <f t="shared" si="13"/>
        <v>6.9926911312666665E-3</v>
      </c>
      <c r="J396">
        <v>0.84230297976118518</v>
      </c>
    </row>
    <row r="397" spans="1:10" x14ac:dyDescent="0.3">
      <c r="A397" t="s">
        <v>1284</v>
      </c>
      <c r="B397" t="s">
        <v>590</v>
      </c>
      <c r="C397" t="s">
        <v>599</v>
      </c>
      <c r="D397" t="s">
        <v>55</v>
      </c>
      <c r="E397">
        <v>3226974.71875</v>
      </c>
      <c r="F397">
        <v>102186887.6678635</v>
      </c>
      <c r="G397">
        <v>20763</v>
      </c>
      <c r="H397">
        <f t="shared" si="12"/>
        <v>9.550860721504624E-2</v>
      </c>
      <c r="I397">
        <f t="shared" si="13"/>
        <v>3.1579146722215352E-2</v>
      </c>
      <c r="J397">
        <v>2.4456131413908779</v>
      </c>
    </row>
    <row r="398" spans="1:10" x14ac:dyDescent="0.3">
      <c r="A398" t="s">
        <v>1174</v>
      </c>
      <c r="B398" t="s">
        <v>195</v>
      </c>
      <c r="C398" t="s">
        <v>215</v>
      </c>
      <c r="D398" t="s">
        <v>218</v>
      </c>
      <c r="E398">
        <v>7627040.3794730389</v>
      </c>
      <c r="F398">
        <v>18657909.866692249</v>
      </c>
      <c r="G398">
        <v>3556</v>
      </c>
      <c r="H398">
        <f t="shared" si="12"/>
        <v>9.4786349444895196E-2</v>
      </c>
      <c r="I398">
        <f t="shared" si="13"/>
        <v>0.40878321494567238</v>
      </c>
      <c r="J398">
        <v>3.6138756181169271</v>
      </c>
    </row>
    <row r="399" spans="1:10" x14ac:dyDescent="0.3">
      <c r="A399" t="s">
        <v>1342</v>
      </c>
      <c r="B399" t="s">
        <v>410</v>
      </c>
      <c r="C399" t="s">
        <v>426</v>
      </c>
      <c r="D399" t="s">
        <v>361</v>
      </c>
      <c r="E399">
        <v>31655425.207414221</v>
      </c>
      <c r="F399">
        <v>341882967.24813831</v>
      </c>
      <c r="G399">
        <v>303831</v>
      </c>
      <c r="H399">
        <f t="shared" si="12"/>
        <v>9.4691745141089093E-2</v>
      </c>
      <c r="I399">
        <f t="shared" si="13"/>
        <v>9.2591407703674064E-2</v>
      </c>
      <c r="J399">
        <v>15.882304036606159</v>
      </c>
    </row>
    <row r="400" spans="1:10" x14ac:dyDescent="0.3">
      <c r="A400" t="s">
        <v>1439</v>
      </c>
      <c r="B400" t="s">
        <v>616</v>
      </c>
      <c r="C400" t="s">
        <v>101</v>
      </c>
      <c r="D400" t="s">
        <v>624</v>
      </c>
      <c r="E400">
        <v>3020460.8047794122</v>
      </c>
      <c r="F400">
        <v>304517906.77206689</v>
      </c>
      <c r="G400">
        <v>34688</v>
      </c>
      <c r="H400">
        <f t="shared" si="12"/>
        <v>9.3918447849369605E-2</v>
      </c>
      <c r="I400">
        <f t="shared" si="13"/>
        <v>9.9188282120967076E-3</v>
      </c>
      <c r="J400">
        <v>1.7420905347949189</v>
      </c>
    </row>
    <row r="401" spans="1:10" x14ac:dyDescent="0.3">
      <c r="A401" t="s">
        <v>1448</v>
      </c>
      <c r="B401" t="s">
        <v>616</v>
      </c>
      <c r="C401" t="s">
        <v>660</v>
      </c>
      <c r="D401" t="s">
        <v>662</v>
      </c>
      <c r="E401">
        <v>6455803.984375</v>
      </c>
      <c r="F401">
        <v>248319342.95368329</v>
      </c>
      <c r="G401">
        <v>23270</v>
      </c>
      <c r="H401">
        <f t="shared" si="12"/>
        <v>9.3000821782970519E-2</v>
      </c>
      <c r="I401">
        <f t="shared" si="13"/>
        <v>2.5997990762963406E-2</v>
      </c>
      <c r="J401">
        <v>2.2874671731043721</v>
      </c>
    </row>
    <row r="402" spans="1:10" x14ac:dyDescent="0.3">
      <c r="A402" t="s">
        <v>1232</v>
      </c>
      <c r="B402" t="s">
        <v>236</v>
      </c>
      <c r="C402" t="s">
        <v>264</v>
      </c>
      <c r="D402" t="s">
        <v>264</v>
      </c>
      <c r="E402">
        <v>5509436.9285539212</v>
      </c>
      <c r="F402">
        <v>166186430.71365979</v>
      </c>
      <c r="G402">
        <v>13399</v>
      </c>
      <c r="H402">
        <f t="shared" si="12"/>
        <v>9.2917624338914248E-2</v>
      </c>
      <c r="I402">
        <f t="shared" si="13"/>
        <v>3.3152146687876784E-2</v>
      </c>
      <c r="J402">
        <v>1.9583491269941959</v>
      </c>
    </row>
    <row r="403" spans="1:10" x14ac:dyDescent="0.3">
      <c r="A403" t="s">
        <v>1279</v>
      </c>
      <c r="B403" t="s">
        <v>410</v>
      </c>
      <c r="C403" t="s">
        <v>430</v>
      </c>
      <c r="D403" t="s">
        <v>430</v>
      </c>
      <c r="E403">
        <v>3245104.8569240202</v>
      </c>
      <c r="F403">
        <v>559912283.6789434</v>
      </c>
      <c r="G403">
        <v>60262</v>
      </c>
      <c r="H403">
        <f t="shared" si="12"/>
        <v>9.2892692290445666E-2</v>
      </c>
      <c r="I403">
        <f t="shared" si="13"/>
        <v>5.7957379245224417E-3</v>
      </c>
      <c r="J403">
        <v>1.7360318561436161</v>
      </c>
    </row>
    <row r="404" spans="1:10" x14ac:dyDescent="0.3">
      <c r="A404" t="s">
        <v>1062</v>
      </c>
      <c r="B404" t="s">
        <v>236</v>
      </c>
      <c r="C404" t="s">
        <v>237</v>
      </c>
      <c r="D404" t="s">
        <v>242</v>
      </c>
      <c r="E404">
        <v>15910811.790747549</v>
      </c>
      <c r="F404">
        <v>21014977.930509809</v>
      </c>
      <c r="G404">
        <v>11723</v>
      </c>
      <c r="H404">
        <f t="shared" si="12"/>
        <v>9.1578564462235765E-2</v>
      </c>
      <c r="I404">
        <f t="shared" si="13"/>
        <v>0.75711770163926906</v>
      </c>
      <c r="J404">
        <v>8.6276975874389965</v>
      </c>
    </row>
    <row r="405" spans="1:10" x14ac:dyDescent="0.3">
      <c r="A405" t="s">
        <v>1331</v>
      </c>
      <c r="B405" t="s">
        <v>195</v>
      </c>
      <c r="C405" t="s">
        <v>231</v>
      </c>
      <c r="D405" t="s">
        <v>232</v>
      </c>
      <c r="E405">
        <v>2123700.1075367639</v>
      </c>
      <c r="F405">
        <v>248956753.65372089</v>
      </c>
      <c r="G405">
        <v>6064</v>
      </c>
      <c r="H405">
        <f t="shared" si="12"/>
        <v>9.1464001669697426E-2</v>
      </c>
      <c r="I405">
        <f t="shared" si="13"/>
        <v>8.5303976548901442E-3</v>
      </c>
      <c r="J405">
        <v>0.65783114777453444</v>
      </c>
    </row>
    <row r="406" spans="1:10" x14ac:dyDescent="0.3">
      <c r="A406" t="s">
        <v>1364</v>
      </c>
      <c r="B406" t="s">
        <v>656</v>
      </c>
      <c r="C406" t="s">
        <v>807</v>
      </c>
      <c r="D406" t="s">
        <v>807</v>
      </c>
      <c r="E406">
        <v>8707977.406740196</v>
      </c>
      <c r="F406">
        <v>254845272.22283539</v>
      </c>
      <c r="G406">
        <v>49187</v>
      </c>
      <c r="H406">
        <f t="shared" si="12"/>
        <v>9.1199841270075896E-2</v>
      </c>
      <c r="I406">
        <f t="shared" si="13"/>
        <v>3.4169664325285128E-2</v>
      </c>
      <c r="J406">
        <v>3.7388634666211189</v>
      </c>
    </row>
    <row r="407" spans="1:10" x14ac:dyDescent="0.3">
      <c r="A407" t="s">
        <v>1430</v>
      </c>
      <c r="B407" t="s">
        <v>160</v>
      </c>
      <c r="C407" t="s">
        <v>161</v>
      </c>
      <c r="D407" t="s">
        <v>161</v>
      </c>
      <c r="E407">
        <v>13837731.271691181</v>
      </c>
      <c r="F407">
        <v>135925871.89272779</v>
      </c>
      <c r="G407">
        <v>63348</v>
      </c>
      <c r="H407">
        <f t="shared" si="12"/>
        <v>9.0900601756884011E-2</v>
      </c>
      <c r="I407">
        <f t="shared" si="13"/>
        <v>0.10180351303990066</v>
      </c>
      <c r="J407">
        <v>7.2998610692142147</v>
      </c>
    </row>
    <row r="408" spans="1:10" x14ac:dyDescent="0.3">
      <c r="A408" t="s">
        <v>1296</v>
      </c>
      <c r="B408" t="s">
        <v>101</v>
      </c>
      <c r="C408" t="s">
        <v>102</v>
      </c>
      <c r="D408" t="s">
        <v>109</v>
      </c>
      <c r="E408">
        <v>1737856.875</v>
      </c>
      <c r="F408">
        <v>296546676.9941268</v>
      </c>
      <c r="G408">
        <v>9406</v>
      </c>
      <c r="H408">
        <f t="shared" si="12"/>
        <v>8.9457996842988649E-2</v>
      </c>
      <c r="I408">
        <f t="shared" si="13"/>
        <v>5.8603147828711595E-3</v>
      </c>
      <c r="J408">
        <v>0.66417439465542216</v>
      </c>
    </row>
    <row r="409" spans="1:10" x14ac:dyDescent="0.3">
      <c r="A409" t="s">
        <v>1315</v>
      </c>
      <c r="B409" t="s">
        <v>678</v>
      </c>
      <c r="C409" t="s">
        <v>688</v>
      </c>
      <c r="D409" t="s">
        <v>688</v>
      </c>
      <c r="E409">
        <v>4462182.203125</v>
      </c>
      <c r="F409">
        <v>365550223.90494168</v>
      </c>
      <c r="G409">
        <v>12319</v>
      </c>
      <c r="H409">
        <f t="shared" si="12"/>
        <v>8.901225065643395E-2</v>
      </c>
      <c r="I409">
        <f t="shared" si="13"/>
        <v>1.2206755491648539E-2</v>
      </c>
      <c r="J409">
        <v>1.091534916268587</v>
      </c>
    </row>
    <row r="410" spans="1:10" x14ac:dyDescent="0.3">
      <c r="A410" t="s">
        <v>1271</v>
      </c>
      <c r="B410" t="s">
        <v>590</v>
      </c>
      <c r="C410" t="s">
        <v>607</v>
      </c>
      <c r="D410" t="s">
        <v>607</v>
      </c>
      <c r="E410">
        <v>3723552.546875</v>
      </c>
      <c r="F410">
        <v>572941469.03626692</v>
      </c>
      <c r="G410">
        <v>63515</v>
      </c>
      <c r="H410">
        <f t="shared" si="12"/>
        <v>8.757117061641416E-2</v>
      </c>
      <c r="I410">
        <f t="shared" si="13"/>
        <v>6.4990103668675116E-3</v>
      </c>
      <c r="J410">
        <v>1.779192426735378</v>
      </c>
    </row>
    <row r="411" spans="1:10" x14ac:dyDescent="0.3">
      <c r="A411" t="s">
        <v>1442</v>
      </c>
      <c r="B411" t="s">
        <v>503</v>
      </c>
      <c r="C411" t="s">
        <v>516</v>
      </c>
      <c r="D411" t="s">
        <v>517</v>
      </c>
      <c r="E411">
        <v>2476371.265625</v>
      </c>
      <c r="F411">
        <v>349330560.48472393</v>
      </c>
      <c r="G411">
        <v>19361</v>
      </c>
      <c r="H411">
        <f t="shared" si="12"/>
        <v>8.6954835127632454E-2</v>
      </c>
      <c r="I411">
        <f t="shared" si="13"/>
        <v>7.088905311315557E-3</v>
      </c>
      <c r="J411">
        <v>1.018702134512508</v>
      </c>
    </row>
    <row r="412" spans="1:10" x14ac:dyDescent="0.3">
      <c r="A412" t="s">
        <v>1035</v>
      </c>
      <c r="B412" t="s">
        <v>503</v>
      </c>
      <c r="C412" t="s">
        <v>561</v>
      </c>
      <c r="D412" t="s">
        <v>570</v>
      </c>
      <c r="E412">
        <v>12188510.809987741</v>
      </c>
      <c r="F412">
        <v>91485168.869280741</v>
      </c>
      <c r="G412">
        <v>1513</v>
      </c>
      <c r="H412">
        <f t="shared" si="12"/>
        <v>8.6952084489300419E-2</v>
      </c>
      <c r="I412">
        <f t="shared" si="13"/>
        <v>0.13322936341084296</v>
      </c>
      <c r="J412">
        <v>1.234523718028552</v>
      </c>
    </row>
    <row r="413" spans="1:10" x14ac:dyDescent="0.3">
      <c r="A413" t="s">
        <v>1378</v>
      </c>
      <c r="B413" t="s">
        <v>834</v>
      </c>
      <c r="C413" t="s">
        <v>835</v>
      </c>
      <c r="D413" t="s">
        <v>845</v>
      </c>
      <c r="E413">
        <v>7931972.7018995089</v>
      </c>
      <c r="F413">
        <v>122148437.3872254</v>
      </c>
      <c r="G413">
        <v>10766</v>
      </c>
      <c r="H413">
        <f t="shared" si="12"/>
        <v>8.6196841772045424E-2</v>
      </c>
      <c r="I413">
        <f t="shared" si="13"/>
        <v>6.4937160651136208E-2</v>
      </c>
      <c r="J413">
        <v>2.2791094880266121</v>
      </c>
    </row>
    <row r="414" spans="1:10" x14ac:dyDescent="0.3">
      <c r="A414" t="s">
        <v>1116</v>
      </c>
      <c r="B414" t="s">
        <v>128</v>
      </c>
      <c r="C414" t="s">
        <v>128</v>
      </c>
      <c r="D414" t="s">
        <v>128</v>
      </c>
      <c r="E414">
        <v>10981029.82696078</v>
      </c>
      <c r="F414">
        <v>76187341.005297109</v>
      </c>
      <c r="G414">
        <v>17183</v>
      </c>
      <c r="H414">
        <f t="shared" si="12"/>
        <v>8.6104627138864603E-2</v>
      </c>
      <c r="I414">
        <f t="shared" si="13"/>
        <v>0.14413194740839291</v>
      </c>
      <c r="J414">
        <v>4.2850521600282372</v>
      </c>
    </row>
    <row r="415" spans="1:10" x14ac:dyDescent="0.3">
      <c r="A415" t="s">
        <v>1434</v>
      </c>
      <c r="B415" t="s">
        <v>616</v>
      </c>
      <c r="C415" t="s">
        <v>631</v>
      </c>
      <c r="D415" t="s">
        <v>631</v>
      </c>
      <c r="E415">
        <v>5479676.8614583332</v>
      </c>
      <c r="F415">
        <v>754816762.66881049</v>
      </c>
      <c r="G415">
        <v>84123</v>
      </c>
      <c r="H415">
        <f t="shared" si="12"/>
        <v>8.5716030653586434E-2</v>
      </c>
      <c r="I415">
        <f t="shared" si="13"/>
        <v>7.2596120442315094E-3</v>
      </c>
      <c r="J415">
        <v>2.1182447261066608</v>
      </c>
    </row>
    <row r="416" spans="1:10" x14ac:dyDescent="0.3">
      <c r="A416" t="s">
        <v>1149</v>
      </c>
      <c r="B416" t="s">
        <v>291</v>
      </c>
      <c r="C416" t="s">
        <v>334</v>
      </c>
      <c r="D416" t="s">
        <v>334</v>
      </c>
      <c r="E416">
        <v>9358460.5775735285</v>
      </c>
      <c r="F416">
        <v>141817149.76429909</v>
      </c>
      <c r="G416">
        <v>61430</v>
      </c>
      <c r="H416">
        <f t="shared" si="12"/>
        <v>8.471229260952147E-2</v>
      </c>
      <c r="I416">
        <f t="shared" si="13"/>
        <v>6.5989625324774495E-2</v>
      </c>
      <c r="J416">
        <v>5.3935477050384089</v>
      </c>
    </row>
    <row r="417" spans="1:10" x14ac:dyDescent="0.3">
      <c r="A417" t="s">
        <v>1081</v>
      </c>
      <c r="B417" t="s">
        <v>236</v>
      </c>
      <c r="C417" t="s">
        <v>237</v>
      </c>
      <c r="D417" t="s">
        <v>239</v>
      </c>
      <c r="E417">
        <v>17899607.348284312</v>
      </c>
      <c r="F417">
        <v>51864417.489446573</v>
      </c>
      <c r="G417">
        <v>6223</v>
      </c>
      <c r="H417">
        <f t="shared" si="12"/>
        <v>8.3738436487065623E-2</v>
      </c>
      <c r="I417">
        <f t="shared" si="13"/>
        <v>0.34512307695206529</v>
      </c>
      <c r="J417">
        <v>3.8807149894439248</v>
      </c>
    </row>
    <row r="418" spans="1:10" x14ac:dyDescent="0.3">
      <c r="A418" t="s">
        <v>1338</v>
      </c>
      <c r="B418" t="s">
        <v>656</v>
      </c>
      <c r="C418" t="s">
        <v>807</v>
      </c>
      <c r="D418" t="s">
        <v>809</v>
      </c>
      <c r="E418">
        <v>6643461.6333333338</v>
      </c>
      <c r="F418">
        <v>335625081.94941652</v>
      </c>
      <c r="G418">
        <v>18031</v>
      </c>
      <c r="H418">
        <f t="shared" si="12"/>
        <v>8.3631451346689006E-2</v>
      </c>
      <c r="I418">
        <f t="shared" si="13"/>
        <v>1.9794294260566014E-2</v>
      </c>
      <c r="J418">
        <v>1.5799725852698761</v>
      </c>
    </row>
    <row r="419" spans="1:10" x14ac:dyDescent="0.3">
      <c r="A419" t="s">
        <v>1110</v>
      </c>
      <c r="B419" t="s">
        <v>590</v>
      </c>
      <c r="C419" t="s">
        <v>595</v>
      </c>
      <c r="D419" t="s">
        <v>595</v>
      </c>
      <c r="E419">
        <v>3215039.7272671568</v>
      </c>
      <c r="F419">
        <v>171144875.35615221</v>
      </c>
      <c r="G419">
        <v>21564</v>
      </c>
      <c r="H419">
        <f t="shared" si="12"/>
        <v>8.3345975533865954E-2</v>
      </c>
      <c r="I419">
        <f t="shared" si="13"/>
        <v>1.8785486393189773E-2</v>
      </c>
      <c r="J419">
        <v>1.6774922327016599</v>
      </c>
    </row>
    <row r="420" spans="1:10" x14ac:dyDescent="0.3">
      <c r="A420" t="s">
        <v>1273</v>
      </c>
      <c r="B420" t="s">
        <v>410</v>
      </c>
      <c r="C420" t="s">
        <v>302</v>
      </c>
      <c r="D420" t="s">
        <v>302</v>
      </c>
      <c r="E420">
        <v>17061683.1875</v>
      </c>
      <c r="F420">
        <v>223474337.4164575</v>
      </c>
      <c r="G420">
        <v>173358</v>
      </c>
      <c r="H420">
        <f t="shared" si="12"/>
        <v>8.3184055482407246E-2</v>
      </c>
      <c r="I420">
        <f t="shared" si="13"/>
        <v>7.6347393551969928E-2</v>
      </c>
      <c r="J420">
        <v>9.5699383778185521</v>
      </c>
    </row>
    <row r="421" spans="1:10" x14ac:dyDescent="0.3">
      <c r="A421" t="s">
        <v>1142</v>
      </c>
      <c r="B421" t="s">
        <v>410</v>
      </c>
      <c r="C421" t="s">
        <v>440</v>
      </c>
      <c r="D421" t="s">
        <v>440</v>
      </c>
      <c r="E421">
        <v>3698736.2879901961</v>
      </c>
      <c r="F421">
        <v>520179189.54845822</v>
      </c>
      <c r="G421">
        <v>38306</v>
      </c>
      <c r="H421">
        <f t="shared" si="12"/>
        <v>8.1700432520998886E-2</v>
      </c>
      <c r="I421">
        <f t="shared" si="13"/>
        <v>7.1105041537722529E-3</v>
      </c>
      <c r="J421">
        <v>1.3483665033950101</v>
      </c>
    </row>
    <row r="422" spans="1:10" x14ac:dyDescent="0.3">
      <c r="A422" t="s">
        <v>1286</v>
      </c>
      <c r="B422" t="s">
        <v>236</v>
      </c>
      <c r="C422" t="s">
        <v>273</v>
      </c>
      <c r="D422" t="s">
        <v>278</v>
      </c>
      <c r="E422">
        <v>5034771.5400735289</v>
      </c>
      <c r="F422">
        <v>77596639.048872709</v>
      </c>
      <c r="G422">
        <v>4472</v>
      </c>
      <c r="H422">
        <f t="shared" si="12"/>
        <v>8.1237170594062186E-2</v>
      </c>
      <c r="I422">
        <f t="shared" si="13"/>
        <v>6.4883886748013375E-2</v>
      </c>
      <c r="J422">
        <v>1.3838025137991761</v>
      </c>
    </row>
    <row r="423" spans="1:10" x14ac:dyDescent="0.3">
      <c r="A423" t="s">
        <v>1383</v>
      </c>
      <c r="B423" t="s">
        <v>410</v>
      </c>
      <c r="C423" t="s">
        <v>427</v>
      </c>
      <c r="D423" t="s">
        <v>428</v>
      </c>
      <c r="E423">
        <v>5710582.28125</v>
      </c>
      <c r="F423">
        <v>147977706.3676658</v>
      </c>
      <c r="G423">
        <v>50926</v>
      </c>
      <c r="H423">
        <f t="shared" si="12"/>
        <v>8.0902462831585392E-2</v>
      </c>
      <c r="I423">
        <f t="shared" si="13"/>
        <v>3.8590828452641862E-2</v>
      </c>
      <c r="J423">
        <v>3.5865226379132169</v>
      </c>
    </row>
    <row r="424" spans="1:10" x14ac:dyDescent="0.3">
      <c r="A424" t="s">
        <v>1067</v>
      </c>
      <c r="B424" t="s">
        <v>236</v>
      </c>
      <c r="C424" t="s">
        <v>237</v>
      </c>
      <c r="D424" t="s">
        <v>238</v>
      </c>
      <c r="E424">
        <v>13903216.8848652</v>
      </c>
      <c r="F424">
        <v>28558624.408813369</v>
      </c>
      <c r="G424">
        <v>2362</v>
      </c>
      <c r="H424">
        <f t="shared" si="12"/>
        <v>7.9494225181577449E-2</v>
      </c>
      <c r="I424">
        <f t="shared" si="13"/>
        <v>0.48683076207881293</v>
      </c>
      <c r="J424">
        <v>2.6956563962872462</v>
      </c>
    </row>
    <row r="425" spans="1:10" x14ac:dyDescent="0.3">
      <c r="A425" t="s">
        <v>1281</v>
      </c>
      <c r="B425" t="s">
        <v>410</v>
      </c>
      <c r="C425" t="s">
        <v>419</v>
      </c>
      <c r="D425" t="s">
        <v>419</v>
      </c>
      <c r="E425">
        <v>4716902</v>
      </c>
      <c r="F425">
        <v>1176326741.0155871</v>
      </c>
      <c r="G425">
        <v>57806</v>
      </c>
      <c r="H425">
        <f t="shared" si="12"/>
        <v>7.6516985131091952E-2</v>
      </c>
      <c r="I425">
        <f t="shared" si="13"/>
        <v>4.0098569857620007E-3</v>
      </c>
      <c r="J425">
        <v>1.1649539303418741</v>
      </c>
    </row>
    <row r="426" spans="1:10" x14ac:dyDescent="0.3">
      <c r="A426" t="s">
        <v>1208</v>
      </c>
      <c r="B426" t="s">
        <v>195</v>
      </c>
      <c r="C426" t="s">
        <v>228</v>
      </c>
      <c r="D426" t="s">
        <v>1015</v>
      </c>
      <c r="E426">
        <v>3814125.3053308828</v>
      </c>
      <c r="F426">
        <v>48313408.359092392</v>
      </c>
      <c r="G426">
        <v>3510</v>
      </c>
      <c r="H426">
        <f t="shared" si="12"/>
        <v>7.6403143526804135E-2</v>
      </c>
      <c r="I426">
        <f t="shared" si="13"/>
        <v>7.8945481903950163E-2</v>
      </c>
      <c r="J426">
        <v>1.2718281283910571</v>
      </c>
    </row>
    <row r="427" spans="1:10" x14ac:dyDescent="0.3">
      <c r="A427" t="s">
        <v>1145</v>
      </c>
      <c r="B427" t="s">
        <v>236</v>
      </c>
      <c r="C427" t="s">
        <v>237</v>
      </c>
      <c r="D427" t="s">
        <v>247</v>
      </c>
      <c r="E427">
        <v>14405479.776899509</v>
      </c>
      <c r="F427">
        <v>29871441.9154393</v>
      </c>
      <c r="G427">
        <v>19061</v>
      </c>
      <c r="H427">
        <f t="shared" si="12"/>
        <v>7.520639635486813E-2</v>
      </c>
      <c r="I427">
        <f t="shared" si="13"/>
        <v>0.48224922712732921</v>
      </c>
      <c r="J427">
        <v>7.2104669413260796</v>
      </c>
    </row>
    <row r="428" spans="1:10" x14ac:dyDescent="0.3">
      <c r="A428" t="s">
        <v>1221</v>
      </c>
      <c r="B428" t="s">
        <v>944</v>
      </c>
      <c r="C428" t="s">
        <v>944</v>
      </c>
      <c r="D428" t="s">
        <v>944</v>
      </c>
      <c r="E428">
        <v>24223062.226286761</v>
      </c>
      <c r="F428">
        <v>537478977.03875327</v>
      </c>
      <c r="G428">
        <v>72545</v>
      </c>
      <c r="H428">
        <f t="shared" si="12"/>
        <v>7.4187192256232729E-2</v>
      </c>
      <c r="I428">
        <f t="shared" si="13"/>
        <v>4.5067925000051176E-2</v>
      </c>
      <c r="J428">
        <v>4.2419589232432164</v>
      </c>
    </row>
    <row r="429" spans="1:10" x14ac:dyDescent="0.3">
      <c r="A429" t="s">
        <v>1339</v>
      </c>
      <c r="B429" t="s">
        <v>195</v>
      </c>
      <c r="C429" t="s">
        <v>207</v>
      </c>
      <c r="D429" t="s">
        <v>207</v>
      </c>
      <c r="E429">
        <v>3724403.4375</v>
      </c>
      <c r="F429">
        <v>230993395.79596609</v>
      </c>
      <c r="G429">
        <v>47939</v>
      </c>
      <c r="H429">
        <f t="shared" si="12"/>
        <v>7.3984883227094164E-2</v>
      </c>
      <c r="I429">
        <f t="shared" si="13"/>
        <v>1.6123419566461218E-2</v>
      </c>
      <c r="J429">
        <v>2.0569136281915621</v>
      </c>
    </row>
    <row r="430" spans="1:10" x14ac:dyDescent="0.3">
      <c r="A430" t="s">
        <v>1241</v>
      </c>
      <c r="B430" t="s">
        <v>128</v>
      </c>
      <c r="C430" t="s">
        <v>153</v>
      </c>
      <c r="D430" t="s">
        <v>153</v>
      </c>
      <c r="E430">
        <v>7443280.515625</v>
      </c>
      <c r="F430">
        <v>157002863.47131059</v>
      </c>
      <c r="G430">
        <v>46421</v>
      </c>
      <c r="H430">
        <f t="shared" si="12"/>
        <v>7.3738464346924215E-2</v>
      </c>
      <c r="I430">
        <f t="shared" si="13"/>
        <v>4.7408565366612719E-2</v>
      </c>
      <c r="J430">
        <v>3.4592324114335979</v>
      </c>
    </row>
    <row r="431" spans="1:10" x14ac:dyDescent="0.3">
      <c r="A431" t="s">
        <v>1219</v>
      </c>
      <c r="B431" t="s">
        <v>616</v>
      </c>
      <c r="C431" t="s">
        <v>672</v>
      </c>
      <c r="D431" t="s">
        <v>673</v>
      </c>
      <c r="E431">
        <v>3608842.4644607841</v>
      </c>
      <c r="F431">
        <v>137100260.83522949</v>
      </c>
      <c r="G431">
        <v>6301</v>
      </c>
      <c r="H431">
        <f t="shared" si="12"/>
        <v>7.3021840078280151E-2</v>
      </c>
      <c r="I431">
        <f t="shared" si="13"/>
        <v>2.6322652068459455E-2</v>
      </c>
      <c r="J431">
        <v>0.94042103350561157</v>
      </c>
    </row>
    <row r="432" spans="1:10" x14ac:dyDescent="0.3">
      <c r="A432" t="s">
        <v>1231</v>
      </c>
      <c r="B432" t="s">
        <v>410</v>
      </c>
      <c r="C432" t="s">
        <v>438</v>
      </c>
      <c r="D432" t="s">
        <v>438</v>
      </c>
      <c r="E432">
        <v>6451971.875</v>
      </c>
      <c r="F432">
        <v>231000959.7363514</v>
      </c>
      <c r="G432">
        <v>44130</v>
      </c>
      <c r="H432">
        <f t="shared" si="12"/>
        <v>7.1920111109883889E-2</v>
      </c>
      <c r="I432">
        <f t="shared" si="13"/>
        <v>2.7930498134569815E-2</v>
      </c>
      <c r="J432">
        <v>2.5249725091008481</v>
      </c>
    </row>
    <row r="433" spans="1:10" x14ac:dyDescent="0.3">
      <c r="A433" t="s">
        <v>1353</v>
      </c>
      <c r="B433" t="s">
        <v>464</v>
      </c>
      <c r="C433" t="s">
        <v>465</v>
      </c>
      <c r="D433" t="s">
        <v>466</v>
      </c>
      <c r="E433">
        <v>32341220.518075991</v>
      </c>
      <c r="F433">
        <v>243330442.4585571</v>
      </c>
      <c r="G433">
        <v>167180</v>
      </c>
      <c r="H433">
        <f t="shared" si="12"/>
        <v>7.1436719405065921E-2</v>
      </c>
      <c r="I433">
        <f t="shared" si="13"/>
        <v>0.13291070443676276</v>
      </c>
      <c r="J433">
        <v>10.64862767927748</v>
      </c>
    </row>
    <row r="434" spans="1:10" x14ac:dyDescent="0.3">
      <c r="A434" t="s">
        <v>1234</v>
      </c>
      <c r="B434" t="s">
        <v>195</v>
      </c>
      <c r="C434" t="s">
        <v>222</v>
      </c>
      <c r="D434" t="s">
        <v>224</v>
      </c>
      <c r="E434">
        <v>3567507.7468137252</v>
      </c>
      <c r="F434">
        <v>161759411.74461561</v>
      </c>
      <c r="G434">
        <v>5949</v>
      </c>
      <c r="H434">
        <f t="shared" si="12"/>
        <v>7.0017836476670675E-2</v>
      </c>
      <c r="I434">
        <f t="shared" si="13"/>
        <v>2.2054406036330524E-2</v>
      </c>
      <c r="J434">
        <v>0.80200736137056561</v>
      </c>
    </row>
    <row r="435" spans="1:10" x14ac:dyDescent="0.3">
      <c r="A435" t="s">
        <v>1347</v>
      </c>
      <c r="B435" t="s">
        <v>503</v>
      </c>
      <c r="C435" t="s">
        <v>543</v>
      </c>
      <c r="D435" t="s">
        <v>543</v>
      </c>
      <c r="E435">
        <v>4442588.5762867648</v>
      </c>
      <c r="F435">
        <v>369578754.24179113</v>
      </c>
      <c r="G435">
        <v>15167</v>
      </c>
      <c r="H435">
        <f t="shared" si="12"/>
        <v>6.999246193010189E-2</v>
      </c>
      <c r="I435">
        <f t="shared" si="13"/>
        <v>1.2020681722900854E-2</v>
      </c>
      <c r="J435">
        <v>0.94507366674189164</v>
      </c>
    </row>
    <row r="436" spans="1:10" x14ac:dyDescent="0.3">
      <c r="A436" t="s">
        <v>1276</v>
      </c>
      <c r="B436" t="s">
        <v>195</v>
      </c>
      <c r="C436" t="s">
        <v>228</v>
      </c>
      <c r="D436" t="s">
        <v>228</v>
      </c>
      <c r="E436">
        <v>15310904.0944853</v>
      </c>
      <c r="F436">
        <v>41345691.544748858</v>
      </c>
      <c r="G436">
        <v>16156</v>
      </c>
      <c r="H436">
        <f t="shared" si="12"/>
        <v>6.9933428222755695E-2</v>
      </c>
      <c r="I436">
        <f t="shared" si="13"/>
        <v>0.37031437913946014</v>
      </c>
      <c r="J436">
        <v>5.4092496864889803</v>
      </c>
    </row>
    <row r="437" spans="1:10" x14ac:dyDescent="0.3">
      <c r="A437" t="s">
        <v>1278</v>
      </c>
      <c r="B437" t="s">
        <v>616</v>
      </c>
      <c r="C437" t="s">
        <v>672</v>
      </c>
      <c r="D437" t="s">
        <v>672</v>
      </c>
      <c r="E437">
        <v>4390385.5268382346</v>
      </c>
      <c r="F437">
        <v>205254283.36826971</v>
      </c>
      <c r="G437">
        <v>13411</v>
      </c>
      <c r="H437">
        <f t="shared" si="12"/>
        <v>6.9870403385510413E-2</v>
      </c>
      <c r="I437">
        <f t="shared" si="13"/>
        <v>2.1389982488019273E-2</v>
      </c>
      <c r="J437">
        <v>1.183393137174318</v>
      </c>
    </row>
    <row r="438" spans="1:10" x14ac:dyDescent="0.3">
      <c r="A438" t="s">
        <v>1431</v>
      </c>
      <c r="B438" t="s">
        <v>590</v>
      </c>
      <c r="C438" t="s">
        <v>601</v>
      </c>
      <c r="D438" t="s">
        <v>601</v>
      </c>
      <c r="E438">
        <v>22097610.578125</v>
      </c>
      <c r="F438">
        <v>255522650.7786729</v>
      </c>
      <c r="G438">
        <v>186215</v>
      </c>
      <c r="H438">
        <f t="shared" si="12"/>
        <v>6.8555588776329626E-2</v>
      </c>
      <c r="I438">
        <f t="shared" si="13"/>
        <v>8.6480045940292696E-2</v>
      </c>
      <c r="J438">
        <v>8.6997776208768762</v>
      </c>
    </row>
    <row r="439" spans="1:10" x14ac:dyDescent="0.3">
      <c r="A439" t="s">
        <v>1274</v>
      </c>
      <c r="B439" t="s">
        <v>291</v>
      </c>
      <c r="C439" t="s">
        <v>292</v>
      </c>
      <c r="D439" t="s">
        <v>292</v>
      </c>
      <c r="E439">
        <v>32727454.640625</v>
      </c>
      <c r="F439">
        <v>245861792.4419826</v>
      </c>
      <c r="G439">
        <v>300360</v>
      </c>
      <c r="H439">
        <f t="shared" si="12"/>
        <v>6.832625702705207E-2</v>
      </c>
      <c r="I439">
        <f t="shared" si="13"/>
        <v>0.13311321907956838</v>
      </c>
      <c r="J439">
        <v>13.66215698296271</v>
      </c>
    </row>
    <row r="440" spans="1:10" x14ac:dyDescent="0.3">
      <c r="A440" t="s">
        <v>1362</v>
      </c>
      <c r="B440" t="s">
        <v>616</v>
      </c>
      <c r="C440" t="s">
        <v>639</v>
      </c>
      <c r="D440" t="s">
        <v>639</v>
      </c>
      <c r="E440">
        <v>7447765.609375</v>
      </c>
      <c r="F440">
        <v>384915169.30222178</v>
      </c>
      <c r="G440">
        <v>54438</v>
      </c>
      <c r="H440">
        <f t="shared" si="12"/>
        <v>6.6947099435987645E-2</v>
      </c>
      <c r="I440">
        <f t="shared" si="13"/>
        <v>1.9349109111174774E-2</v>
      </c>
      <c r="J440">
        <v>2.1727678819841301</v>
      </c>
    </row>
    <row r="441" spans="1:10" x14ac:dyDescent="0.3">
      <c r="A441" t="s">
        <v>1356</v>
      </c>
      <c r="B441" t="s">
        <v>101</v>
      </c>
      <c r="C441" t="s">
        <v>102</v>
      </c>
      <c r="D441" t="s">
        <v>102</v>
      </c>
      <c r="E441">
        <v>8565660.0443627462</v>
      </c>
      <c r="F441">
        <v>508072175.42837429</v>
      </c>
      <c r="G441">
        <v>62268</v>
      </c>
      <c r="H441">
        <f t="shared" si="12"/>
        <v>6.3703076137828649E-2</v>
      </c>
      <c r="I441">
        <f t="shared" si="13"/>
        <v>1.6859140213968074E-2</v>
      </c>
      <c r="J441">
        <v>2.0640041873349619</v>
      </c>
    </row>
    <row r="442" spans="1:10" x14ac:dyDescent="0.3">
      <c r="A442" t="s">
        <v>1105</v>
      </c>
      <c r="B442" t="s">
        <v>195</v>
      </c>
      <c r="C442" t="s">
        <v>215</v>
      </c>
      <c r="D442" t="s">
        <v>217</v>
      </c>
      <c r="E442">
        <v>3483975.0509803919</v>
      </c>
      <c r="F442">
        <v>126041686.988334</v>
      </c>
      <c r="G442">
        <v>4109</v>
      </c>
      <c r="H442">
        <f t="shared" si="12"/>
        <v>6.3511791060131217E-2</v>
      </c>
      <c r="I442">
        <f t="shared" si="13"/>
        <v>2.764145049330272E-2</v>
      </c>
      <c r="J442">
        <v>0.67686622750580949</v>
      </c>
    </row>
    <row r="443" spans="1:10" x14ac:dyDescent="0.3">
      <c r="A443" t="s">
        <v>1256</v>
      </c>
      <c r="B443" t="s">
        <v>236</v>
      </c>
      <c r="C443" t="s">
        <v>270</v>
      </c>
      <c r="D443" t="s">
        <v>270</v>
      </c>
      <c r="E443">
        <v>8245770.0241421573</v>
      </c>
      <c r="F443">
        <v>385819395.18948752</v>
      </c>
      <c r="G443">
        <v>19374</v>
      </c>
      <c r="H443">
        <f t="shared" si="12"/>
        <v>6.3192800420613024E-2</v>
      </c>
      <c r="I443">
        <f t="shared" si="13"/>
        <v>2.1372098258804255E-2</v>
      </c>
      <c r="J443">
        <v>1.2858811518155251</v>
      </c>
    </row>
    <row r="444" spans="1:10" x14ac:dyDescent="0.3">
      <c r="A444" t="s">
        <v>1457</v>
      </c>
      <c r="B444" t="s">
        <v>616</v>
      </c>
      <c r="C444" t="s">
        <v>617</v>
      </c>
      <c r="D444" t="s">
        <v>617</v>
      </c>
      <c r="E444">
        <v>43895892.055024512</v>
      </c>
      <c r="F444">
        <v>415361757.8346622</v>
      </c>
      <c r="G444">
        <v>252044</v>
      </c>
      <c r="H444">
        <f t="shared" si="12"/>
        <v>6.3134645553712315E-2</v>
      </c>
      <c r="I444">
        <f t="shared" si="13"/>
        <v>0.10568111104849859</v>
      </c>
      <c r="J444">
        <v>10.303970663473191</v>
      </c>
    </row>
    <row r="445" spans="1:10" x14ac:dyDescent="0.3">
      <c r="A445" t="s">
        <v>1352</v>
      </c>
      <c r="B445" t="s">
        <v>236</v>
      </c>
      <c r="C445" t="s">
        <v>237</v>
      </c>
      <c r="D445" t="s">
        <v>237</v>
      </c>
      <c r="E445">
        <v>61173051.714522026</v>
      </c>
      <c r="F445">
        <v>61940420.657532647</v>
      </c>
      <c r="G445">
        <v>188664</v>
      </c>
      <c r="H445">
        <f t="shared" si="12"/>
        <v>6.1973239859437895E-2</v>
      </c>
      <c r="I445">
        <f t="shared" si="13"/>
        <v>0.98761117643592722</v>
      </c>
      <c r="J445">
        <v>26.7511045047053</v>
      </c>
    </row>
    <row r="446" spans="1:10" x14ac:dyDescent="0.3">
      <c r="A446" t="s">
        <v>1199</v>
      </c>
      <c r="B446" t="s">
        <v>236</v>
      </c>
      <c r="C446" t="s">
        <v>270</v>
      </c>
      <c r="D446" t="s">
        <v>272</v>
      </c>
      <c r="E446">
        <v>3967734.6639705878</v>
      </c>
      <c r="F446">
        <v>241597889.6097692</v>
      </c>
      <c r="G446">
        <v>9973</v>
      </c>
      <c r="H446">
        <f t="shared" si="12"/>
        <v>6.1553994272794219E-2</v>
      </c>
      <c r="I446">
        <f t="shared" si="13"/>
        <v>1.6422886269326704E-2</v>
      </c>
      <c r="J446">
        <v>0.78775994027479324</v>
      </c>
    </row>
    <row r="447" spans="1:10" x14ac:dyDescent="0.3">
      <c r="A447" t="s">
        <v>1343</v>
      </c>
      <c r="B447" t="s">
        <v>944</v>
      </c>
      <c r="C447" t="s">
        <v>944</v>
      </c>
      <c r="D447" t="s">
        <v>1008</v>
      </c>
      <c r="E447">
        <v>8989954.5601715688</v>
      </c>
      <c r="F447">
        <v>1146704835.1027229</v>
      </c>
      <c r="G447">
        <v>39988</v>
      </c>
      <c r="H447">
        <f t="shared" si="12"/>
        <v>5.8189497223520036E-2</v>
      </c>
      <c r="I447">
        <f t="shared" si="13"/>
        <v>7.8398156918613147E-3</v>
      </c>
      <c r="J447">
        <v>1.0302968521028379</v>
      </c>
    </row>
    <row r="448" spans="1:10" x14ac:dyDescent="0.3">
      <c r="A448" t="s">
        <v>1407</v>
      </c>
      <c r="B448" t="s">
        <v>590</v>
      </c>
      <c r="C448" t="s">
        <v>610</v>
      </c>
      <c r="D448" t="s">
        <v>611</v>
      </c>
      <c r="E448">
        <v>7195761.2194852941</v>
      </c>
      <c r="F448">
        <v>414927824.12271118</v>
      </c>
      <c r="G448">
        <v>59389</v>
      </c>
      <c r="H448">
        <f t="shared" si="12"/>
        <v>5.7419866909282878E-2</v>
      </c>
      <c r="I448">
        <f t="shared" si="13"/>
        <v>1.7342199778237123E-2</v>
      </c>
      <c r="J448">
        <v>1.842753650841841</v>
      </c>
    </row>
    <row r="449" spans="1:10" x14ac:dyDescent="0.3">
      <c r="A449" t="s">
        <v>1275</v>
      </c>
      <c r="B449" t="s">
        <v>656</v>
      </c>
      <c r="C449" t="s">
        <v>776</v>
      </c>
      <c r="D449" t="s">
        <v>392</v>
      </c>
      <c r="E449">
        <v>58981829.970894612</v>
      </c>
      <c r="F449">
        <v>78110143.296175897</v>
      </c>
      <c r="G449">
        <v>250775</v>
      </c>
      <c r="H449">
        <f t="shared" si="12"/>
        <v>5.6724334860351631E-2</v>
      </c>
      <c r="I449">
        <f t="shared" si="13"/>
        <v>0.75511101992540108</v>
      </c>
      <c r="J449">
        <v>24.684079462905942</v>
      </c>
    </row>
    <row r="450" spans="1:10" x14ac:dyDescent="0.3">
      <c r="A450" t="s">
        <v>1074</v>
      </c>
      <c r="B450" t="s">
        <v>236</v>
      </c>
      <c r="C450" t="s">
        <v>237</v>
      </c>
      <c r="D450" t="s">
        <v>245</v>
      </c>
      <c r="E450">
        <v>12037907.272610299</v>
      </c>
      <c r="F450">
        <v>51663602.462946333</v>
      </c>
      <c r="G450">
        <v>4681</v>
      </c>
      <c r="H450">
        <f t="shared" ref="H450:H462" si="14">J450/POWER(G450*E450/F450,1/2)</f>
        <v>5.5654397854685733E-2</v>
      </c>
      <c r="I450">
        <f t="shared" ref="I450:I462" si="15">E450/F450</f>
        <v>0.23300557256424403</v>
      </c>
      <c r="J450">
        <v>1.8380273217293881</v>
      </c>
    </row>
    <row r="451" spans="1:10" x14ac:dyDescent="0.3">
      <c r="A451" t="s">
        <v>1246</v>
      </c>
      <c r="B451" t="s">
        <v>236</v>
      </c>
      <c r="C451" t="s">
        <v>273</v>
      </c>
      <c r="D451" t="s">
        <v>277</v>
      </c>
      <c r="E451">
        <v>11978390.730759799</v>
      </c>
      <c r="F451">
        <v>163992468.0199872</v>
      </c>
      <c r="G451">
        <v>13154</v>
      </c>
      <c r="H451">
        <f t="shared" si="14"/>
        <v>5.5461187152397423E-2</v>
      </c>
      <c r="I451">
        <f t="shared" si="15"/>
        <v>7.3042322463857848E-2</v>
      </c>
      <c r="J451">
        <v>1.719116731010945</v>
      </c>
    </row>
    <row r="452" spans="1:10" x14ac:dyDescent="0.3">
      <c r="A452" t="s">
        <v>1452</v>
      </c>
      <c r="B452" t="s">
        <v>616</v>
      </c>
      <c r="C452" t="s">
        <v>649</v>
      </c>
      <c r="D452" t="s">
        <v>649</v>
      </c>
      <c r="E452">
        <v>34165311.471139707</v>
      </c>
      <c r="F452">
        <v>598650570.34879041</v>
      </c>
      <c r="G452">
        <v>96831</v>
      </c>
      <c r="H452">
        <f t="shared" si="14"/>
        <v>5.3748551289203417E-2</v>
      </c>
      <c r="I452">
        <f t="shared" si="15"/>
        <v>5.7070540250607378E-2</v>
      </c>
      <c r="J452">
        <v>3.9955812214478108</v>
      </c>
    </row>
    <row r="453" spans="1:10" x14ac:dyDescent="0.3">
      <c r="A453" t="s">
        <v>1316</v>
      </c>
      <c r="B453" t="s">
        <v>236</v>
      </c>
      <c r="C453" t="s">
        <v>273</v>
      </c>
      <c r="D453" t="s">
        <v>273</v>
      </c>
      <c r="E453">
        <v>47702283.798651963</v>
      </c>
      <c r="F453">
        <v>93553158.818909362</v>
      </c>
      <c r="G453">
        <v>22688</v>
      </c>
      <c r="H453">
        <f t="shared" si="14"/>
        <v>5.3185752400760899E-2</v>
      </c>
      <c r="I453">
        <f t="shared" si="15"/>
        <v>0.50989495598955847</v>
      </c>
      <c r="J453">
        <v>5.7204971307445938</v>
      </c>
    </row>
    <row r="454" spans="1:10" x14ac:dyDescent="0.3">
      <c r="A454" t="s">
        <v>1361</v>
      </c>
      <c r="B454" t="s">
        <v>503</v>
      </c>
      <c r="C454" t="s">
        <v>503</v>
      </c>
      <c r="D454" t="s">
        <v>503</v>
      </c>
      <c r="E454">
        <v>28242327.796875</v>
      </c>
      <c r="F454">
        <v>284771384.55177629</v>
      </c>
      <c r="G454">
        <v>213130</v>
      </c>
      <c r="H454">
        <f t="shared" si="14"/>
        <v>4.9095179785873716E-2</v>
      </c>
      <c r="I454">
        <f t="shared" si="15"/>
        <v>9.9175441525937671E-2</v>
      </c>
      <c r="J454">
        <v>7.137780994102199</v>
      </c>
    </row>
    <row r="455" spans="1:10" x14ac:dyDescent="0.3">
      <c r="A455" t="s">
        <v>1285</v>
      </c>
      <c r="B455" t="s">
        <v>195</v>
      </c>
      <c r="C455" t="s">
        <v>222</v>
      </c>
      <c r="D455" t="s">
        <v>120</v>
      </c>
      <c r="E455">
        <v>21212444.372732852</v>
      </c>
      <c r="F455">
        <v>193167865.30951881</v>
      </c>
      <c r="G455">
        <v>39069</v>
      </c>
      <c r="H455">
        <f t="shared" si="14"/>
        <v>4.8370282194466194E-2</v>
      </c>
      <c r="I455">
        <f t="shared" si="15"/>
        <v>0.10981352586126839</v>
      </c>
      <c r="J455">
        <v>3.1682736595729888</v>
      </c>
    </row>
    <row r="456" spans="1:10" x14ac:dyDescent="0.3">
      <c r="A456" t="s">
        <v>1471</v>
      </c>
      <c r="B456" t="s">
        <v>616</v>
      </c>
      <c r="C456" t="s">
        <v>626</v>
      </c>
      <c r="D456" t="s">
        <v>626</v>
      </c>
      <c r="E456">
        <v>10925573.53125</v>
      </c>
      <c r="F456">
        <v>805939691.99742532</v>
      </c>
      <c r="G456">
        <v>76186</v>
      </c>
      <c r="H456">
        <f t="shared" si="14"/>
        <v>4.5831865549912899E-2</v>
      </c>
      <c r="I456">
        <f t="shared" si="15"/>
        <v>1.355631648339874E-2</v>
      </c>
      <c r="J456">
        <v>1.472909187058866</v>
      </c>
    </row>
    <row r="457" spans="1:10" x14ac:dyDescent="0.3">
      <c r="A457" t="s">
        <v>1215</v>
      </c>
      <c r="B457" t="s">
        <v>656</v>
      </c>
      <c r="C457" t="s">
        <v>776</v>
      </c>
      <c r="D457" t="s">
        <v>149</v>
      </c>
      <c r="E457">
        <v>57340996.450551473</v>
      </c>
      <c r="F457">
        <v>111586568.3344398</v>
      </c>
      <c r="G457">
        <v>49846</v>
      </c>
      <c r="H457">
        <f t="shared" si="14"/>
        <v>4.0717633445398839E-2</v>
      </c>
      <c r="I457">
        <f t="shared" si="15"/>
        <v>0.5138700589724462</v>
      </c>
      <c r="J457">
        <v>6.5166491842014747</v>
      </c>
    </row>
    <row r="458" spans="1:10" x14ac:dyDescent="0.3">
      <c r="A458" t="s">
        <v>1141</v>
      </c>
      <c r="B458" t="s">
        <v>236</v>
      </c>
      <c r="C458" t="s">
        <v>258</v>
      </c>
      <c r="D458" t="s">
        <v>259</v>
      </c>
      <c r="E458">
        <v>34029732.617034309</v>
      </c>
      <c r="F458">
        <v>219885547.920333</v>
      </c>
      <c r="G458">
        <v>14387</v>
      </c>
      <c r="H458">
        <f t="shared" si="14"/>
        <v>3.7796194814496878E-2</v>
      </c>
      <c r="I458">
        <f t="shared" si="15"/>
        <v>0.15476111522055858</v>
      </c>
      <c r="J458">
        <v>1.783463090798568</v>
      </c>
    </row>
    <row r="459" spans="1:10" x14ac:dyDescent="0.3">
      <c r="A459" t="s">
        <v>1444</v>
      </c>
      <c r="B459" t="s">
        <v>656</v>
      </c>
      <c r="C459" t="s">
        <v>776</v>
      </c>
      <c r="D459" t="s">
        <v>777</v>
      </c>
      <c r="E459">
        <v>204097559.589093</v>
      </c>
      <c r="F459">
        <v>364173136.32824057</v>
      </c>
      <c r="G459">
        <v>1772665</v>
      </c>
      <c r="H459">
        <f t="shared" si="14"/>
        <v>3.5751434536931734E-2</v>
      </c>
      <c r="I459">
        <f t="shared" si="15"/>
        <v>0.56044100794171026</v>
      </c>
      <c r="J459">
        <v>35.634589514387407</v>
      </c>
    </row>
    <row r="460" spans="1:10" x14ac:dyDescent="0.3">
      <c r="A460" t="s">
        <v>1411</v>
      </c>
      <c r="B460" t="s">
        <v>195</v>
      </c>
      <c r="C460" t="s">
        <v>196</v>
      </c>
      <c r="D460" t="s">
        <v>196</v>
      </c>
      <c r="E460">
        <v>91977951.313419119</v>
      </c>
      <c r="F460">
        <v>266340098.35864449</v>
      </c>
      <c r="G460">
        <v>125524</v>
      </c>
      <c r="H460">
        <f t="shared" si="14"/>
        <v>3.4303280090280407E-2</v>
      </c>
      <c r="I460">
        <f t="shared" si="15"/>
        <v>0.3453402318323272</v>
      </c>
      <c r="J460">
        <v>7.1420456641221044</v>
      </c>
    </row>
    <row r="461" spans="1:10" x14ac:dyDescent="0.3">
      <c r="A461" t="s">
        <v>1447</v>
      </c>
      <c r="B461" t="s">
        <v>410</v>
      </c>
      <c r="C461" t="s">
        <v>411</v>
      </c>
      <c r="D461" t="s">
        <v>411</v>
      </c>
      <c r="E461">
        <v>213587821.21654409</v>
      </c>
      <c r="F461">
        <v>1768389286.4875529</v>
      </c>
      <c r="G461">
        <v>2651280</v>
      </c>
      <c r="H461">
        <f t="shared" si="14"/>
        <v>2.7050640490197838E-2</v>
      </c>
      <c r="I461">
        <f t="shared" si="15"/>
        <v>0.12078099706246295</v>
      </c>
      <c r="J461">
        <v>15.30751365900349</v>
      </c>
    </row>
    <row r="462" spans="1:10" x14ac:dyDescent="0.3">
      <c r="A462" t="s">
        <v>1357</v>
      </c>
      <c r="B462" t="s">
        <v>195</v>
      </c>
      <c r="C462" t="s">
        <v>215</v>
      </c>
      <c r="D462" t="s">
        <v>215</v>
      </c>
      <c r="E462">
        <v>73412045.510968134</v>
      </c>
      <c r="F462">
        <v>294979973.72974533</v>
      </c>
      <c r="G462">
        <v>42545</v>
      </c>
      <c r="H462">
        <f t="shared" si="14"/>
        <v>1.9996217463333767E-2</v>
      </c>
      <c r="I462">
        <f t="shared" si="15"/>
        <v>0.24887128635460101</v>
      </c>
      <c r="J462">
        <v>2.057593178477251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indice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Joseph Peñafiel Falcón</cp:lastModifiedBy>
  <dcterms:created xsi:type="dcterms:W3CDTF">2025-10-16T01:36:15Z</dcterms:created>
  <dcterms:modified xsi:type="dcterms:W3CDTF">2026-03-26T20:04:49Z</dcterms:modified>
</cp:coreProperties>
</file>